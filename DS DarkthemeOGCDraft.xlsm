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hicham_garroum\Desktop\VBAfiles\VBA_FILES\SurveyotMate\For GitHub\OGC\"/>
    </mc:Choice>
  </mc:AlternateContent>
  <xr:revisionPtr revIDLastSave="0" documentId="13_ncr:1_{8304C373-7740-42CD-8B32-4ED661434ABE}" xr6:coauthVersionLast="45" xr6:coauthVersionMax="45" xr10:uidLastSave="{00000000-0000-0000-0000-000000000000}"/>
  <bookViews>
    <workbookView showHorizontalScroll="0" showVerticalScroll="0" showSheetTabs="0" xWindow="-110" yWindow="-110" windowWidth="19420" windowHeight="11020" firstSheet="1" activeTab="1" xr2:uid="{00000000-000D-0000-FFFF-FFFF00000000}"/>
  </bookViews>
  <sheets>
    <sheet name="Data" sheetId="9" state="veryHidden" r:id="rId1"/>
    <sheet name="Menu" sheetId="17" r:id="rId2"/>
    <sheet name="AMO Dsty" sheetId="23" state="veryHidden" r:id="rId3"/>
    <sheet name="INI AMMONIAC" sheetId="21" state="veryHidden" r:id="rId4"/>
    <sheet name="FINAL AMO" sheetId="22" state="veryHidden" r:id="rId5"/>
    <sheet name="WedgeForm" sheetId="19" state="veryHidden" r:id="rId6"/>
    <sheet name="Tools" sheetId="18" state="veryHidden" r:id="rId7"/>
    <sheet name="Bunker DO" sheetId="14" state="veryHidden" r:id="rId8"/>
    <sheet name="Bunker FO" sheetId="15" state="veryHidden" r:id="rId9"/>
    <sheet name="LOP" sheetId="16" state="veryHidden" r:id="rId10"/>
    <sheet name=" Ull Brut" sheetId="13" state="veryHidden" r:id="rId11"/>
    <sheet name="Ull Sulph Ac" sheetId="20" state="veryHidden" r:id="rId12"/>
    <sheet name="DS_REPORT" sheetId="10" state="veryHidden" r:id="rId13"/>
    <sheet name="Details" sheetId="11" state="veryHidden" r:id="rId14"/>
    <sheet name="Deductibles" sheetId="12" state="veryHidden" r:id="rId15"/>
  </sheets>
  <externalReferences>
    <externalReference r:id="rId16"/>
    <externalReference r:id="rId17"/>
    <externalReference r:id="rId18"/>
    <externalReference r:id="rId19"/>
    <externalReference r:id="rId20"/>
    <externalReference r:id="rId21"/>
  </externalReferences>
  <definedNames>
    <definedName name="AVANT">#REF!</definedName>
    <definedName name="LCF">#REF!</definedName>
    <definedName name="milieu">#REF!</definedName>
    <definedName name="POWER_USER_EXCEL_CHART_E3AE1115_62C4_4033_A917_3BDDBB836D5F">#REF!</definedName>
    <definedName name="purpose">#REF!</definedName>
    <definedName name="TabFinalBallast">Data!$L$93:$Q$123</definedName>
    <definedName name="TabInitialBallast">Data!$B$93:$I$123</definedName>
    <definedName name="TRIM">#REF!</definedName>
    <definedName name="_xlnm.Print_Area" localSheetId="10">' Ull Brut'!$A$1:$L$67</definedName>
    <definedName name="_xlnm.Print_Area" localSheetId="7">'Bunker DO'!$A$1:$J$64</definedName>
    <definedName name="_xlnm.Print_Area" localSheetId="8">'Bunker FO'!$A$1:$J$67</definedName>
    <definedName name="_xlnm.Print_Area" localSheetId="14">Deductibles!$A$1:$V$71</definedName>
    <definedName name="_xlnm.Print_Area" localSheetId="13">Details!$A$1:$Q$61</definedName>
    <definedName name="_xlnm.Print_Area" localSheetId="12">DS_REPORT!$A$1:$X$71</definedName>
    <definedName name="_xlnm.Print_Area" localSheetId="4">'FINAL AMO'!$A$1:$AM$51</definedName>
    <definedName name="_xlnm.Print_Area" localSheetId="3">'INI AMMONIAC'!$A$1:$AM$51</definedName>
    <definedName name="_xlnm.Print_Area" localSheetId="1">Menu!$A$1:$Y$45</definedName>
    <definedName name="_xlnm.Print_Area" localSheetId="11">'Ull Sulph Ac'!$A$1:$K$66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4" i="14" l="1"/>
  <c r="F45" i="14"/>
  <c r="F46" i="14"/>
  <c r="F47" i="14"/>
  <c r="F48" i="14"/>
  <c r="F49" i="14"/>
  <c r="F50" i="14"/>
  <c r="F30" i="14"/>
  <c r="F31" i="14"/>
  <c r="F32" i="14"/>
  <c r="F33" i="14"/>
  <c r="F34" i="14"/>
  <c r="J32" i="13"/>
  <c r="J33" i="13"/>
  <c r="J34" i="13"/>
  <c r="J35" i="13"/>
  <c r="J36" i="13"/>
  <c r="J37" i="13"/>
  <c r="J38" i="13"/>
  <c r="J22" i="13"/>
  <c r="J29" i="13"/>
  <c r="F41" i="14"/>
  <c r="J21" i="13"/>
  <c r="F42" i="14"/>
  <c r="J26" i="13"/>
  <c r="J20" i="13"/>
  <c r="J27" i="13"/>
  <c r="F28" i="14"/>
  <c r="J25" i="13"/>
  <c r="J31" i="13"/>
  <c r="J24" i="13"/>
  <c r="J28" i="13"/>
  <c r="J19" i="13"/>
  <c r="F27" i="14"/>
  <c r="F43" i="14"/>
  <c r="J23" i="13"/>
  <c r="F29" i="14"/>
  <c r="F26" i="14"/>
  <c r="J30" i="13"/>
  <c r="H19" i="13" l="1"/>
  <c r="J18" i="13"/>
  <c r="Z68" i="9" l="1"/>
  <c r="E4" i="23" l="1"/>
  <c r="E5" i="23" s="1"/>
  <c r="E6" i="23" s="1"/>
  <c r="E7" i="23" s="1"/>
  <c r="E8" i="23" s="1"/>
  <c r="E9" i="23" s="1"/>
  <c r="E10" i="23" s="1"/>
  <c r="E11" i="23" s="1"/>
  <c r="E12" i="23" s="1"/>
  <c r="E13" i="23" s="1"/>
  <c r="E14" i="23" s="1"/>
  <c r="E15" i="23" s="1"/>
  <c r="E16" i="23" s="1"/>
  <c r="E17" i="23" s="1"/>
  <c r="E18" i="23" s="1"/>
  <c r="E19" i="23" s="1"/>
  <c r="E20" i="23" s="1"/>
  <c r="E21" i="23" s="1"/>
  <c r="E22" i="23" s="1"/>
  <c r="E23" i="23" s="1"/>
  <c r="E24" i="23" s="1"/>
  <c r="E25" i="23" s="1"/>
  <c r="E26" i="23" s="1"/>
  <c r="E27" i="23" s="1"/>
  <c r="E28" i="23" s="1"/>
  <c r="E29" i="23" s="1"/>
  <c r="E30" i="23" s="1"/>
  <c r="E31" i="23" s="1"/>
  <c r="E32" i="23" s="1"/>
  <c r="E33" i="23" s="1"/>
  <c r="E34" i="23" s="1"/>
  <c r="E35" i="23" s="1"/>
  <c r="E36" i="23" s="1"/>
  <c r="E37" i="23" s="1"/>
  <c r="E38" i="23" s="1"/>
  <c r="E39" i="23" s="1"/>
  <c r="E40" i="23" s="1"/>
  <c r="E41" i="23" s="1"/>
  <c r="E42" i="23" s="1"/>
  <c r="E43" i="23" s="1"/>
  <c r="E44" i="23" s="1"/>
  <c r="E45" i="23" s="1"/>
  <c r="E46" i="23" s="1"/>
  <c r="E47" i="23" s="1"/>
  <c r="E48" i="23" s="1"/>
  <c r="E49" i="23" s="1"/>
  <c r="E50" i="23" s="1"/>
  <c r="E51" i="23" s="1"/>
  <c r="E52" i="23" s="1"/>
  <c r="E53" i="23" s="1"/>
  <c r="E54" i="23" s="1"/>
  <c r="E55" i="23" s="1"/>
  <c r="E56" i="23" s="1"/>
  <c r="E57" i="23" s="1"/>
  <c r="E58" i="23" s="1"/>
  <c r="E59" i="23" s="1"/>
  <c r="E60" i="23" s="1"/>
  <c r="E61" i="23" s="1"/>
  <c r="E62" i="23" s="1"/>
  <c r="E63" i="23" s="1"/>
  <c r="E64" i="23" s="1"/>
  <c r="E65" i="23" s="1"/>
  <c r="E66" i="23" s="1"/>
  <c r="E67" i="23" s="1"/>
  <c r="E68" i="23" s="1"/>
  <c r="E69" i="23" s="1"/>
  <c r="E70" i="23" s="1"/>
  <c r="E71" i="23" s="1"/>
  <c r="E72" i="23" s="1"/>
  <c r="E73" i="23" s="1"/>
  <c r="E74" i="23" s="1"/>
  <c r="E75" i="23" s="1"/>
  <c r="E76" i="23" s="1"/>
  <c r="E77" i="23" s="1"/>
  <c r="E78" i="23" s="1"/>
  <c r="E79" i="23" s="1"/>
  <c r="E80" i="23" s="1"/>
  <c r="E81" i="23" s="1"/>
  <c r="E82" i="23" s="1"/>
  <c r="E83" i="23" s="1"/>
  <c r="E84" i="23" s="1"/>
  <c r="E85" i="23" s="1"/>
  <c r="E86" i="23" s="1"/>
  <c r="E87" i="23" s="1"/>
  <c r="E88" i="23" s="1"/>
  <c r="E89" i="23" s="1"/>
  <c r="E90" i="23" s="1"/>
  <c r="E91" i="23" s="1"/>
  <c r="E92" i="23" s="1"/>
  <c r="E93" i="23" s="1"/>
  <c r="E94" i="23" s="1"/>
  <c r="E95" i="23" s="1"/>
  <c r="E96" i="23" s="1"/>
  <c r="E97" i="23" s="1"/>
  <c r="E98" i="23" s="1"/>
  <c r="E99" i="23" s="1"/>
  <c r="E100" i="23" s="1"/>
  <c r="E101" i="23" s="1"/>
  <c r="E102" i="23" s="1"/>
  <c r="E103" i="23" s="1"/>
  <c r="AC43" i="22"/>
  <c r="AR37" i="22"/>
  <c r="AL36" i="22"/>
  <c r="AK36" i="22"/>
  <c r="AG36" i="22"/>
  <c r="AC36" i="22"/>
  <c r="Y36" i="22"/>
  <c r="U36" i="22"/>
  <c r="Q36" i="22"/>
  <c r="M36" i="22"/>
  <c r="AL32" i="22"/>
  <c r="AL34" i="22" s="1"/>
  <c r="AL35" i="22" s="1"/>
  <c r="AL37" i="22" s="1"/>
  <c r="AK32" i="22"/>
  <c r="AK34" i="22" s="1"/>
  <c r="AK35" i="22" s="1"/>
  <c r="AK37" i="22" s="1"/>
  <c r="AK41" i="22" s="1"/>
  <c r="AG32" i="22"/>
  <c r="AG34" i="22" s="1"/>
  <c r="AG35" i="22" s="1"/>
  <c r="AG37" i="22" s="1"/>
  <c r="AC32" i="22"/>
  <c r="AC34" i="22" s="1"/>
  <c r="AC35" i="22" s="1"/>
  <c r="AC37" i="22" s="1"/>
  <c r="AC41" i="22" s="1"/>
  <c r="Y32" i="22"/>
  <c r="Y34" i="22" s="1"/>
  <c r="Y35" i="22" s="1"/>
  <c r="Y37" i="22" s="1"/>
  <c r="U32" i="22"/>
  <c r="U34" i="22" s="1"/>
  <c r="U35" i="22" s="1"/>
  <c r="U37" i="22" s="1"/>
  <c r="Q32" i="22"/>
  <c r="Q34" i="22" s="1"/>
  <c r="Q35" i="22" s="1"/>
  <c r="Q37" i="22" s="1"/>
  <c r="M32" i="22"/>
  <c r="M34" i="22" s="1"/>
  <c r="M35" i="22" s="1"/>
  <c r="M37" i="22" s="1"/>
  <c r="M41" i="22" s="1"/>
  <c r="AR30" i="22"/>
  <c r="AL30" i="22"/>
  <c r="AK30" i="22"/>
  <c r="AG30" i="22"/>
  <c r="AC30" i="22"/>
  <c r="Y30" i="22"/>
  <c r="U30" i="22"/>
  <c r="Q30" i="22"/>
  <c r="M30" i="22"/>
  <c r="AL29" i="22"/>
  <c r="AK29" i="22"/>
  <c r="AG29" i="22"/>
  <c r="AG31" i="22" s="1"/>
  <c r="AC29" i="22"/>
  <c r="AC31" i="22" s="1"/>
  <c r="Y29" i="22"/>
  <c r="Y31" i="22" s="1"/>
  <c r="U29" i="22"/>
  <c r="U31" i="22" s="1"/>
  <c r="Q29" i="22"/>
  <c r="Q31" i="22" s="1"/>
  <c r="Q38" i="22" s="1"/>
  <c r="M29" i="22"/>
  <c r="M31" i="22" s="1"/>
  <c r="AX26" i="22"/>
  <c r="AL25" i="22"/>
  <c r="AL26" i="22" s="1"/>
  <c r="AK25" i="22"/>
  <c r="AK26" i="22" s="1"/>
  <c r="AG25" i="22"/>
  <c r="AG26" i="22" s="1"/>
  <c r="AC25" i="22"/>
  <c r="AC26" i="22" s="1"/>
  <c r="Y25" i="22"/>
  <c r="Y26" i="22" s="1"/>
  <c r="U25" i="22"/>
  <c r="U26" i="22" s="1"/>
  <c r="Q25" i="22"/>
  <c r="Q26" i="22" s="1"/>
  <c r="M25" i="22"/>
  <c r="M26" i="22" s="1"/>
  <c r="O11" i="22"/>
  <c r="B44" i="21"/>
  <c r="AT38" i="21"/>
  <c r="AL36" i="21"/>
  <c r="AK36" i="21"/>
  <c r="AG36" i="21"/>
  <c r="AC36" i="21"/>
  <c r="Y36" i="21"/>
  <c r="U36" i="21"/>
  <c r="Q36" i="21"/>
  <c r="M36" i="21"/>
  <c r="AL34" i="21"/>
  <c r="AL35" i="21" s="1"/>
  <c r="AL37" i="21" s="1"/>
  <c r="AK34" i="21"/>
  <c r="AK35" i="21" s="1"/>
  <c r="AK37" i="21" s="1"/>
  <c r="AK41" i="21" s="1"/>
  <c r="AG34" i="21"/>
  <c r="AG35" i="21" s="1"/>
  <c r="AG37" i="21" s="1"/>
  <c r="AC34" i="21"/>
  <c r="AC35" i="21" s="1"/>
  <c r="AC37" i="21" s="1"/>
  <c r="Y34" i="21"/>
  <c r="Y35" i="21" s="1"/>
  <c r="Y37" i="21" s="1"/>
  <c r="U34" i="21"/>
  <c r="U35" i="21" s="1"/>
  <c r="U37" i="21" s="1"/>
  <c r="U41" i="21" s="1"/>
  <c r="Q34" i="21"/>
  <c r="Q35" i="21" s="1"/>
  <c r="Q37" i="21" s="1"/>
  <c r="M34" i="21"/>
  <c r="M35" i="21" s="1"/>
  <c r="M37" i="21" s="1"/>
  <c r="AG31" i="21"/>
  <c r="AC31" i="21"/>
  <c r="AC40" i="21" s="1"/>
  <c r="AT31" i="21"/>
  <c r="AL29" i="21"/>
  <c r="AL31" i="21" s="1"/>
  <c r="AL38" i="21" s="1"/>
  <c r="AK29" i="21"/>
  <c r="AK31" i="21" s="1"/>
  <c r="AG29" i="21"/>
  <c r="AC29" i="21"/>
  <c r="Y29" i="21"/>
  <c r="Y31" i="21" s="1"/>
  <c r="U29" i="21"/>
  <c r="U31" i="21" s="1"/>
  <c r="Q29" i="21"/>
  <c r="Q31" i="21" s="1"/>
  <c r="M29" i="21"/>
  <c r="M31" i="21" s="1"/>
  <c r="AX26" i="21"/>
  <c r="AL25" i="21"/>
  <c r="AL26" i="21" s="1"/>
  <c r="AK25" i="21"/>
  <c r="AK26" i="21" s="1"/>
  <c r="AG25" i="21"/>
  <c r="AG26" i="21" s="1"/>
  <c r="AC25" i="21"/>
  <c r="AC26" i="21" s="1"/>
  <c r="Y25" i="21"/>
  <c r="Y26" i="21" s="1"/>
  <c r="U25" i="21"/>
  <c r="U26" i="21" s="1"/>
  <c r="Q25" i="21"/>
  <c r="Q26" i="21" s="1"/>
  <c r="M25" i="21"/>
  <c r="M26" i="21" s="1"/>
  <c r="O11" i="21"/>
  <c r="G19" i="20"/>
  <c r="G20" i="20"/>
  <c r="G21" i="20"/>
  <c r="G22" i="20"/>
  <c r="G23" i="20"/>
  <c r="G24" i="20"/>
  <c r="G25" i="20"/>
  <c r="G26" i="20"/>
  <c r="G27" i="20"/>
  <c r="G28" i="20"/>
  <c r="G29" i="20"/>
  <c r="G30" i="20"/>
  <c r="G31" i="20"/>
  <c r="G32" i="20"/>
  <c r="G33" i="20"/>
  <c r="G34" i="20"/>
  <c r="G35" i="20"/>
  <c r="G36" i="20"/>
  <c r="G37" i="20"/>
  <c r="G18" i="20"/>
  <c r="AL31" i="22" l="1"/>
  <c r="AL38" i="22" s="1"/>
  <c r="AK31" i="22"/>
  <c r="AG38" i="22"/>
  <c r="AK40" i="22"/>
  <c r="AK38" i="22"/>
  <c r="M40" i="22"/>
  <c r="M42" i="22" s="1"/>
  <c r="AS42" i="22" s="1"/>
  <c r="M38" i="22"/>
  <c r="AC40" i="22"/>
  <c r="AC38" i="22"/>
  <c r="U38" i="22"/>
  <c r="U40" i="22"/>
  <c r="Y38" i="22"/>
  <c r="U41" i="22"/>
  <c r="AC38" i="21"/>
  <c r="AC41" i="21"/>
  <c r="AK40" i="21"/>
  <c r="AK38" i="21"/>
  <c r="M40" i="21"/>
  <c r="M42" i="21" s="1"/>
  <c r="M38" i="21"/>
  <c r="Q38" i="21"/>
  <c r="U38" i="21"/>
  <c r="U40" i="21"/>
  <c r="AG38" i="21"/>
  <c r="Y38" i="21"/>
  <c r="M41" i="21"/>
  <c r="AS42" i="21" l="1"/>
  <c r="H38" i="20" l="1"/>
  <c r="G38" i="20"/>
  <c r="H37" i="20"/>
  <c r="H36" i="20"/>
  <c r="H35" i="20"/>
  <c r="H34" i="20"/>
  <c r="H33" i="20"/>
  <c r="H32" i="20"/>
  <c r="Q31" i="20"/>
  <c r="N31" i="20"/>
  <c r="Q30" i="20"/>
  <c r="N30" i="20"/>
  <c r="Q29" i="20"/>
  <c r="N29" i="20"/>
  <c r="D29" i="20" s="1"/>
  <c r="C29" i="20"/>
  <c r="Q28" i="20"/>
  <c r="N28" i="20"/>
  <c r="D28" i="20"/>
  <c r="C28" i="20"/>
  <c r="Q27" i="20"/>
  <c r="N27" i="20"/>
  <c r="D27" i="20" s="1"/>
  <c r="C27" i="20"/>
  <c r="Q26" i="20"/>
  <c r="N26" i="20"/>
  <c r="D26" i="20"/>
  <c r="C26" i="20"/>
  <c r="Q25" i="20"/>
  <c r="N25" i="20"/>
  <c r="D25" i="20" s="1"/>
  <c r="C25" i="20"/>
  <c r="Q24" i="20"/>
  <c r="N24" i="20"/>
  <c r="D24" i="20"/>
  <c r="C24" i="20"/>
  <c r="Q23" i="20"/>
  <c r="N23" i="20"/>
  <c r="D23" i="20" s="1"/>
  <c r="C23" i="20"/>
  <c r="Q22" i="20"/>
  <c r="N22" i="20"/>
  <c r="D22" i="20"/>
  <c r="C22" i="20"/>
  <c r="Q21" i="20"/>
  <c r="N21" i="20"/>
  <c r="D21" i="20"/>
  <c r="C21" i="20"/>
  <c r="Q20" i="20"/>
  <c r="N20" i="20"/>
  <c r="D20" i="20"/>
  <c r="C20" i="20"/>
  <c r="Q19" i="20"/>
  <c r="N19" i="20"/>
  <c r="D19" i="20"/>
  <c r="C19" i="20"/>
  <c r="Q18" i="20"/>
  <c r="N18" i="20"/>
  <c r="D18" i="20"/>
  <c r="C18" i="20"/>
  <c r="H17" i="20"/>
  <c r="G17" i="20"/>
  <c r="D15" i="20"/>
  <c r="C12" i="20"/>
  <c r="M43" i="22" l="1"/>
  <c r="D39" i="20"/>
  <c r="H31" i="20"/>
  <c r="H20" i="20"/>
  <c r="H22" i="20"/>
  <c r="H19" i="20"/>
  <c r="H25" i="20" s="1"/>
  <c r="H21" i="20"/>
  <c r="H23" i="20"/>
  <c r="H29" i="20" s="1"/>
  <c r="H30" i="20"/>
  <c r="H28" i="20" l="1"/>
  <c r="H27" i="20"/>
  <c r="F39" i="20"/>
  <c r="H18" i="20"/>
  <c r="J17" i="13"/>
  <c r="L4" i="19"/>
  <c r="H10" i="19" s="1"/>
  <c r="M10" i="19" s="1"/>
  <c r="N10" i="19" s="1"/>
  <c r="H12" i="19"/>
  <c r="M12" i="19" s="1"/>
  <c r="H57" i="19"/>
  <c r="H13" i="19"/>
  <c r="H14" i="19"/>
  <c r="H15" i="19"/>
  <c r="H16"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M13" i="19"/>
  <c r="M14" i="19"/>
  <c r="M15" i="19"/>
  <c r="M16" i="19"/>
  <c r="M17" i="19"/>
  <c r="M18" i="19"/>
  <c r="M19" i="19"/>
  <c r="M20" i="19"/>
  <c r="M21" i="19"/>
  <c r="M22" i="19"/>
  <c r="M23" i="19"/>
  <c r="M24" i="19"/>
  <c r="M25" i="19"/>
  <c r="M26" i="19"/>
  <c r="M27" i="19"/>
  <c r="M28" i="19"/>
  <c r="M29" i="19"/>
  <c r="M30" i="19"/>
  <c r="M31" i="19"/>
  <c r="M32" i="19"/>
  <c r="M33" i="19"/>
  <c r="M34" i="19"/>
  <c r="M35" i="19"/>
  <c r="M36" i="19"/>
  <c r="M37" i="19"/>
  <c r="M38" i="19"/>
  <c r="M39" i="19"/>
  <c r="M40" i="19"/>
  <c r="M41" i="19"/>
  <c r="M42" i="19"/>
  <c r="M43" i="19"/>
  <c r="M44" i="19"/>
  <c r="M45" i="19"/>
  <c r="M46" i="19"/>
  <c r="M47" i="19"/>
  <c r="M48" i="19"/>
  <c r="M49" i="19"/>
  <c r="M50" i="19"/>
  <c r="M51" i="19"/>
  <c r="M52" i="19"/>
  <c r="M53" i="19"/>
  <c r="M54" i="19"/>
  <c r="M55" i="19"/>
  <c r="M56" i="19"/>
  <c r="M57" i="19"/>
  <c r="M58" i="19"/>
  <c r="M59" i="19"/>
  <c r="M60" i="19"/>
  <c r="M61" i="19"/>
  <c r="M62" i="19"/>
  <c r="M63" i="19"/>
  <c r="F58" i="19"/>
  <c r="Y57" i="19"/>
  <c r="X57" i="19"/>
  <c r="W57" i="19"/>
  <c r="V57" i="19"/>
  <c r="U57" i="19"/>
  <c r="T57" i="19"/>
  <c r="S57" i="19"/>
  <c r="R57" i="19"/>
  <c r="Q57" i="19"/>
  <c r="P57" i="19"/>
  <c r="Y56" i="19"/>
  <c r="X56" i="19"/>
  <c r="W56" i="19"/>
  <c r="V56" i="19"/>
  <c r="U56" i="19"/>
  <c r="T56" i="19"/>
  <c r="S56" i="19"/>
  <c r="R56" i="19"/>
  <c r="Q56" i="19"/>
  <c r="P56" i="19"/>
  <c r="Y55" i="19"/>
  <c r="X55" i="19"/>
  <c r="W55" i="19"/>
  <c r="V55" i="19"/>
  <c r="U55" i="19"/>
  <c r="T55" i="19"/>
  <c r="S55" i="19"/>
  <c r="R55" i="19"/>
  <c r="Q55" i="19"/>
  <c r="P55" i="19"/>
  <c r="Y54" i="19"/>
  <c r="X54" i="19"/>
  <c r="W54" i="19"/>
  <c r="V54" i="19"/>
  <c r="U54" i="19"/>
  <c r="T54" i="19"/>
  <c r="S54" i="19"/>
  <c r="R54" i="19"/>
  <c r="Q54" i="19"/>
  <c r="P54" i="19"/>
  <c r="Y53" i="19"/>
  <c r="X53" i="19"/>
  <c r="W53" i="19"/>
  <c r="V53" i="19"/>
  <c r="U53" i="19"/>
  <c r="T53" i="19"/>
  <c r="S53" i="19"/>
  <c r="R53" i="19"/>
  <c r="Q53" i="19"/>
  <c r="P53" i="19"/>
  <c r="Y52" i="19"/>
  <c r="X52" i="19"/>
  <c r="W52" i="19"/>
  <c r="V52" i="19"/>
  <c r="U52" i="19"/>
  <c r="T52" i="19"/>
  <c r="S52" i="19"/>
  <c r="R52" i="19"/>
  <c r="Q52" i="19"/>
  <c r="P52" i="19"/>
  <c r="Y51" i="19"/>
  <c r="X51" i="19"/>
  <c r="W51" i="19"/>
  <c r="V51" i="19"/>
  <c r="U51" i="19"/>
  <c r="T51" i="19"/>
  <c r="S51" i="19"/>
  <c r="R51" i="19"/>
  <c r="Q51" i="19"/>
  <c r="P51" i="19"/>
  <c r="Y50" i="19"/>
  <c r="X50" i="19"/>
  <c r="W50" i="19"/>
  <c r="V50" i="19"/>
  <c r="U50" i="19"/>
  <c r="T50" i="19"/>
  <c r="S50" i="19"/>
  <c r="R50" i="19"/>
  <c r="Q50" i="19"/>
  <c r="P50" i="19"/>
  <c r="Y49" i="19"/>
  <c r="X49" i="19"/>
  <c r="W49" i="19"/>
  <c r="V49" i="19"/>
  <c r="U49" i="19"/>
  <c r="T49" i="19"/>
  <c r="S49" i="19"/>
  <c r="R49" i="19"/>
  <c r="Q49" i="19"/>
  <c r="P49" i="19"/>
  <c r="Y48" i="19"/>
  <c r="X48" i="19"/>
  <c r="W48" i="19"/>
  <c r="V48" i="19"/>
  <c r="U48" i="19"/>
  <c r="T48" i="19"/>
  <c r="S48" i="19"/>
  <c r="R48" i="19"/>
  <c r="Q48" i="19"/>
  <c r="P48" i="19"/>
  <c r="Y47" i="19"/>
  <c r="X47" i="19"/>
  <c r="W47" i="19"/>
  <c r="V47" i="19"/>
  <c r="U47" i="19"/>
  <c r="T47" i="19"/>
  <c r="S47" i="19"/>
  <c r="R47" i="19"/>
  <c r="Q47" i="19"/>
  <c r="P47" i="19"/>
  <c r="Y46" i="19"/>
  <c r="X46" i="19"/>
  <c r="W46" i="19"/>
  <c r="V46" i="19"/>
  <c r="U46" i="19"/>
  <c r="T46" i="19"/>
  <c r="S46" i="19"/>
  <c r="R46" i="19"/>
  <c r="Q46" i="19"/>
  <c r="P46" i="19"/>
  <c r="Y45" i="19"/>
  <c r="X45" i="19"/>
  <c r="W45" i="19"/>
  <c r="V45" i="19"/>
  <c r="U45" i="19"/>
  <c r="T45" i="19"/>
  <c r="S45" i="19"/>
  <c r="R45" i="19"/>
  <c r="Q45" i="19"/>
  <c r="P45" i="19"/>
  <c r="Y44" i="19"/>
  <c r="X44" i="19"/>
  <c r="W44" i="19"/>
  <c r="V44" i="19"/>
  <c r="U44" i="19"/>
  <c r="T44" i="19"/>
  <c r="S44" i="19"/>
  <c r="R44" i="19"/>
  <c r="Q44" i="19"/>
  <c r="P44" i="19"/>
  <c r="Y43" i="19"/>
  <c r="X43" i="19"/>
  <c r="W43" i="19"/>
  <c r="V43" i="19"/>
  <c r="U43" i="19"/>
  <c r="T43" i="19"/>
  <c r="S43" i="19"/>
  <c r="R43" i="19"/>
  <c r="Q43" i="19"/>
  <c r="P43" i="19"/>
  <c r="Y42" i="19"/>
  <c r="X42" i="19"/>
  <c r="W42" i="19"/>
  <c r="V42" i="19"/>
  <c r="U42" i="19"/>
  <c r="T42" i="19"/>
  <c r="S42" i="19"/>
  <c r="R42" i="19"/>
  <c r="Q42" i="19"/>
  <c r="P42" i="19"/>
  <c r="Y41" i="19"/>
  <c r="X41" i="19"/>
  <c r="W41" i="19"/>
  <c r="V41" i="19"/>
  <c r="U41" i="19"/>
  <c r="T41" i="19"/>
  <c r="S41" i="19"/>
  <c r="R41" i="19"/>
  <c r="Q41" i="19"/>
  <c r="P41" i="19"/>
  <c r="Y40" i="19"/>
  <c r="X40" i="19"/>
  <c r="W40" i="19"/>
  <c r="V40" i="19"/>
  <c r="U40" i="19"/>
  <c r="T40" i="19"/>
  <c r="S40" i="19"/>
  <c r="R40" i="19"/>
  <c r="Q40" i="19"/>
  <c r="P40" i="19"/>
  <c r="Y39" i="19"/>
  <c r="X39" i="19"/>
  <c r="W39" i="19"/>
  <c r="V39" i="19"/>
  <c r="U39" i="19"/>
  <c r="T39" i="19"/>
  <c r="S39" i="19"/>
  <c r="R39" i="19"/>
  <c r="Q39" i="19"/>
  <c r="P39" i="19"/>
  <c r="Y38" i="19"/>
  <c r="X38" i="19"/>
  <c r="W38" i="19"/>
  <c r="V38" i="19"/>
  <c r="U38" i="19"/>
  <c r="T38" i="19"/>
  <c r="S38" i="19"/>
  <c r="R38" i="19"/>
  <c r="Q38" i="19"/>
  <c r="P38" i="19"/>
  <c r="Y37" i="19"/>
  <c r="X37" i="19"/>
  <c r="W37" i="19"/>
  <c r="V37" i="19"/>
  <c r="U37" i="19"/>
  <c r="T37" i="19"/>
  <c r="S37" i="19"/>
  <c r="R37" i="19"/>
  <c r="Q37" i="19"/>
  <c r="P37" i="19"/>
  <c r="Y36" i="19"/>
  <c r="X36" i="19"/>
  <c r="W36" i="19"/>
  <c r="V36" i="19"/>
  <c r="U36" i="19"/>
  <c r="T36" i="19"/>
  <c r="S36" i="19"/>
  <c r="R36" i="19"/>
  <c r="Q36" i="19"/>
  <c r="P36" i="19"/>
  <c r="Y35" i="19"/>
  <c r="X35" i="19"/>
  <c r="W35" i="19"/>
  <c r="V35" i="19"/>
  <c r="U35" i="19"/>
  <c r="T35" i="19"/>
  <c r="S35" i="19"/>
  <c r="R35" i="19"/>
  <c r="Q35" i="19"/>
  <c r="P35" i="19"/>
  <c r="Y34" i="19"/>
  <c r="X34" i="19"/>
  <c r="W34" i="19"/>
  <c r="V34" i="19"/>
  <c r="U34" i="19"/>
  <c r="T34" i="19"/>
  <c r="S34" i="19"/>
  <c r="R34" i="19"/>
  <c r="Q34" i="19"/>
  <c r="P34" i="19"/>
  <c r="Y33" i="19"/>
  <c r="X33" i="19"/>
  <c r="W33" i="19"/>
  <c r="V33" i="19"/>
  <c r="U33" i="19"/>
  <c r="T33" i="19"/>
  <c r="S33" i="19"/>
  <c r="R33" i="19"/>
  <c r="Q33" i="19"/>
  <c r="P33" i="19"/>
  <c r="Y32" i="19"/>
  <c r="X32" i="19"/>
  <c r="W32" i="19"/>
  <c r="V32" i="19"/>
  <c r="U32" i="19"/>
  <c r="T32" i="19"/>
  <c r="S32" i="19"/>
  <c r="R32" i="19"/>
  <c r="Q32" i="19"/>
  <c r="P32" i="19"/>
  <c r="Y31" i="19"/>
  <c r="X31" i="19"/>
  <c r="W31" i="19"/>
  <c r="V31" i="19"/>
  <c r="U31" i="19"/>
  <c r="T31" i="19"/>
  <c r="S31" i="19"/>
  <c r="R31" i="19"/>
  <c r="Q31" i="19"/>
  <c r="P31" i="19"/>
  <c r="Y30" i="19"/>
  <c r="X30" i="19"/>
  <c r="W30" i="19"/>
  <c r="V30" i="19"/>
  <c r="U30" i="19"/>
  <c r="T30" i="19"/>
  <c r="S30" i="19"/>
  <c r="R30" i="19"/>
  <c r="Q30" i="19"/>
  <c r="P30" i="19"/>
  <c r="Y29" i="19"/>
  <c r="X29" i="19"/>
  <c r="W29" i="19"/>
  <c r="V29" i="19"/>
  <c r="U29" i="19"/>
  <c r="T29" i="19"/>
  <c r="S29" i="19"/>
  <c r="R29" i="19"/>
  <c r="Q29" i="19"/>
  <c r="P29" i="19"/>
  <c r="Y28" i="19"/>
  <c r="X28" i="19"/>
  <c r="W28" i="19"/>
  <c r="V28" i="19"/>
  <c r="U28" i="19"/>
  <c r="T28" i="19"/>
  <c r="S28" i="19"/>
  <c r="R28" i="19"/>
  <c r="Q28" i="19"/>
  <c r="P28" i="19"/>
  <c r="Y27" i="19"/>
  <c r="X27" i="19"/>
  <c r="W27" i="19"/>
  <c r="V27" i="19"/>
  <c r="U27" i="19"/>
  <c r="T27" i="19"/>
  <c r="S27" i="19"/>
  <c r="R27" i="19"/>
  <c r="Q27" i="19"/>
  <c r="P27" i="19"/>
  <c r="Y26" i="19"/>
  <c r="X26" i="19"/>
  <c r="W26" i="19"/>
  <c r="V26" i="19"/>
  <c r="U26" i="19"/>
  <c r="T26" i="19"/>
  <c r="S26" i="19"/>
  <c r="R26" i="19"/>
  <c r="Q26" i="19"/>
  <c r="P26" i="19"/>
  <c r="Y25" i="19"/>
  <c r="X25" i="19"/>
  <c r="W25" i="19"/>
  <c r="V25" i="19"/>
  <c r="U25" i="19"/>
  <c r="T25" i="19"/>
  <c r="S25" i="19"/>
  <c r="R25" i="19"/>
  <c r="Q25" i="19"/>
  <c r="P25" i="19"/>
  <c r="Y24" i="19"/>
  <c r="X24" i="19"/>
  <c r="W24" i="19"/>
  <c r="V24" i="19"/>
  <c r="U24" i="19"/>
  <c r="T24" i="19"/>
  <c r="S24" i="19"/>
  <c r="R24" i="19"/>
  <c r="Q24" i="19"/>
  <c r="P24" i="19"/>
  <c r="Y23" i="19"/>
  <c r="X23" i="19"/>
  <c r="W23" i="19"/>
  <c r="V23" i="19"/>
  <c r="U23" i="19"/>
  <c r="T23" i="19"/>
  <c r="S23" i="19"/>
  <c r="R23" i="19"/>
  <c r="Q23" i="19"/>
  <c r="P23" i="19"/>
  <c r="Y22" i="19"/>
  <c r="X22" i="19"/>
  <c r="W22" i="19"/>
  <c r="V22" i="19"/>
  <c r="U22" i="19"/>
  <c r="T22" i="19"/>
  <c r="S22" i="19"/>
  <c r="R22" i="19"/>
  <c r="Q22" i="19"/>
  <c r="P22" i="19"/>
  <c r="Y21" i="19"/>
  <c r="X21" i="19"/>
  <c r="W21" i="19"/>
  <c r="V21" i="19"/>
  <c r="U21" i="19"/>
  <c r="T21" i="19"/>
  <c r="S21" i="19"/>
  <c r="R21" i="19"/>
  <c r="Q21" i="19"/>
  <c r="P21" i="19"/>
  <c r="Y20" i="19"/>
  <c r="X20" i="19"/>
  <c r="W20" i="19"/>
  <c r="V20" i="19"/>
  <c r="U20" i="19"/>
  <c r="T20" i="19"/>
  <c r="S20" i="19"/>
  <c r="R20" i="19"/>
  <c r="Q20" i="19"/>
  <c r="P20" i="19"/>
  <c r="Y19" i="19"/>
  <c r="X19" i="19"/>
  <c r="W19" i="19"/>
  <c r="V19" i="19"/>
  <c r="U19" i="19"/>
  <c r="T19" i="19"/>
  <c r="S19" i="19"/>
  <c r="R19" i="19"/>
  <c r="Q19" i="19"/>
  <c r="P19" i="19"/>
  <c r="Y18" i="19"/>
  <c r="X18" i="19"/>
  <c r="W18" i="19"/>
  <c r="V18" i="19"/>
  <c r="U18" i="19"/>
  <c r="T18" i="19"/>
  <c r="S18" i="19"/>
  <c r="R18" i="19"/>
  <c r="Q18" i="19"/>
  <c r="P18" i="19"/>
  <c r="Y17" i="19"/>
  <c r="X17" i="19"/>
  <c r="W17" i="19"/>
  <c r="V17" i="19"/>
  <c r="U17" i="19"/>
  <c r="T17" i="19"/>
  <c r="S17" i="19"/>
  <c r="R17" i="19"/>
  <c r="Q17" i="19"/>
  <c r="P17" i="19"/>
  <c r="Y16" i="19"/>
  <c r="X16" i="19"/>
  <c r="W16" i="19"/>
  <c r="V16" i="19"/>
  <c r="U16" i="19"/>
  <c r="T16" i="19"/>
  <c r="S16" i="19"/>
  <c r="R16" i="19"/>
  <c r="Q16" i="19"/>
  <c r="P16" i="19"/>
  <c r="Y15" i="19"/>
  <c r="X15" i="19"/>
  <c r="W15" i="19"/>
  <c r="V15" i="19"/>
  <c r="U15" i="19"/>
  <c r="T15" i="19"/>
  <c r="S15" i="19"/>
  <c r="R15" i="19"/>
  <c r="Q15" i="19"/>
  <c r="P15" i="19"/>
  <c r="Y14" i="19"/>
  <c r="X14" i="19"/>
  <c r="W14" i="19"/>
  <c r="V14" i="19"/>
  <c r="U14" i="19"/>
  <c r="T14" i="19"/>
  <c r="S14" i="19"/>
  <c r="R14" i="19"/>
  <c r="Q14" i="19"/>
  <c r="P14" i="19"/>
  <c r="Y13" i="19"/>
  <c r="X13" i="19"/>
  <c r="W13" i="19"/>
  <c r="V13" i="19"/>
  <c r="U13" i="19"/>
  <c r="T13" i="19"/>
  <c r="S13" i="19"/>
  <c r="R13" i="19"/>
  <c r="Q13" i="19"/>
  <c r="P13" i="19"/>
  <c r="Y12" i="19"/>
  <c r="X12" i="19"/>
  <c r="W12" i="19"/>
  <c r="U12" i="19"/>
  <c r="T12" i="19"/>
  <c r="S12" i="19"/>
  <c r="R12" i="19"/>
  <c r="Q12" i="19"/>
  <c r="P12" i="19"/>
  <c r="Y11" i="19"/>
  <c r="X11" i="19"/>
  <c r="W11" i="19"/>
  <c r="V11" i="19"/>
  <c r="T11" i="19"/>
  <c r="S11" i="19"/>
  <c r="R11" i="19"/>
  <c r="Q11" i="19"/>
  <c r="P11" i="19"/>
  <c r="Y10" i="19"/>
  <c r="X10" i="19"/>
  <c r="W10" i="19"/>
  <c r="T10" i="19"/>
  <c r="S10" i="19"/>
  <c r="R10" i="19"/>
  <c r="Q10" i="19"/>
  <c r="P10" i="19"/>
  <c r="Y9" i="19"/>
  <c r="X9" i="19"/>
  <c r="W9" i="19"/>
  <c r="V9" i="19"/>
  <c r="T9" i="19"/>
  <c r="S9" i="19"/>
  <c r="R9" i="19"/>
  <c r="Q9" i="19"/>
  <c r="P9" i="19"/>
  <c r="Y8" i="19"/>
  <c r="X8" i="19"/>
  <c r="W8" i="19"/>
  <c r="V8" i="19"/>
  <c r="T8" i="19"/>
  <c r="S8" i="19"/>
  <c r="R8" i="19"/>
  <c r="Q8" i="19"/>
  <c r="P8" i="19"/>
  <c r="K17" i="13"/>
  <c r="K32" i="13"/>
  <c r="K33" i="13"/>
  <c r="K34" i="13"/>
  <c r="K35" i="13"/>
  <c r="K36" i="13"/>
  <c r="K37" i="13"/>
  <c r="K38" i="13"/>
  <c r="H6" i="16"/>
  <c r="G51" i="15"/>
  <c r="F51" i="15"/>
  <c r="F52" i="15"/>
  <c r="G34" i="15"/>
  <c r="F34" i="15"/>
  <c r="H44" i="14"/>
  <c r="H45" i="14"/>
  <c r="H46" i="14"/>
  <c r="H47" i="14"/>
  <c r="H48" i="14"/>
  <c r="H49" i="14"/>
  <c r="H50" i="14"/>
  <c r="H31" i="14"/>
  <c r="H32" i="14"/>
  <c r="H33" i="14"/>
  <c r="G31" i="14"/>
  <c r="G32" i="14"/>
  <c r="G33" i="14"/>
  <c r="G34" i="14"/>
  <c r="F26" i="15"/>
  <c r="F42" i="15"/>
  <c r="F25" i="15"/>
  <c r="F43" i="15"/>
  <c r="F49" i="15"/>
  <c r="F46" i="15"/>
  <c r="F29" i="15"/>
  <c r="F44" i="15"/>
  <c r="F31" i="15"/>
  <c r="F30" i="15"/>
  <c r="F33" i="15"/>
  <c r="F48" i="15"/>
  <c r="F45" i="15"/>
  <c r="F32" i="15"/>
  <c r="F47" i="15"/>
  <c r="F50" i="15"/>
  <c r="F28" i="15"/>
  <c r="F27" i="15"/>
  <c r="G30" i="14" l="1"/>
  <c r="H30" i="14" s="1"/>
  <c r="H24" i="20"/>
  <c r="H26" i="20"/>
  <c r="V10" i="19"/>
  <c r="N12" i="19"/>
  <c r="V12" i="19"/>
  <c r="H11" i="19"/>
  <c r="M11" i="19" s="1"/>
  <c r="N11" i="19" s="1"/>
  <c r="H8" i="19"/>
  <c r="M8" i="19" s="1"/>
  <c r="N8" i="19" s="1"/>
  <c r="H9" i="19"/>
  <c r="M9" i="19" s="1"/>
  <c r="N9" i="19" s="1"/>
  <c r="G28" i="14"/>
  <c r="H28" i="14" s="1"/>
  <c r="G31" i="15"/>
  <c r="G50" i="15"/>
  <c r="G27" i="14"/>
  <c r="H27" i="14" s="1"/>
  <c r="G30" i="15"/>
  <c r="G49" i="15"/>
  <c r="G26" i="14"/>
  <c r="H26" i="14" s="1"/>
  <c r="G48" i="15"/>
  <c r="G28" i="15"/>
  <c r="G47" i="15"/>
  <c r="G27" i="15"/>
  <c r="G46" i="15"/>
  <c r="G29" i="15"/>
  <c r="G26" i="15"/>
  <c r="G45" i="15"/>
  <c r="G25" i="15"/>
  <c r="G33" i="15"/>
  <c r="G44" i="15"/>
  <c r="G29" i="14"/>
  <c r="H29" i="14" s="1"/>
  <c r="G32" i="15"/>
  <c r="G42" i="15"/>
  <c r="G43" i="15"/>
  <c r="K26" i="13"/>
  <c r="K25" i="13"/>
  <c r="K24" i="13"/>
  <c r="K31" i="13"/>
  <c r="K23" i="13"/>
  <c r="K30" i="13"/>
  <c r="K22" i="13"/>
  <c r="K29" i="13"/>
  <c r="K21" i="13"/>
  <c r="K28" i="13"/>
  <c r="K20" i="13"/>
  <c r="K27" i="13"/>
  <c r="K19" i="13"/>
  <c r="N58" i="19"/>
  <c r="T58" i="19"/>
  <c r="F63" i="19" s="1"/>
  <c r="N63" i="19" s="1"/>
  <c r="R58" i="19"/>
  <c r="F61" i="19" s="1"/>
  <c r="N61" i="19" s="1"/>
  <c r="P58" i="19"/>
  <c r="F59" i="19" s="1"/>
  <c r="Q58" i="19"/>
  <c r="F60" i="19" s="1"/>
  <c r="N60" i="19" s="1"/>
  <c r="S58" i="19"/>
  <c r="F62" i="19" s="1"/>
  <c r="N62" i="19" s="1"/>
  <c r="W58" i="19"/>
  <c r="X58" i="19"/>
  <c r="Y58" i="19"/>
  <c r="E18" i="18"/>
  <c r="R43" i="18"/>
  <c r="H43" i="18"/>
  <c r="G43" i="18"/>
  <c r="F43" i="18"/>
  <c r="E43" i="18" s="1"/>
  <c r="F42" i="18"/>
  <c r="H41" i="18"/>
  <c r="G41" i="18"/>
  <c r="H40" i="18"/>
  <c r="H44" i="18" s="1"/>
  <c r="G40" i="18"/>
  <c r="F39" i="18"/>
  <c r="H37" i="18"/>
  <c r="G37" i="18"/>
  <c r="H36" i="18"/>
  <c r="G36" i="18"/>
  <c r="E36" i="18"/>
  <c r="D36" i="18" s="1"/>
  <c r="F36" i="18" s="1"/>
  <c r="C36" i="18"/>
  <c r="C35" i="18" s="1"/>
  <c r="R35" i="18"/>
  <c r="H35" i="18"/>
  <c r="H38" i="18" s="1"/>
  <c r="H39" i="18" s="1"/>
  <c r="H42" i="18" s="1"/>
  <c r="G35" i="18"/>
  <c r="G38" i="18" s="1"/>
  <c r="G39" i="18" s="1"/>
  <c r="G42" i="18" s="1"/>
  <c r="G33" i="18"/>
  <c r="H33" i="18" s="1"/>
  <c r="R32" i="18"/>
  <c r="H30" i="18"/>
  <c r="G30" i="18"/>
  <c r="E30" i="18"/>
  <c r="R28" i="18"/>
  <c r="C28" i="18"/>
  <c r="P26" i="18"/>
  <c r="P32" i="18" s="1"/>
  <c r="P41" i="18" s="1"/>
  <c r="P43" i="18" s="1"/>
  <c r="H25" i="18"/>
  <c r="H24" i="18"/>
  <c r="H26" i="18" s="1"/>
  <c r="G24" i="18"/>
  <c r="H23" i="18"/>
  <c r="G23" i="18"/>
  <c r="E23" i="18"/>
  <c r="R19" i="18"/>
  <c r="M19" i="18"/>
  <c r="G19" i="18"/>
  <c r="P18" i="18"/>
  <c r="G17" i="18"/>
  <c r="R16" i="18"/>
  <c r="G16" i="18"/>
  <c r="P13" i="18"/>
  <c r="G13" i="18"/>
  <c r="H12" i="18"/>
  <c r="G12" i="18"/>
  <c r="H11" i="18"/>
  <c r="H14" i="18" s="1"/>
  <c r="H13" i="18" s="1"/>
  <c r="K19" i="18" s="1"/>
  <c r="G11" i="18"/>
  <c r="G14" i="18" s="1"/>
  <c r="G15" i="18" s="1"/>
  <c r="G18" i="18" s="1"/>
  <c r="N7" i="18"/>
  <c r="X6" i="18"/>
  <c r="R6" i="18" s="1"/>
  <c r="W6" i="18"/>
  <c r="W5" i="18" s="1"/>
  <c r="V6" i="18"/>
  <c r="V5" i="18" s="1"/>
  <c r="H5" i="18"/>
  <c r="H29" i="18" s="1"/>
  <c r="G5" i="18"/>
  <c r="C6" i="18" s="1"/>
  <c r="H4" i="18"/>
  <c r="G4" i="18"/>
  <c r="H3" i="18"/>
  <c r="H39" i="20" l="1"/>
  <c r="E47" i="20" s="1"/>
  <c r="V58" i="19"/>
  <c r="G36" i="15"/>
  <c r="U11" i="19"/>
  <c r="U10" i="19"/>
  <c r="U9" i="19"/>
  <c r="U8" i="19"/>
  <c r="R7" i="18"/>
  <c r="G26" i="18"/>
  <c r="G29" i="18"/>
  <c r="G27" i="18" s="1"/>
  <c r="G25" i="18" s="1"/>
  <c r="H27" i="18"/>
  <c r="L30" i="18" s="1"/>
  <c r="G44" i="18"/>
  <c r="G34" i="18" s="1"/>
  <c r="H34" i="18" s="1"/>
  <c r="L43" i="18" s="1"/>
  <c r="G7" i="18"/>
  <c r="I7" i="18" s="1"/>
  <c r="D27" i="16"/>
  <c r="D29" i="16" s="1"/>
  <c r="D31" i="16" s="1"/>
  <c r="F13" i="16"/>
  <c r="C53" i="15"/>
  <c r="H50" i="15"/>
  <c r="H49" i="15"/>
  <c r="H48" i="15"/>
  <c r="H47" i="15"/>
  <c r="H46" i="15"/>
  <c r="H45" i="15"/>
  <c r="H44" i="15"/>
  <c r="H43" i="15"/>
  <c r="H42" i="15"/>
  <c r="H40" i="15"/>
  <c r="F40" i="15"/>
  <c r="D40" i="15"/>
  <c r="C36" i="15"/>
  <c r="H33" i="15"/>
  <c r="H32" i="15"/>
  <c r="H31" i="15"/>
  <c r="H30" i="15"/>
  <c r="H29" i="15"/>
  <c r="H28" i="15"/>
  <c r="H27" i="15"/>
  <c r="H26" i="15"/>
  <c r="H23" i="15"/>
  <c r="F23" i="15"/>
  <c r="D23" i="15"/>
  <c r="C11" i="15"/>
  <c r="C10" i="15"/>
  <c r="C51" i="14"/>
  <c r="G43" i="14"/>
  <c r="H43" i="14" s="1"/>
  <c r="G42" i="14"/>
  <c r="H42" i="14" s="1"/>
  <c r="G41" i="14"/>
  <c r="H41" i="14" s="1"/>
  <c r="F39" i="14"/>
  <c r="C35" i="14"/>
  <c r="F24" i="14"/>
  <c r="D24" i="14"/>
  <c r="F47" i="13"/>
  <c r="F48" i="13" s="1"/>
  <c r="G39" i="13"/>
  <c r="T31" i="13"/>
  <c r="Q31" i="13"/>
  <c r="D31" i="13" s="1"/>
  <c r="I31" i="13" s="1"/>
  <c r="H31" i="13"/>
  <c r="C31" i="13"/>
  <c r="T30" i="13"/>
  <c r="Q30" i="13"/>
  <c r="D30" i="13" s="1"/>
  <c r="I30" i="13" s="1"/>
  <c r="H30" i="13"/>
  <c r="C30" i="13"/>
  <c r="T29" i="13"/>
  <c r="H29" i="13" s="1"/>
  <c r="Q29" i="13"/>
  <c r="D29" i="13" s="1"/>
  <c r="I29" i="13" s="1"/>
  <c r="C29" i="13"/>
  <c r="T28" i="13"/>
  <c r="H28" i="13" s="1"/>
  <c r="Q28" i="13"/>
  <c r="D28" i="13" s="1"/>
  <c r="I28" i="13" s="1"/>
  <c r="C28" i="13"/>
  <c r="T27" i="13"/>
  <c r="H27" i="13" s="1"/>
  <c r="Q27" i="13"/>
  <c r="D27" i="13"/>
  <c r="I27" i="13" s="1"/>
  <c r="C27" i="13"/>
  <c r="T26" i="13"/>
  <c r="H26" i="13" s="1"/>
  <c r="Q26" i="13"/>
  <c r="D26" i="13"/>
  <c r="I26" i="13" s="1"/>
  <c r="C26" i="13"/>
  <c r="T25" i="13"/>
  <c r="Q25" i="13"/>
  <c r="D25" i="13" s="1"/>
  <c r="I25" i="13" s="1"/>
  <c r="H25" i="13"/>
  <c r="C25" i="13"/>
  <c r="T24" i="13"/>
  <c r="H24" i="13" s="1"/>
  <c r="Q24" i="13"/>
  <c r="D24" i="13" s="1"/>
  <c r="I24" i="13" s="1"/>
  <c r="C24" i="13"/>
  <c r="T23" i="13"/>
  <c r="H23" i="13" s="1"/>
  <c r="Q23" i="13"/>
  <c r="D23" i="13"/>
  <c r="I23" i="13" s="1"/>
  <c r="C23" i="13"/>
  <c r="T22" i="13"/>
  <c r="H22" i="13" s="1"/>
  <c r="Q22" i="13"/>
  <c r="D22" i="13" s="1"/>
  <c r="I22" i="13" s="1"/>
  <c r="C22" i="13"/>
  <c r="T21" i="13"/>
  <c r="H21" i="13" s="1"/>
  <c r="Q21" i="13"/>
  <c r="D21" i="13" s="1"/>
  <c r="I21" i="13" s="1"/>
  <c r="C21" i="13"/>
  <c r="T20" i="13"/>
  <c r="H20" i="13" s="1"/>
  <c r="Q20" i="13"/>
  <c r="D20" i="13" s="1"/>
  <c r="I20" i="13" s="1"/>
  <c r="C20" i="13"/>
  <c r="T19" i="13"/>
  <c r="Q19" i="13"/>
  <c r="D19" i="13" s="1"/>
  <c r="I19" i="13" s="1"/>
  <c r="C19" i="13"/>
  <c r="T18" i="13"/>
  <c r="Q18" i="13"/>
  <c r="C18" i="13"/>
  <c r="G15" i="13"/>
  <c r="D15" i="13"/>
  <c r="C12" i="13"/>
  <c r="U58" i="19" l="1"/>
  <c r="N59" i="19" s="1"/>
  <c r="G53" i="15"/>
  <c r="H25" i="15"/>
  <c r="H36" i="15" s="1"/>
  <c r="G35" i="14"/>
  <c r="H35" i="14"/>
  <c r="H53" i="15"/>
  <c r="H51" i="14"/>
  <c r="G51" i="14"/>
  <c r="D39" i="13"/>
  <c r="I18" i="13"/>
  <c r="K18" i="13" s="1"/>
  <c r="F51" i="13"/>
  <c r="F49" i="13"/>
  <c r="F50" i="13" s="1"/>
  <c r="G55" i="15" l="1"/>
  <c r="G53" i="14"/>
  <c r="H53" i="14"/>
  <c r="H55" i="15"/>
  <c r="I39" i="13"/>
  <c r="K39" i="13" l="1"/>
  <c r="H47" i="13" s="1"/>
  <c r="H48" i="13" s="1"/>
  <c r="D47" i="13" l="1"/>
  <c r="H51" i="13"/>
  <c r="D51" i="13" s="1"/>
  <c r="D48" i="13"/>
  <c r="H49" i="13"/>
  <c r="D49" i="13" l="1"/>
  <c r="H50" i="13"/>
  <c r="D50" i="13" s="1"/>
  <c r="H86" i="9" l="1"/>
  <c r="R95" i="9" l="1"/>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94" i="9"/>
  <c r="J94" i="9"/>
  <c r="J103" i="9"/>
  <c r="J104" i="9"/>
  <c r="J105" i="9"/>
  <c r="J106" i="9"/>
  <c r="J107" i="9"/>
  <c r="J108" i="9"/>
  <c r="J109" i="9"/>
  <c r="J110" i="9"/>
  <c r="J111" i="9"/>
  <c r="J112" i="9"/>
  <c r="J113" i="9"/>
  <c r="J114" i="9"/>
  <c r="J115" i="9"/>
  <c r="J116" i="9"/>
  <c r="J117" i="9"/>
  <c r="J118" i="9"/>
  <c r="J119" i="9"/>
  <c r="J120" i="9"/>
  <c r="J121" i="9"/>
  <c r="J122" i="9"/>
  <c r="J95" i="9"/>
  <c r="J96" i="9"/>
  <c r="J97" i="9"/>
  <c r="J98" i="9"/>
  <c r="J99" i="9"/>
  <c r="J100" i="9"/>
  <c r="J101" i="9"/>
  <c r="J102" i="9"/>
  <c r="O83" i="9" l="1"/>
  <c r="I83" i="9"/>
  <c r="Z76" i="9" l="1"/>
  <c r="L59" i="12" l="1"/>
  <c r="L58" i="12"/>
  <c r="L57" i="12"/>
  <c r="I59" i="12"/>
  <c r="I58" i="12"/>
  <c r="I57" i="12"/>
  <c r="Q53" i="12"/>
  <c r="Q52" i="12"/>
  <c r="Q51" i="12"/>
  <c r="Q50" i="12"/>
  <c r="O53" i="12"/>
  <c r="O52" i="12"/>
  <c r="O51" i="12"/>
  <c r="O50" i="12"/>
  <c r="F53" i="12"/>
  <c r="F52" i="12"/>
  <c r="F51" i="12"/>
  <c r="F50" i="12"/>
  <c r="D53" i="12"/>
  <c r="D52" i="12"/>
  <c r="D51" i="12"/>
  <c r="D50" i="12"/>
  <c r="A53" i="12"/>
  <c r="A52" i="12"/>
  <c r="A51" i="12"/>
  <c r="A50" i="12"/>
  <c r="S17" i="12" l="1"/>
  <c r="S18" i="12"/>
  <c r="S19" i="12"/>
  <c r="S20" i="12"/>
  <c r="S21" i="12"/>
  <c r="S22" i="12"/>
  <c r="S23" i="12"/>
  <c r="S24" i="12"/>
  <c r="S25" i="12"/>
  <c r="S26" i="12"/>
  <c r="S27" i="12"/>
  <c r="S28" i="12"/>
  <c r="S29" i="12"/>
  <c r="S30" i="12"/>
  <c r="S31" i="12"/>
  <c r="S32" i="12"/>
  <c r="S33" i="12"/>
  <c r="S34" i="12"/>
  <c r="S35" i="12"/>
  <c r="S36" i="12"/>
  <c r="S37" i="12"/>
  <c r="S38" i="12"/>
  <c r="S39" i="12"/>
  <c r="S40" i="12"/>
  <c r="S41" i="12"/>
  <c r="S42" i="12"/>
  <c r="S43" i="12"/>
  <c r="S44" i="12"/>
  <c r="S45" i="12"/>
  <c r="S16" i="12"/>
  <c r="Q17" i="12"/>
  <c r="Q19" i="12"/>
  <c r="Q20" i="12"/>
  <c r="Q21" i="12"/>
  <c r="Q22" i="12"/>
  <c r="Q23" i="12"/>
  <c r="Q24" i="12"/>
  <c r="Q25" i="12"/>
  <c r="Q26" i="12"/>
  <c r="U26" i="12" s="1"/>
  <c r="Q27" i="12"/>
  <c r="U27" i="12" s="1"/>
  <c r="Q28" i="12"/>
  <c r="U28" i="12" s="1"/>
  <c r="Q29" i="12"/>
  <c r="U29" i="12" s="1"/>
  <c r="Q30" i="12"/>
  <c r="U30" i="12" s="1"/>
  <c r="Q31" i="12"/>
  <c r="U31" i="12" s="1"/>
  <c r="Q32" i="12"/>
  <c r="U32" i="12" s="1"/>
  <c r="Q33" i="12"/>
  <c r="U33" i="12" s="1"/>
  <c r="Q34" i="12"/>
  <c r="U34" i="12" s="1"/>
  <c r="Q35" i="12"/>
  <c r="U35" i="12" s="1"/>
  <c r="Q36" i="12"/>
  <c r="U36" i="12" s="1"/>
  <c r="Q37" i="12"/>
  <c r="U37" i="12" s="1"/>
  <c r="Q38" i="12"/>
  <c r="U38" i="12" s="1"/>
  <c r="Q39" i="12"/>
  <c r="U39" i="12" s="1"/>
  <c r="Q40" i="12"/>
  <c r="U40" i="12" s="1"/>
  <c r="Q41" i="12"/>
  <c r="U41" i="12" s="1"/>
  <c r="Q42" i="12"/>
  <c r="U42" i="12" s="1"/>
  <c r="Q43" i="12"/>
  <c r="U43" i="12" s="1"/>
  <c r="Q44" i="12"/>
  <c r="U44" i="12" s="1"/>
  <c r="Q45" i="12"/>
  <c r="U45" i="12" s="1"/>
  <c r="Q16" i="12"/>
  <c r="O17" i="12"/>
  <c r="O18" i="12"/>
  <c r="O19" i="12"/>
  <c r="O20" i="12"/>
  <c r="O21" i="12"/>
  <c r="O22" i="12"/>
  <c r="O23" i="12"/>
  <c r="O24" i="12"/>
  <c r="O25" i="12"/>
  <c r="O26" i="12"/>
  <c r="O27" i="12"/>
  <c r="O28" i="12"/>
  <c r="O29" i="12"/>
  <c r="O30" i="12"/>
  <c r="O31" i="12"/>
  <c r="O32" i="12"/>
  <c r="O33" i="12"/>
  <c r="O34" i="12"/>
  <c r="O35" i="12"/>
  <c r="O36" i="12"/>
  <c r="O37" i="12"/>
  <c r="O38" i="12"/>
  <c r="O39" i="12"/>
  <c r="O40" i="12"/>
  <c r="O41" i="12"/>
  <c r="O42" i="12"/>
  <c r="O43" i="12"/>
  <c r="O44" i="12"/>
  <c r="O45" i="12"/>
  <c r="O16" i="12"/>
  <c r="A17" i="12"/>
  <c r="A18" i="12"/>
  <c r="A19" i="12"/>
  <c r="A20" i="12"/>
  <c r="A21" i="12"/>
  <c r="A22" i="12"/>
  <c r="A23" i="12"/>
  <c r="A24" i="12"/>
  <c r="L24" i="12" s="1"/>
  <c r="A25" i="12"/>
  <c r="L25" i="12" s="1"/>
  <c r="A26" i="12"/>
  <c r="L26" i="12" s="1"/>
  <c r="A27" i="12"/>
  <c r="L27" i="12" s="1"/>
  <c r="A28" i="12"/>
  <c r="L28" i="12" s="1"/>
  <c r="A29" i="12"/>
  <c r="L29" i="12" s="1"/>
  <c r="A30" i="12"/>
  <c r="L30" i="12" s="1"/>
  <c r="A31" i="12"/>
  <c r="L31" i="12" s="1"/>
  <c r="A32" i="12"/>
  <c r="L32" i="12" s="1"/>
  <c r="A33" i="12"/>
  <c r="L33" i="12" s="1"/>
  <c r="A34" i="12"/>
  <c r="L34" i="12" s="1"/>
  <c r="A35" i="12"/>
  <c r="L35" i="12" s="1"/>
  <c r="A36" i="12"/>
  <c r="L36" i="12" s="1"/>
  <c r="A37" i="12"/>
  <c r="L37" i="12" s="1"/>
  <c r="A38" i="12"/>
  <c r="L38" i="12" s="1"/>
  <c r="A39" i="12"/>
  <c r="L39" i="12" s="1"/>
  <c r="A40" i="12"/>
  <c r="L40" i="12" s="1"/>
  <c r="A41" i="12"/>
  <c r="L41" i="12" s="1"/>
  <c r="A42" i="12"/>
  <c r="L42" i="12" s="1"/>
  <c r="A43" i="12"/>
  <c r="L43" i="12" s="1"/>
  <c r="A44" i="12"/>
  <c r="L44" i="12" s="1"/>
  <c r="A45" i="12"/>
  <c r="L45" i="12" s="1"/>
  <c r="D23" i="12"/>
  <c r="D24" i="12"/>
  <c r="D25" i="12"/>
  <c r="D26" i="12"/>
  <c r="D27" i="12"/>
  <c r="D28" i="12"/>
  <c r="D29" i="12"/>
  <c r="D30" i="12"/>
  <c r="D31" i="12"/>
  <c r="D32" i="12"/>
  <c r="D33" i="12"/>
  <c r="D34" i="12"/>
  <c r="D35" i="12"/>
  <c r="D36" i="12"/>
  <c r="D37" i="12"/>
  <c r="D38" i="12"/>
  <c r="D39" i="12"/>
  <c r="D40" i="12"/>
  <c r="D41" i="12"/>
  <c r="D42" i="12"/>
  <c r="D43" i="12"/>
  <c r="D44" i="12"/>
  <c r="D45"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H16" i="12"/>
  <c r="F16" i="12"/>
  <c r="D22" i="12"/>
  <c r="D21" i="12"/>
  <c r="D20" i="12"/>
  <c r="D19" i="12"/>
  <c r="D18" i="12"/>
  <c r="D17" i="12"/>
  <c r="D16" i="12"/>
  <c r="J20" i="10"/>
  <c r="U25" i="12" l="1"/>
  <c r="U24" i="12"/>
  <c r="U23" i="12"/>
  <c r="U20" i="12"/>
  <c r="U19" i="12"/>
  <c r="U22" i="12"/>
  <c r="U21" i="12"/>
  <c r="U18" i="12"/>
  <c r="U17" i="12"/>
  <c r="T6" i="12" l="1"/>
  <c r="O8" i="12"/>
  <c r="O7" i="12"/>
  <c r="O6" i="12"/>
  <c r="O5" i="12"/>
  <c r="O4" i="12"/>
  <c r="V12" i="10"/>
  <c r="V13" i="10"/>
  <c r="O16" i="11"/>
  <c r="O15" i="11"/>
  <c r="O14" i="11"/>
  <c r="K3" i="11"/>
  <c r="R7" i="10"/>
  <c r="O49" i="11"/>
  <c r="M45" i="11"/>
  <c r="M44" i="11"/>
  <c r="M38" i="11"/>
  <c r="M33" i="11"/>
  <c r="M32" i="11"/>
  <c r="M30" i="11"/>
  <c r="M17" i="11"/>
  <c r="M16" i="11"/>
  <c r="M15" i="11"/>
  <c r="N138" i="9" l="1"/>
  <c r="M43" i="11" s="1"/>
  <c r="H138" i="9"/>
  <c r="I45" i="11" l="1"/>
  <c r="I44" i="11"/>
  <c r="I38" i="11" l="1"/>
  <c r="I33" i="11"/>
  <c r="I32" i="11"/>
  <c r="I30" i="11"/>
  <c r="K14" i="11" l="1"/>
  <c r="K17" i="11"/>
  <c r="K16" i="11"/>
  <c r="K15" i="11"/>
  <c r="I17" i="11"/>
  <c r="I16" i="11"/>
  <c r="I15" i="11"/>
  <c r="K7" i="11"/>
  <c r="K6" i="11"/>
  <c r="O5" i="11"/>
  <c r="K5" i="11"/>
  <c r="M5" i="11" s="1"/>
  <c r="K4" i="11"/>
  <c r="G21" i="10"/>
  <c r="I51" i="12" l="1"/>
  <c r="I53" i="12"/>
  <c r="J17" i="12" l="1"/>
  <c r="J18" i="12"/>
  <c r="U16" i="12"/>
  <c r="J18" i="10"/>
  <c r="W21" i="10"/>
  <c r="W20" i="10"/>
  <c r="W18" i="10"/>
  <c r="W19" i="10"/>
  <c r="J21" i="10"/>
  <c r="J19" i="10"/>
  <c r="L46" i="10"/>
  <c r="S46" i="10"/>
  <c r="T21" i="10" l="1"/>
  <c r="V15" i="10"/>
  <c r="V14" i="10"/>
  <c r="N12" i="10" l="1"/>
  <c r="N15" i="10"/>
  <c r="N14" i="10"/>
  <c r="N13" i="10"/>
  <c r="F15" i="10"/>
  <c r="F14" i="10"/>
  <c r="F13" i="10"/>
  <c r="F12" i="10"/>
  <c r="R8" i="10"/>
  <c r="V6" i="10"/>
  <c r="R6" i="10"/>
  <c r="R5" i="10"/>
  <c r="R4" i="10"/>
  <c r="G20" i="10"/>
  <c r="G19" i="10"/>
  <c r="G18" i="10"/>
  <c r="T20" i="10" l="1"/>
  <c r="T19" i="10"/>
  <c r="T18" i="10"/>
  <c r="H85" i="9"/>
  <c r="T53" i="12" l="1"/>
  <c r="L53" i="12"/>
  <c r="T52" i="12"/>
  <c r="I52" i="12"/>
  <c r="L52" i="12"/>
  <c r="L51" i="12"/>
  <c r="L50" i="12"/>
  <c r="L48" i="12"/>
  <c r="T50" i="12" s="1"/>
  <c r="J45" i="12"/>
  <c r="J44" i="12"/>
  <c r="J43" i="12"/>
  <c r="J42" i="12"/>
  <c r="J41" i="12"/>
  <c r="J40" i="12"/>
  <c r="J39" i="12"/>
  <c r="J38" i="12"/>
  <c r="J37" i="12"/>
  <c r="J36" i="12"/>
  <c r="J35" i="12"/>
  <c r="L23" i="12"/>
  <c r="L22" i="12"/>
  <c r="L21" i="12"/>
  <c r="L20" i="12"/>
  <c r="L19" i="12"/>
  <c r="L18" i="12"/>
  <c r="L17" i="12"/>
  <c r="K8" i="12"/>
  <c r="K7" i="12"/>
  <c r="R6" i="12"/>
  <c r="K5" i="12"/>
  <c r="K4" i="12"/>
  <c r="C45" i="11"/>
  <c r="H7" i="11"/>
  <c r="H6" i="11"/>
  <c r="H4" i="11"/>
  <c r="H3" i="11"/>
  <c r="A60" i="10"/>
  <c r="A59" i="10"/>
  <c r="A58" i="10"/>
  <c r="T6" i="10"/>
  <c r="S186" i="9"/>
  <c r="N161" i="9"/>
  <c r="T36" i="10" s="1"/>
  <c r="H161" i="9"/>
  <c r="M36" i="10" s="1"/>
  <c r="N160" i="9"/>
  <c r="T35" i="10" s="1"/>
  <c r="H160" i="9"/>
  <c r="M35" i="10" s="1"/>
  <c r="N155" i="9"/>
  <c r="T31" i="10" s="1"/>
  <c r="H155" i="9"/>
  <c r="M31" i="10" s="1"/>
  <c r="N154" i="9"/>
  <c r="T30" i="10" s="1"/>
  <c r="H154" i="9"/>
  <c r="M30" i="10" s="1"/>
  <c r="N149" i="9"/>
  <c r="T26" i="10" s="1"/>
  <c r="H149" i="9"/>
  <c r="M26" i="10" s="1"/>
  <c r="N148" i="9"/>
  <c r="T25" i="10" s="1"/>
  <c r="H148" i="9"/>
  <c r="M25" i="10" s="1"/>
  <c r="I43" i="11"/>
  <c r="P131" i="9"/>
  <c r="R131" i="9" s="1"/>
  <c r="J131" i="9"/>
  <c r="H131" i="9"/>
  <c r="R130" i="9"/>
  <c r="P130" i="9"/>
  <c r="J130" i="9"/>
  <c r="H130" i="9"/>
  <c r="P129" i="9"/>
  <c r="R129" i="9" s="1"/>
  <c r="H129" i="9"/>
  <c r="J129" i="9" s="1"/>
  <c r="P128" i="9"/>
  <c r="R128" i="9" s="1"/>
  <c r="H128" i="9"/>
  <c r="J128" i="9" s="1"/>
  <c r="N124" i="9"/>
  <c r="F124" i="9"/>
  <c r="AB76" i="9"/>
  <c r="H87" i="9"/>
  <c r="N87" i="9" s="1"/>
  <c r="N86" i="9"/>
  <c r="N85" i="9" s="1"/>
  <c r="Z73" i="9"/>
  <c r="M34" i="11"/>
  <c r="I34" i="11"/>
  <c r="B76" i="9"/>
  <c r="Z65" i="9"/>
  <c r="Z67" i="9" s="1"/>
  <c r="AB68" i="9" s="1"/>
  <c r="B75" i="9"/>
  <c r="B74" i="9"/>
  <c r="B71" i="9"/>
  <c r="B70" i="9"/>
  <c r="B69" i="9"/>
  <c r="J124" i="9" l="1"/>
  <c r="I41" i="11" s="1"/>
  <c r="R124" i="9"/>
  <c r="M41" i="11" s="1"/>
  <c r="J132" i="9"/>
  <c r="I42" i="11" s="1"/>
  <c r="R132" i="9"/>
  <c r="M42" i="11" s="1"/>
  <c r="H156" i="9"/>
  <c r="M32" i="10" s="1"/>
  <c r="H150" i="9"/>
  <c r="M27" i="10" s="1"/>
  <c r="N162" i="9"/>
  <c r="T37" i="10" s="1"/>
  <c r="H162" i="9"/>
  <c r="M37" i="10" s="1"/>
  <c r="N156" i="9"/>
  <c r="T32" i="10" s="1"/>
  <c r="N150" i="9"/>
  <c r="T27" i="10" s="1"/>
  <c r="J22" i="12"/>
  <c r="J30" i="12"/>
  <c r="I60" i="12"/>
  <c r="T51" i="12"/>
  <c r="L60" i="12"/>
  <c r="J23" i="12"/>
  <c r="J20" i="12"/>
  <c r="J28" i="12"/>
  <c r="I50" i="12"/>
  <c r="J19" i="12"/>
  <c r="J25" i="12"/>
  <c r="J31" i="12"/>
  <c r="J21" i="12"/>
  <c r="J29" i="12"/>
  <c r="J16" i="12"/>
  <c r="J24" i="12"/>
  <c r="J32" i="12"/>
  <c r="Q46" i="12"/>
  <c r="J26" i="12"/>
  <c r="J27" i="12"/>
  <c r="J34" i="12"/>
  <c r="J33" i="12"/>
  <c r="F46" i="12"/>
  <c r="N144" i="9" l="1"/>
  <c r="H144" i="9"/>
  <c r="I54" i="12"/>
  <c r="T54" i="12"/>
  <c r="Q88" i="9"/>
  <c r="H88" i="9"/>
  <c r="N88" i="9"/>
  <c r="M14" i="11" s="1"/>
  <c r="U46" i="12"/>
  <c r="J46" i="12"/>
  <c r="S48" i="10" l="1"/>
  <c r="M46" i="11"/>
  <c r="H151" i="9"/>
  <c r="I18" i="11" s="1"/>
  <c r="I14" i="11"/>
  <c r="L48" i="10"/>
  <c r="I46" i="11"/>
  <c r="N163" i="9"/>
  <c r="H163" i="9"/>
  <c r="I19" i="11" s="1"/>
  <c r="H157" i="9"/>
  <c r="I20" i="11" s="1"/>
  <c r="N151" i="9"/>
  <c r="M18" i="11" s="1"/>
  <c r="N157" i="9"/>
  <c r="M20" i="11" s="1"/>
  <c r="N164" i="9" l="1"/>
  <c r="M19" i="11"/>
  <c r="H152" i="9"/>
  <c r="I21" i="11" s="1"/>
  <c r="M28" i="10"/>
  <c r="T38" i="10"/>
  <c r="N158" i="9"/>
  <c r="T33" i="10"/>
  <c r="N152" i="9"/>
  <c r="T28" i="10"/>
  <c r="H164" i="9"/>
  <c r="M38" i="10"/>
  <c r="H158" i="9"/>
  <c r="M33" i="10"/>
  <c r="I60" i="9" l="1"/>
  <c r="F65" i="9" s="1"/>
  <c r="T29" i="10"/>
  <c r="M21" i="11"/>
  <c r="T34" i="10"/>
  <c r="M23" i="11"/>
  <c r="T39" i="10"/>
  <c r="M22" i="11"/>
  <c r="M29" i="10"/>
  <c r="M39" i="10"/>
  <c r="I22" i="11"/>
  <c r="M34" i="10"/>
  <c r="I23" i="11"/>
  <c r="Q89" i="9"/>
  <c r="O24" i="11" s="1"/>
  <c r="N166" i="9"/>
  <c r="T40" i="10" s="1"/>
  <c r="H166" i="9"/>
  <c r="M40" i="10" s="1"/>
  <c r="K89" i="9"/>
  <c r="K24" i="11" s="1"/>
  <c r="H89" i="9"/>
  <c r="Y94" i="9" s="1"/>
  <c r="N89" i="9"/>
  <c r="F66" i="9" l="1"/>
  <c r="F64" i="9"/>
  <c r="H65" i="9" s="1"/>
  <c r="H170" i="9" s="1"/>
  <c r="AG99" i="9"/>
  <c r="AG98" i="9"/>
  <c r="AG97" i="9"/>
  <c r="M24" i="11"/>
  <c r="Y105" i="9"/>
  <c r="H174" i="9"/>
  <c r="I36" i="11" s="1"/>
  <c r="I24" i="11"/>
  <c r="N167" i="9"/>
  <c r="N168" i="9" s="1"/>
  <c r="H167" i="9"/>
  <c r="H168" i="9" s="1"/>
  <c r="H201" i="9"/>
  <c r="F75" i="9"/>
  <c r="F70" i="9"/>
  <c r="F69" i="9" l="1"/>
  <c r="F74" i="9"/>
  <c r="F82" i="9"/>
  <c r="F80" i="9"/>
  <c r="F71" i="9"/>
  <c r="F76" i="9"/>
  <c r="I75" i="9" s="1"/>
  <c r="I29" i="11" s="1"/>
  <c r="AG110" i="9"/>
  <c r="AG109" i="9"/>
  <c r="AG108" i="9"/>
  <c r="AB101" i="9"/>
  <c r="L43" i="10"/>
  <c r="I28" i="11"/>
  <c r="M25" i="11"/>
  <c r="O60" i="9"/>
  <c r="H203" i="9"/>
  <c r="I27" i="11" s="1"/>
  <c r="H202" i="9"/>
  <c r="I26" i="11" s="1"/>
  <c r="M42" i="10"/>
  <c r="I25" i="11"/>
  <c r="T41" i="10"/>
  <c r="M41" i="10"/>
  <c r="T42" i="10"/>
  <c r="M174" i="9"/>
  <c r="M36" i="11" s="1"/>
  <c r="I70" i="9" l="1"/>
  <c r="I31" i="11" s="1"/>
  <c r="AB112" i="9"/>
  <c r="L65" i="9"/>
  <c r="L201" i="9"/>
  <c r="L66" i="9" l="1"/>
  <c r="L64" i="9"/>
  <c r="H173" i="9"/>
  <c r="H175" i="9" s="1"/>
  <c r="L44" i="10" s="1"/>
  <c r="L45" i="10" s="1"/>
  <c r="L47" i="10" s="1"/>
  <c r="L49" i="10" s="1"/>
  <c r="L203" i="9"/>
  <c r="M27" i="11" s="1"/>
  <c r="L202" i="9"/>
  <c r="M26" i="11" s="1"/>
  <c r="L70" i="9"/>
  <c r="L75" i="9"/>
  <c r="N65" i="9" l="1"/>
  <c r="M170" i="9" s="1"/>
  <c r="M39" i="11" s="1"/>
  <c r="L74" i="9"/>
  <c r="L69" i="9"/>
  <c r="L82" i="9"/>
  <c r="L80" i="9"/>
  <c r="L71" i="9"/>
  <c r="L76" i="9"/>
  <c r="H177" i="9"/>
  <c r="H181" i="9" s="1"/>
  <c r="I35" i="11"/>
  <c r="I37" i="11" s="1"/>
  <c r="O75" i="9" l="1"/>
  <c r="M29" i="11" s="1"/>
  <c r="S43" i="10"/>
  <c r="M28" i="11"/>
  <c r="I39" i="11"/>
  <c r="O70" i="9"/>
  <c r="M173" i="9" s="1"/>
  <c r="M175" i="9" s="1"/>
  <c r="S44" i="10" s="1"/>
  <c r="S45" i="10" s="1"/>
  <c r="H184" i="9"/>
  <c r="I47" i="11" s="1"/>
  <c r="M31" i="11" l="1"/>
  <c r="M35" i="11"/>
  <c r="M177" i="9"/>
  <c r="M181" i="9" s="1"/>
  <c r="M184" i="9" s="1"/>
  <c r="M37" i="11"/>
  <c r="T47" i="10"/>
  <c r="S49" i="10" s="1"/>
  <c r="O51" i="10" s="1"/>
  <c r="S51" i="10" s="1"/>
  <c r="J186" i="9" l="1"/>
  <c r="M47" i="11"/>
  <c r="H49" i="11" s="1"/>
  <c r="C51" i="10"/>
  <c r="A49" i="11" l="1"/>
  <c r="K49" i="11"/>
  <c r="S187" i="9"/>
  <c r="O50" i="11" s="1"/>
  <c r="B186" i="9"/>
  <c r="E197" i="9"/>
  <c r="A16" i="12" l="1"/>
  <c r="L16" i="12" s="1"/>
  <c r="A94" i="9"/>
</calcChain>
</file>

<file path=xl/sharedStrings.xml><?xml version="1.0" encoding="utf-8"?>
<sst xmlns="http://schemas.openxmlformats.org/spreadsheetml/2006/main" count="1246" uniqueCount="643">
  <si>
    <t>Net Displacement</t>
  </si>
  <si>
    <t>LCF</t>
  </si>
  <si>
    <t>INITIAL</t>
  </si>
  <si>
    <t>FINAL</t>
  </si>
  <si>
    <t>TPC</t>
  </si>
  <si>
    <t>A</t>
  </si>
  <si>
    <t xml:space="preserve">* Position de Draft marks par rapport au Perpendiculars: </t>
  </si>
  <si>
    <t>FORE Port :</t>
  </si>
  <si>
    <t>FORE Stbd :</t>
  </si>
  <si>
    <t>AFT Port :</t>
  </si>
  <si>
    <t>AFT Stbd :</t>
  </si>
  <si>
    <t>MID Port :</t>
  </si>
  <si>
    <t>MID Stbd :</t>
  </si>
  <si>
    <t xml:space="preserve">Quarter Mean :  </t>
  </si>
  <si>
    <t>Tank</t>
  </si>
  <si>
    <t>Sounding</t>
  </si>
  <si>
    <t>Volume</t>
  </si>
  <si>
    <t>Densité</t>
  </si>
  <si>
    <t>Weight</t>
  </si>
  <si>
    <t xml:space="preserve">Fresh water </t>
  </si>
  <si>
    <t>Density  :</t>
  </si>
  <si>
    <t xml:space="preserve">Fuel Oil </t>
  </si>
  <si>
    <t xml:space="preserve">Diesel Oil </t>
  </si>
  <si>
    <t xml:space="preserve">Lub. Oil </t>
  </si>
  <si>
    <t>Total Bunkers (MT)</t>
  </si>
  <si>
    <t>Slops</t>
  </si>
  <si>
    <t>Others:</t>
  </si>
  <si>
    <t>Light Ship</t>
  </si>
  <si>
    <t>Draft Inf</t>
  </si>
  <si>
    <t>Draft Sup</t>
  </si>
  <si>
    <t>Flag</t>
  </si>
  <si>
    <t>Vessel arrived on</t>
  </si>
  <si>
    <t>at</t>
  </si>
  <si>
    <t>Port of Registry</t>
  </si>
  <si>
    <t>Vessel berthed on</t>
  </si>
  <si>
    <t xml:space="preserve">Vessel </t>
  </si>
  <si>
    <t>Initial Survey commenced on</t>
  </si>
  <si>
    <t>Cargo</t>
  </si>
  <si>
    <t>Initial Survey completed on</t>
  </si>
  <si>
    <t>Port</t>
  </si>
  <si>
    <t>Port of Loading</t>
  </si>
  <si>
    <t>Port of Discharge</t>
  </si>
  <si>
    <t>Final Survey commenced on</t>
  </si>
  <si>
    <t xml:space="preserve">B/L Weight </t>
  </si>
  <si>
    <t>MT</t>
  </si>
  <si>
    <t>Final Survey completed on</t>
  </si>
  <si>
    <t xml:space="preserve">B/L Date </t>
  </si>
  <si>
    <t>Number of Holds</t>
  </si>
  <si>
    <t>Number of Ballast Tks</t>
  </si>
  <si>
    <t>Number of F. water Tks</t>
  </si>
  <si>
    <t xml:space="preserve">Distance FORE (cm)  </t>
  </si>
  <si>
    <t xml:space="preserve">Distance AFT (cm)  </t>
  </si>
  <si>
    <t xml:space="preserve">Distance MID (cm)  </t>
  </si>
  <si>
    <t>(A = AFT, F = FORE, N = N/A)</t>
  </si>
  <si>
    <t>Drafts Lues en cm</t>
  </si>
  <si>
    <t>DISPLACEMENT</t>
  </si>
  <si>
    <t>Densité (Table) :</t>
  </si>
  <si>
    <t>Quarter mean</t>
  </si>
  <si>
    <t>LCF (en cm)</t>
  </si>
  <si>
    <t>En cas des tables qui présentent le LCF from aft,</t>
  </si>
  <si>
    <t>utiliser ce tableau pour calculer le LCF from MID:</t>
  </si>
  <si>
    <t>LBP (m)</t>
  </si>
  <si>
    <t>LCF fm AFT (m)</t>
  </si>
  <si>
    <t xml:space="preserve">* Position de LCF par rapport au MID: </t>
  </si>
  <si>
    <t>(A = AFT, F = FORE)</t>
  </si>
  <si>
    <t>LBP/2 (m)</t>
  </si>
  <si>
    <t>LCF fm MID (cm)</t>
  </si>
  <si>
    <t>MTC</t>
  </si>
  <si>
    <t>Puis reporter le résultat à gauche</t>
  </si>
  <si>
    <t>MTC + 50 cm</t>
  </si>
  <si>
    <t>MTC - 50 cm</t>
  </si>
  <si>
    <t>En cas des tables présentants Vorn et Hiensen,</t>
  </si>
  <si>
    <t>DMZ</t>
  </si>
  <si>
    <t>utiliser ce tableau pour calculer le LCF:</t>
  </si>
  <si>
    <t>LBM (cm)</t>
  </si>
  <si>
    <t>Hiensen</t>
  </si>
  <si>
    <t>LBP (cm)</t>
  </si>
  <si>
    <t>Vorn</t>
  </si>
  <si>
    <t>Light Ship (MT)</t>
  </si>
  <si>
    <t>LCF (cm)</t>
  </si>
  <si>
    <t>Trim Observed</t>
  </si>
  <si>
    <t>True Trim</t>
  </si>
  <si>
    <t>Total Deductibles</t>
  </si>
  <si>
    <t>Port :</t>
  </si>
  <si>
    <t>Starboard :</t>
  </si>
  <si>
    <t>Mean :</t>
  </si>
  <si>
    <t>Stem Correction :</t>
  </si>
  <si>
    <t>Corrected Fore :</t>
  </si>
  <si>
    <t>Stern Correction :</t>
  </si>
  <si>
    <t>Corrected Aft :</t>
  </si>
  <si>
    <t>M     I      D</t>
  </si>
  <si>
    <t>Mid Correction :</t>
  </si>
  <si>
    <t>Corrected Mid :</t>
  </si>
  <si>
    <t xml:space="preserve">Mean Fore/Aft  </t>
  </si>
  <si>
    <t xml:space="preserve">Mean of Mean  </t>
  </si>
  <si>
    <t xml:space="preserve">Quarter Mean  </t>
  </si>
  <si>
    <t>TRIM CORRECTION</t>
  </si>
  <si>
    <t>First Trim Correction</t>
  </si>
  <si>
    <t>Second Trim Correction</t>
  </si>
  <si>
    <t>Total Trim Correction</t>
  </si>
  <si>
    <t>Disp corr / Trim correct</t>
  </si>
  <si>
    <t xml:space="preserve">Density eau Bassin  </t>
  </si>
  <si>
    <t>Displ corr for density</t>
  </si>
  <si>
    <t xml:space="preserve">Declared Constante  </t>
  </si>
  <si>
    <t xml:space="preserve">Actual Constante  </t>
  </si>
  <si>
    <t>Remarks :</t>
  </si>
  <si>
    <t>Vérifier la logique de la déformation de coque du navire:</t>
  </si>
  <si>
    <t>Infos:</t>
  </si>
  <si>
    <t>Séquence:</t>
  </si>
  <si>
    <t>Sagging</t>
  </si>
  <si>
    <t>Hogging</t>
  </si>
  <si>
    <t>Quarter Mean (en cm)</t>
  </si>
  <si>
    <t>Deformation Coque (en cm)</t>
  </si>
  <si>
    <t>En général:</t>
  </si>
  <si>
    <t>Type</t>
  </si>
  <si>
    <t>- Coasters :</t>
  </si>
  <si>
    <t>(entre 0 et 8cm)</t>
  </si>
  <si>
    <t>- Sea vessels</t>
  </si>
  <si>
    <t>(entre 0 et 18cm)</t>
  </si>
  <si>
    <t>Voir Cargo plan pour confirmer la logique de la déformation</t>
  </si>
  <si>
    <t>B/L Weight &amp; Date</t>
  </si>
  <si>
    <t>DRAFT SURVEY REPORT</t>
  </si>
  <si>
    <t>:</t>
  </si>
  <si>
    <t>L.B.P.</t>
  </si>
  <si>
    <t>L.O.A.</t>
  </si>
  <si>
    <t>Gross Tonnage</t>
  </si>
  <si>
    <t>Breadth</t>
  </si>
  <si>
    <t>Summer Draft</t>
  </si>
  <si>
    <t>Net Tonnage</t>
  </si>
  <si>
    <t>DRAFTS AND CALCULATIONS</t>
  </si>
  <si>
    <t>UNIT</t>
  </si>
  <si>
    <t>cm</t>
  </si>
  <si>
    <t>Starboard</t>
  </si>
  <si>
    <t>Mean</t>
  </si>
  <si>
    <t>Stern Correction</t>
  </si>
  <si>
    <t>Corected Fore</t>
  </si>
  <si>
    <t>Corrected Aft</t>
  </si>
  <si>
    <t>Mid Correction</t>
  </si>
  <si>
    <t>Corrected Mid</t>
  </si>
  <si>
    <t xml:space="preserve">     Mean Fore/Aft</t>
  </si>
  <si>
    <t xml:space="preserve">     Mean of Mean</t>
  </si>
  <si>
    <t xml:space="preserve">     Quarter Mean </t>
  </si>
  <si>
    <t>Corresponding Displacement</t>
  </si>
  <si>
    <t xml:space="preserve"> Trim  correction  </t>
  </si>
  <si>
    <t>Corrected displacement For Trim</t>
  </si>
  <si>
    <t xml:space="preserve"> Density of Dock water</t>
  </si>
  <si>
    <t>Kg/l</t>
  </si>
  <si>
    <t>Corrected displacement For Density</t>
  </si>
  <si>
    <t>Deductibles Liquids</t>
  </si>
  <si>
    <t>Net Light / Loaded displacement</t>
  </si>
  <si>
    <t>The draft Survey is jointly effected with the ship's staff and calculated on basis of the existing calibrations tables and data on board and supplied by Captain and/or Chief Off. Prior to commencement and after completion of the Un/loading.</t>
  </si>
  <si>
    <t>Master / Chief Off.</t>
  </si>
  <si>
    <t xml:space="preserve">   </t>
  </si>
  <si>
    <t>DRAFT SURVEY</t>
  </si>
  <si>
    <t>Page 2/3</t>
  </si>
  <si>
    <t>DETAILS</t>
  </si>
  <si>
    <t xml:space="preserve">Apparent Trim </t>
  </si>
  <si>
    <t>Distance of Fore Draft Marks (F or A)</t>
  </si>
  <si>
    <t>Distance of Midship Draft Marks (F or A)</t>
  </si>
  <si>
    <t>Distance of After Draft Marks (F or A)</t>
  </si>
  <si>
    <t xml:space="preserve">Stem Correction </t>
  </si>
  <si>
    <t>Midships Correction</t>
  </si>
  <si>
    <t xml:space="preserve">Stern Correction </t>
  </si>
  <si>
    <t>Corrected Forward Mean</t>
  </si>
  <si>
    <t>Corrected Midships Mean</t>
  </si>
  <si>
    <t>Corrected After Mean</t>
  </si>
  <si>
    <t>Trim Corrected</t>
  </si>
  <si>
    <t>Quarter Mean</t>
  </si>
  <si>
    <t>Hull deformation</t>
  </si>
  <si>
    <t>Hog / Sag</t>
  </si>
  <si>
    <t>-</t>
  </si>
  <si>
    <t xml:space="preserve">Corresponding Displacement </t>
  </si>
  <si>
    <t>Position of LCF ( F / A )</t>
  </si>
  <si>
    <t>MT/cm</t>
  </si>
  <si>
    <t>MTC + 50</t>
  </si>
  <si>
    <t>MTC - 50</t>
  </si>
  <si>
    <t>DMTC</t>
  </si>
  <si>
    <t>Density of Dock water</t>
  </si>
  <si>
    <t>Density Correction</t>
  </si>
  <si>
    <t>Deductions</t>
  </si>
  <si>
    <t>Ballast Water</t>
  </si>
  <si>
    <t>F. Water</t>
  </si>
  <si>
    <t>Bunkers</t>
  </si>
  <si>
    <t>Others     :</t>
  </si>
  <si>
    <t>Net / Load Displacement</t>
  </si>
  <si>
    <t>Declared Constante :</t>
  </si>
  <si>
    <t>Actual Constante :</t>
  </si>
  <si>
    <t>Page 3/3</t>
  </si>
  <si>
    <t>DEDUCTIBLES</t>
  </si>
  <si>
    <t>INITIAL SURVEY</t>
  </si>
  <si>
    <t>FINAL SURVEY</t>
  </si>
  <si>
    <t>Ballast</t>
  </si>
  <si>
    <t>Sounding (cm)</t>
  </si>
  <si>
    <t>Volume (m3)</t>
  </si>
  <si>
    <t>Density (Kg/l)</t>
  </si>
  <si>
    <t>Weight   (MT)</t>
  </si>
  <si>
    <t>Weight     (MT)</t>
  </si>
  <si>
    <t>Total</t>
  </si>
  <si>
    <t>Fresh water</t>
  </si>
  <si>
    <t xml:space="preserve">Density     = </t>
  </si>
  <si>
    <t>kg/l</t>
  </si>
  <si>
    <t>Weight (MT)</t>
  </si>
  <si>
    <t>The quantity of bunkers were supplied by Captain/Chef Off./Chief Engineer</t>
  </si>
  <si>
    <t>Master/ Chief Off.</t>
  </si>
  <si>
    <t xml:space="preserve"> </t>
  </si>
  <si>
    <t xml:space="preserve">            F O R E</t>
  </si>
  <si>
    <t xml:space="preserve">           A   F   T</t>
  </si>
  <si>
    <t xml:space="preserve">           M  I  D</t>
  </si>
  <si>
    <t>Vesse</t>
  </si>
  <si>
    <t>Port of Discharging</t>
  </si>
  <si>
    <t xml:space="preserve">Un/loading commenced on </t>
  </si>
  <si>
    <t>Final Sdg</t>
  </si>
  <si>
    <t>Init sdg</t>
  </si>
  <si>
    <t>Number of Ballast Tks   :</t>
  </si>
  <si>
    <t xml:space="preserve">     :</t>
  </si>
  <si>
    <t>Summer Deadweight     :</t>
  </si>
  <si>
    <t>Keel Correction</t>
  </si>
  <si>
    <t>Operation commenced on</t>
  </si>
  <si>
    <t>Operation completed on</t>
  </si>
  <si>
    <t>Nationality</t>
  </si>
  <si>
    <t>A    F     T</t>
  </si>
  <si>
    <t xml:space="preserve">3/ </t>
  </si>
  <si>
    <t/>
  </si>
  <si>
    <t>"""</t>
  </si>
  <si>
    <t>""""</t>
  </si>
  <si>
    <t>"""""</t>
  </si>
  <si>
    <t>""</t>
  </si>
  <si>
    <t>""""""""""""""</t>
  </si>
  <si>
    <t>""""""""</t>
  </si>
  <si>
    <t>ANTIGUA &amp; BARBUDA</t>
  </si>
  <si>
    <t>BBC BALBOA</t>
  </si>
  <si>
    <t>ST. JOHN'S</t>
  </si>
  <si>
    <t>SHREDDED TYRES</t>
  </si>
  <si>
    <t>CASABLANCA</t>
  </si>
  <si>
    <t>SKJERKOYA  NORWAY</t>
  </si>
  <si>
    <t>F</t>
  </si>
  <si>
    <t>1/</t>
  </si>
  <si>
    <t>2/</t>
  </si>
  <si>
    <r>
      <t>Gross weight (</t>
    </r>
    <r>
      <rPr>
        <b/>
        <sz val="10"/>
        <color theme="0"/>
        <rFont val="Segoe UI Semibold"/>
        <family val="2"/>
      </rPr>
      <t>MT</t>
    </r>
    <r>
      <rPr>
        <sz val="10"/>
        <color theme="0"/>
        <rFont val="Segoe UI Semibold"/>
        <family val="2"/>
      </rPr>
      <t>)</t>
    </r>
  </si>
  <si>
    <r>
      <t>Net Weight (</t>
    </r>
    <r>
      <rPr>
        <b/>
        <sz val="10"/>
        <color theme="0"/>
        <rFont val="Segoe UI Semibold"/>
        <family val="2"/>
      </rPr>
      <t>MT</t>
    </r>
    <r>
      <rPr>
        <sz val="10"/>
        <color theme="0"/>
        <rFont val="Segoe UI Semibold"/>
        <family val="2"/>
      </rPr>
      <t>)</t>
    </r>
  </si>
  <si>
    <r>
      <t>Summer Draft (en</t>
    </r>
    <r>
      <rPr>
        <b/>
        <sz val="10"/>
        <color theme="0"/>
        <rFont val="Segoe UI Semibold"/>
        <family val="2"/>
      </rPr>
      <t xml:space="preserve"> m</t>
    </r>
    <r>
      <rPr>
        <sz val="10"/>
        <color theme="0"/>
        <rFont val="Segoe UI Semibold"/>
        <family val="2"/>
      </rPr>
      <t>)</t>
    </r>
  </si>
  <si>
    <r>
      <t xml:space="preserve">Summer Freeboard (en </t>
    </r>
    <r>
      <rPr>
        <b/>
        <sz val="10"/>
        <color theme="0"/>
        <rFont val="Segoe UI Semibold"/>
        <family val="2"/>
      </rPr>
      <t>m</t>
    </r>
    <r>
      <rPr>
        <sz val="10"/>
        <color theme="0"/>
        <rFont val="Segoe UI Semibold"/>
        <family val="2"/>
      </rPr>
      <t>)</t>
    </r>
  </si>
  <si>
    <r>
      <t>Summer Deadweight (</t>
    </r>
    <r>
      <rPr>
        <b/>
        <sz val="10"/>
        <color theme="0"/>
        <rFont val="Segoe UI Semibold"/>
        <family val="2"/>
      </rPr>
      <t>MT</t>
    </r>
    <r>
      <rPr>
        <sz val="10"/>
        <color theme="0"/>
        <rFont val="Segoe UI Semibold"/>
        <family val="2"/>
      </rPr>
      <t>)</t>
    </r>
  </si>
  <si>
    <r>
      <t>Light Ship (</t>
    </r>
    <r>
      <rPr>
        <b/>
        <sz val="10"/>
        <color theme="0"/>
        <rFont val="Segoe UI Semibold"/>
        <family val="2"/>
      </rPr>
      <t>MT</t>
    </r>
    <r>
      <rPr>
        <sz val="10"/>
        <color theme="0"/>
        <rFont val="Segoe UI Semibold"/>
        <family val="2"/>
      </rPr>
      <t>)</t>
    </r>
  </si>
  <si>
    <r>
      <t>Constante declared  (</t>
    </r>
    <r>
      <rPr>
        <b/>
        <sz val="10"/>
        <color theme="0"/>
        <rFont val="Segoe UI Semibold"/>
        <family val="2"/>
      </rPr>
      <t>MT</t>
    </r>
    <r>
      <rPr>
        <sz val="10"/>
        <color theme="0"/>
        <rFont val="Segoe UI Semibold"/>
        <family val="2"/>
      </rPr>
      <t>)</t>
    </r>
  </si>
  <si>
    <r>
      <t xml:space="preserve">LBP (en </t>
    </r>
    <r>
      <rPr>
        <b/>
        <sz val="11"/>
        <color theme="0"/>
        <rFont val="Segoe UI Semibold"/>
        <family val="2"/>
      </rPr>
      <t>m)</t>
    </r>
  </si>
  <si>
    <r>
      <t xml:space="preserve">LOA (en </t>
    </r>
    <r>
      <rPr>
        <b/>
        <sz val="11"/>
        <color theme="0"/>
        <rFont val="Segoe UI Semibold"/>
        <family val="2"/>
      </rPr>
      <t>m)</t>
    </r>
  </si>
  <si>
    <r>
      <t xml:space="preserve">Breadth (en </t>
    </r>
    <r>
      <rPr>
        <b/>
        <sz val="11"/>
        <color theme="0"/>
        <rFont val="Segoe UI Semibold"/>
        <family val="2"/>
      </rPr>
      <t>m)</t>
    </r>
  </si>
  <si>
    <t xml:space="preserve">F    O    R  </t>
  </si>
  <si>
    <t>Interpolation</t>
  </si>
  <si>
    <t>Trim Initial :</t>
  </si>
  <si>
    <t>Dans la table</t>
  </si>
  <si>
    <t>Trim inf</t>
  </si>
  <si>
    <t>Trim Sup</t>
  </si>
  <si>
    <t>Sonde Sup</t>
  </si>
  <si>
    <t>Sonde Inf</t>
  </si>
  <si>
    <t>Sonde mesurée:</t>
  </si>
  <si>
    <r>
      <t>M</t>
    </r>
    <r>
      <rPr>
        <vertAlign val="superscript"/>
        <sz val="10"/>
        <color theme="0"/>
        <rFont val="Arial"/>
        <family val="2"/>
      </rPr>
      <t>3</t>
    </r>
  </si>
  <si>
    <t>Trim Final :</t>
  </si>
  <si>
    <t>Trim</t>
  </si>
  <si>
    <t>AGADIR</t>
  </si>
  <si>
    <t>NADOR</t>
  </si>
  <si>
    <t>TANGER</t>
  </si>
  <si>
    <t>SAFI</t>
  </si>
  <si>
    <t>LAAYOUNE</t>
  </si>
  <si>
    <t>FP</t>
  </si>
  <si>
    <t>FULL</t>
  </si>
  <si>
    <t>FW P</t>
  </si>
  <si>
    <t>FW S</t>
  </si>
  <si>
    <t>D W</t>
  </si>
  <si>
    <t>IND</t>
  </si>
  <si>
    <t>File</t>
  </si>
  <si>
    <t>Vessel</t>
  </si>
  <si>
    <t>Date</t>
  </si>
  <si>
    <t xml:space="preserve">VESSEL ULLAGE REPORT </t>
  </si>
  <si>
    <t>DRAFT</t>
  </si>
  <si>
    <t>Fwd :</t>
  </si>
  <si>
    <t>LIST  :</t>
  </si>
  <si>
    <t>Nil</t>
  </si>
  <si>
    <t>Volume in :</t>
  </si>
  <si>
    <t>BBLS</t>
  </si>
  <si>
    <r>
      <rPr>
        <sz val="8"/>
        <color theme="1"/>
        <rFont val="Arial"/>
        <family val="2"/>
      </rPr>
      <t>DENSITY (</t>
    </r>
    <r>
      <rPr>
        <sz val="6"/>
        <color theme="1"/>
        <rFont val="Arial"/>
        <family val="2"/>
      </rPr>
      <t>vac</t>
    </r>
    <r>
      <rPr>
        <sz val="8"/>
        <color theme="1"/>
        <rFont val="Arial"/>
        <family val="2"/>
      </rPr>
      <t>) AT 15°C :</t>
    </r>
  </si>
  <si>
    <t>Aft :</t>
  </si>
  <si>
    <t>Height in :</t>
  </si>
  <si>
    <t>API AT 60°F</t>
  </si>
  <si>
    <t>TRIM</t>
  </si>
  <si>
    <t>VCF DIGIT:</t>
  </si>
  <si>
    <t>TABLE USED :</t>
  </si>
  <si>
    <t>TANK N°</t>
  </si>
  <si>
    <t xml:space="preserve">TOTAL             </t>
  </si>
  <si>
    <t xml:space="preserve">WATER          </t>
  </si>
  <si>
    <t>TEMP</t>
  </si>
  <si>
    <t>GROSS OBSERVED</t>
  </si>
  <si>
    <t>V.C.F</t>
  </si>
  <si>
    <t xml:space="preserve">GROSS STANDARD </t>
  </si>
  <si>
    <t>INNAGE</t>
  </si>
  <si>
    <t xml:space="preserve">CORR </t>
  </si>
  <si>
    <t xml:space="preserve">VOLUME
</t>
  </si>
  <si>
    <t>VOLUME</t>
  </si>
  <si>
    <t>ULLAGE</t>
  </si>
  <si>
    <t>INN/ULL</t>
  </si>
  <si>
    <t>°F / °C</t>
  </si>
  <si>
    <t>Tanks</t>
  </si>
  <si>
    <t>M3</t>
  </si>
  <si>
    <t>Bbbls</t>
  </si>
  <si>
    <t>CE</t>
  </si>
  <si>
    <t>°F</t>
  </si>
  <si>
    <t>1P</t>
  </si>
  <si>
    <t>NIL</t>
  </si>
  <si>
    <t>1S</t>
  </si>
  <si>
    <t>2P</t>
  </si>
  <si>
    <t>2S</t>
  </si>
  <si>
    <t>3P</t>
  </si>
  <si>
    <t>3S</t>
  </si>
  <si>
    <t>4P</t>
  </si>
  <si>
    <t>4S</t>
  </si>
  <si>
    <t>5P</t>
  </si>
  <si>
    <t>5S</t>
  </si>
  <si>
    <t>6P</t>
  </si>
  <si>
    <t>°C</t>
  </si>
  <si>
    <t>6S</t>
  </si>
  <si>
    <t>SLP</t>
  </si>
  <si>
    <t>SLS</t>
  </si>
  <si>
    <t>TR</t>
  </si>
  <si>
    <t>TOTAL</t>
  </si>
  <si>
    <t>ON BOARD QUANTITIES</t>
  </si>
  <si>
    <t>TOTAL CALCULATED</t>
  </si>
  <si>
    <t>FREE WATER</t>
  </si>
  <si>
    <t>GROSS STANDARD</t>
  </si>
  <si>
    <t>METRIC TONS (AIR)</t>
  </si>
  <si>
    <t>LONG TONS</t>
  </si>
  <si>
    <t>METRIC TONS (VAC)</t>
  </si>
  <si>
    <t xml:space="preserve">Signature : </t>
  </si>
  <si>
    <t>Print Name :</t>
  </si>
  <si>
    <t>For :</t>
  </si>
  <si>
    <t xml:space="preserve">Date </t>
  </si>
  <si>
    <t>BUNKER SURVEY</t>
  </si>
  <si>
    <t xml:space="preserve">Last Port : </t>
  </si>
  <si>
    <t>CEYHAN</t>
  </si>
  <si>
    <t>Bunkers on departure     :</t>
  </si>
  <si>
    <t>Date sailed :</t>
  </si>
  <si>
    <t>Checked by SGS OGC     :</t>
  </si>
  <si>
    <t>Yes</t>
  </si>
  <si>
    <t>Sea passage :</t>
  </si>
  <si>
    <t>day(s)</t>
  </si>
  <si>
    <t xml:space="preserve">  Bunkers taken at sea :</t>
  </si>
  <si>
    <t>Date     :</t>
  </si>
  <si>
    <t>Total weight bunkers taken     :</t>
  </si>
  <si>
    <t>Average daily consumption</t>
  </si>
  <si>
    <t>At sea     :</t>
  </si>
  <si>
    <t>At anchorage (iddle)     :</t>
  </si>
  <si>
    <t>In port Loading     :</t>
  </si>
  <si>
    <t>Volume in   :</t>
  </si>
  <si>
    <t>Weight in   :</t>
  </si>
  <si>
    <t>MT(Air)</t>
  </si>
  <si>
    <t>Temp. In   :</t>
  </si>
  <si>
    <t>Table used   :</t>
  </si>
  <si>
    <t>54 B</t>
  </si>
  <si>
    <t>ARRIVAL</t>
  </si>
  <si>
    <t>Trim   :</t>
  </si>
  <si>
    <t>Date   :</t>
  </si>
  <si>
    <t>Hour   :</t>
  </si>
  <si>
    <t>0600</t>
  </si>
  <si>
    <t>TANK</t>
  </si>
  <si>
    <t>ULL / INN</t>
  </si>
  <si>
    <t>T.O.V.</t>
  </si>
  <si>
    <t>TEMP.</t>
  </si>
  <si>
    <t>DENS. / API</t>
  </si>
  <si>
    <t>V.C.F.</t>
  </si>
  <si>
    <t>G.S.V.</t>
  </si>
  <si>
    <t>WEIGHT</t>
  </si>
  <si>
    <t>%LEL</t>
  </si>
  <si>
    <t>M.D.O PORT</t>
  </si>
  <si>
    <t>M.D.O STBD</t>
  </si>
  <si>
    <t>M.D.O SERVICE</t>
  </si>
  <si>
    <t>Bunkers taken while in port</t>
  </si>
  <si>
    <t>Volume     :</t>
  </si>
  <si>
    <t>Weight     :</t>
  </si>
  <si>
    <t>DEPARTURE</t>
  </si>
  <si>
    <t>Trim     :</t>
  </si>
  <si>
    <t>Heure     :</t>
  </si>
  <si>
    <t>0200</t>
  </si>
  <si>
    <t>TANKS</t>
  </si>
  <si>
    <t xml:space="preserve">ACTUAL CONSUMPTION    :    </t>
  </si>
  <si>
    <t>45-58</t>
  </si>
  <si>
    <t>In port Discharge     :</t>
  </si>
  <si>
    <t>No1 PORT L/S</t>
  </si>
  <si>
    <t>No1STRB</t>
  </si>
  <si>
    <t>No2 PORT</t>
  </si>
  <si>
    <t>No2 STBD</t>
  </si>
  <si>
    <t>H.F.O. SERVICE</t>
  </si>
  <si>
    <t>H.F.O. SETTLING</t>
  </si>
  <si>
    <t>L/S H.F.O. SERVICE</t>
  </si>
  <si>
    <t>L/S H.F.O. SETTLING</t>
  </si>
  <si>
    <t>OVERFLOW TANK</t>
  </si>
  <si>
    <t>LETTER OF PROTEST</t>
  </si>
  <si>
    <t>AT LOADING</t>
  </si>
  <si>
    <t>AT DISCHARGE</t>
  </si>
  <si>
    <t>AT TRANSFER</t>
  </si>
  <si>
    <t>SHORE</t>
  </si>
  <si>
    <t>VESSEL</t>
  </si>
  <si>
    <t xml:space="preserve">TO THE MASTER AND / OR OWNERS AND / OR THE VESSEL : </t>
  </si>
  <si>
    <t>TO THE TERMINAL REPRESENTATIVE OF :</t>
  </si>
  <si>
    <t>AT      11:12            (time) THE FOLLOWING WAS OBSERVED :</t>
  </si>
  <si>
    <t>DIFFERENCE BETWEEN B/L QUANTITY AND SHIP'S FIGURES AT ARRIVAL:</t>
  </si>
  <si>
    <t>B/L QUANTITY (GSV)</t>
  </si>
  <si>
    <t>BBLS @ 60 °F</t>
  </si>
  <si>
    <t>SHIP'S FIGURES</t>
  </si>
  <si>
    <t>DIFFERENCE</t>
  </si>
  <si>
    <t>OR (%)</t>
  </si>
  <si>
    <t>%</t>
  </si>
  <si>
    <t>ACCORDINGLY YOU MAY BE HELD RESPONSIBLE FOR THE LOSS AND DAMAGE THEREBY SUSTAINED, AS WELL AS ANY</t>
  </si>
  <si>
    <t>CONSEQUENTIAL LOSS AND DAMAGE ARISING THERFROM.</t>
  </si>
  <si>
    <t xml:space="preserve">Received by : </t>
  </si>
  <si>
    <t>Signature :</t>
  </si>
  <si>
    <t xml:space="preserve"> Table 54A, B, D &amp; 60A, B, D (ASTM D1250) &amp;  Table 1 (ASTM D4311 04)</t>
  </si>
  <si>
    <t>Table 54C &amp; 60C (ASTM D1250 04)</t>
  </si>
  <si>
    <t>Table 53A,B,D &amp; 59A,B,D (1250 04)</t>
  </si>
  <si>
    <t>ASTM D</t>
  </si>
  <si>
    <t>Table</t>
  </si>
  <si>
    <t>VCF dp</t>
  </si>
  <si>
    <t>Temp °C</t>
  </si>
  <si>
    <t>Observed Density</t>
  </si>
  <si>
    <t>Temperature</t>
  </si>
  <si>
    <t>VCF</t>
  </si>
  <si>
    <t>Alpha Coeficent</t>
  </si>
  <si>
    <t xml:space="preserve"> °C</t>
  </si>
  <si>
    <t>Strapping Table Interpolator</t>
  </si>
  <si>
    <t>Theoretical Density &amp; Temperature Calculator</t>
  </si>
  <si>
    <t>Table 2 Temp. Conversion</t>
  </si>
  <si>
    <t>Table 52</t>
  </si>
  <si>
    <t>Lower</t>
  </si>
  <si>
    <t>Upper</t>
  </si>
  <si>
    <t>Factor</t>
  </si>
  <si>
    <t>Gauge 1</t>
  </si>
  <si>
    <t>Volume 1</t>
  </si>
  <si>
    <t>Density Before</t>
  </si>
  <si>
    <r>
      <t xml:space="preserve">&amp;   Temp </t>
    </r>
    <r>
      <rPr>
        <sz val="10"/>
        <rFont val="Arial"/>
        <family val="2"/>
      </rPr>
      <t/>
    </r>
  </si>
  <si>
    <t>Temp ?</t>
  </si>
  <si>
    <t>Density (vac)</t>
  </si>
  <si>
    <t>Metres</t>
  </si>
  <si>
    <t>Litres</t>
  </si>
  <si>
    <t>kgl @ 15°C</t>
  </si>
  <si>
    <t>Litres Before</t>
  </si>
  <si>
    <t>Gauge 2</t>
  </si>
  <si>
    <t>Volume 2</t>
  </si>
  <si>
    <r>
      <t xml:space="preserve"> M</t>
    </r>
    <r>
      <rPr>
        <vertAlign val="superscript"/>
        <sz val="10"/>
        <rFont val="Arial"/>
        <family val="2"/>
      </rPr>
      <t xml:space="preserve">3 </t>
    </r>
    <r>
      <rPr>
        <sz val="10"/>
        <rFont val="Arial"/>
        <family val="2"/>
      </rPr>
      <t>@ 15°C</t>
    </r>
  </si>
  <si>
    <t>Advised Density</t>
  </si>
  <si>
    <r>
      <t>&gt; Bbls @ 60</t>
    </r>
    <r>
      <rPr>
        <sz val="10"/>
        <rFont val="Arial"/>
        <family val="2"/>
      </rPr>
      <t>°</t>
    </r>
    <r>
      <rPr>
        <sz val="11"/>
        <color theme="1"/>
        <rFont val="Calibri"/>
        <family val="2"/>
        <scheme val="minor"/>
      </rPr>
      <t>F</t>
    </r>
  </si>
  <si>
    <t>Gauge ?</t>
  </si>
  <si>
    <t>Litres After</t>
  </si>
  <si>
    <r>
      <t xml:space="preserve">   Bbls @ 60</t>
    </r>
    <r>
      <rPr>
        <sz val="10"/>
        <rFont val="Arial"/>
        <family val="2"/>
      </rPr>
      <t>°</t>
    </r>
    <r>
      <rPr>
        <sz val="11"/>
        <color theme="1"/>
        <rFont val="Calibri"/>
        <family val="2"/>
        <scheme val="minor"/>
      </rPr>
      <t>F</t>
    </r>
  </si>
  <si>
    <t>&gt; M3 @ 15°C</t>
  </si>
  <si>
    <t>Density After</t>
  </si>
  <si>
    <t>Floating Roof Correction Calculator</t>
  </si>
  <si>
    <t>Table 54 Interpolator</t>
  </si>
  <si>
    <t>Tank Wedge Formula</t>
  </si>
  <si>
    <t>Table 56</t>
  </si>
  <si>
    <t>Roof Weight</t>
  </si>
  <si>
    <t>Density ?</t>
  </si>
  <si>
    <t>Den 1</t>
  </si>
  <si>
    <t>Den 2</t>
  </si>
  <si>
    <t>Draft Fwd</t>
  </si>
  <si>
    <t>kg</t>
  </si>
  <si>
    <t>kg/l vac</t>
  </si>
  <si>
    <t>Draft Aft</t>
  </si>
  <si>
    <t>VCF Table</t>
  </si>
  <si>
    <t>Temp 1</t>
  </si>
  <si>
    <t>VCF 1</t>
  </si>
  <si>
    <t>VCF 2</t>
  </si>
  <si>
    <t>LBP</t>
  </si>
  <si>
    <t>54B</t>
  </si>
  <si>
    <r>
      <t>°</t>
    </r>
    <r>
      <rPr>
        <sz val="11"/>
        <color theme="1"/>
        <rFont val="Calibri"/>
        <family val="2"/>
        <scheme val="minor"/>
      </rPr>
      <t>C</t>
    </r>
  </si>
  <si>
    <t>T Factor</t>
  </si>
  <si>
    <t>Temp 2</t>
  </si>
  <si>
    <t>VCF 3</t>
  </si>
  <si>
    <t>VCF 4</t>
  </si>
  <si>
    <t>Density (air)</t>
  </si>
  <si>
    <t>Centre Dip</t>
  </si>
  <si>
    <r>
      <t>Temp ?</t>
    </r>
    <r>
      <rPr>
        <sz val="10"/>
        <rFont val="Arial"/>
        <family val="2"/>
      </rPr>
      <t/>
    </r>
  </si>
  <si>
    <t>Required T54 VCF</t>
  </si>
  <si>
    <t>Table Vol.</t>
  </si>
  <si>
    <t>Roof Correction</t>
  </si>
  <si>
    <t>Aft Dip</t>
  </si>
  <si>
    <t>MT air &gt; vac</t>
  </si>
  <si>
    <t>Table 3 API Calculator</t>
  </si>
  <si>
    <t>Trim Corrected Strapping Table Interpolator</t>
  </si>
  <si>
    <t>Limit</t>
  </si>
  <si>
    <t>Density</t>
  </si>
  <si>
    <t>kg/l @15°C</t>
  </si>
  <si>
    <t>Trim ?</t>
  </si>
  <si>
    <t>Trim 1</t>
  </si>
  <si>
    <t>Trim 2</t>
  </si>
  <si>
    <t>Height</t>
  </si>
  <si>
    <t>MT vac &gt; air</t>
  </si>
  <si>
    <t>API</t>
  </si>
  <si>
    <t>API ?</t>
  </si>
  <si>
    <t>Length</t>
  </si>
  <si>
    <t>Width</t>
  </si>
  <si>
    <t>Wet to Dry Density Calculator</t>
  </si>
  <si>
    <t>Gauge 1 Vol @ Trim</t>
  </si>
  <si>
    <t>Distance</t>
  </si>
  <si>
    <t>Table 57</t>
  </si>
  <si>
    <t>(Dipping point fom aft bulkhead)</t>
  </si>
  <si>
    <t>Wet Density: kg/l @ 15°C (vac)</t>
  </si>
  <si>
    <t>Gauge 2 Vol @ Trim</t>
  </si>
  <si>
    <t>Suspended Water: % weight</t>
  </si>
  <si>
    <t>Sediment: % weight</t>
  </si>
  <si>
    <t>Wedge</t>
  </si>
  <si>
    <t>Water Density: kg/l @ 15°C (vac)</t>
  </si>
  <si>
    <t>Required Volume</t>
  </si>
  <si>
    <t>&gt; Long Tons</t>
  </si>
  <si>
    <t>Dry Density: kg/l @ 15°C (vac)</t>
  </si>
  <si>
    <t>4311 04</t>
  </si>
  <si>
    <t>60D</t>
  </si>
  <si>
    <t xml:space="preserve"> DIESEL OIL</t>
  </si>
  <si>
    <t>KIRKUK CO</t>
  </si>
  <si>
    <t>M.D.O SET TK</t>
  </si>
  <si>
    <t xml:space="preserve">FUEL OIL </t>
  </si>
  <si>
    <t>54C</t>
  </si>
  <si>
    <t>53B</t>
  </si>
  <si>
    <t>BUNKER SURVEY REPORT</t>
  </si>
  <si>
    <t>54 A</t>
  </si>
  <si>
    <t>ON BEHAL OF OUR PRINCIPAL(S) WE NOTIFY YOU THAT ON THE   20        (day) OF JULY        (month)    2011      (year)</t>
  </si>
  <si>
    <t>54A</t>
  </si>
  <si>
    <r>
      <t xml:space="preserve">Units = </t>
    </r>
    <r>
      <rPr>
        <b/>
        <sz val="12"/>
        <color indexed="10"/>
        <rFont val="Arial"/>
        <family val="2"/>
      </rPr>
      <t>Metres &amp; Litres</t>
    </r>
  </si>
  <si>
    <t>For'd Draft (mtrs)</t>
  </si>
  <si>
    <t>LBP (mtrs)</t>
  </si>
  <si>
    <t>Aft Draft (mtrs)</t>
  </si>
  <si>
    <t>Trim Factor</t>
  </si>
  <si>
    <t>Tk</t>
  </si>
  <si>
    <t>Grade</t>
  </si>
  <si>
    <t>Gauge</t>
  </si>
  <si>
    <r>
      <t xml:space="preserve"> L</t>
    </r>
    <r>
      <rPr>
        <sz val="11"/>
        <color theme="1"/>
        <rFont val="Calibri"/>
        <family val="2"/>
        <scheme val="minor"/>
      </rPr>
      <t>iquid</t>
    </r>
  </si>
  <si>
    <t xml:space="preserve">Wedge </t>
  </si>
  <si>
    <t>Dip Point Distance</t>
  </si>
  <si>
    <t>Table Volume</t>
  </si>
  <si>
    <t>Wedge Volume</t>
  </si>
  <si>
    <t>No</t>
  </si>
  <si>
    <t>No.</t>
  </si>
  <si>
    <t>Centre</t>
  </si>
  <si>
    <r>
      <t xml:space="preserve"> N</t>
    </r>
    <r>
      <rPr>
        <sz val="11"/>
        <color theme="1"/>
        <rFont val="Calibri"/>
        <family val="2"/>
        <scheme val="minor"/>
      </rPr>
      <t>on-L</t>
    </r>
  </si>
  <si>
    <t>aft end</t>
  </si>
  <si>
    <t>From Aft Bulkhead</t>
  </si>
  <si>
    <t>L</t>
  </si>
  <si>
    <t>Totals:</t>
  </si>
  <si>
    <t>Grade 1:</t>
  </si>
  <si>
    <t>Grade 2:</t>
  </si>
  <si>
    <t>Grade 3:</t>
  </si>
  <si>
    <t>Grade 4:</t>
  </si>
  <si>
    <t>Grade 5:</t>
  </si>
  <si>
    <t>Sulphuric Acid</t>
  </si>
  <si>
    <t>m3</t>
  </si>
  <si>
    <t>SG DIGIT:</t>
  </si>
  <si>
    <t>Specific Gravity :</t>
  </si>
  <si>
    <t>At</t>
  </si>
  <si>
    <t>Correction Factor</t>
  </si>
  <si>
    <t>MT BOW CAROLINE</t>
  </si>
  <si>
    <t>7P</t>
  </si>
  <si>
    <t>7S</t>
  </si>
  <si>
    <t>8P</t>
  </si>
  <si>
    <t>8S</t>
  </si>
  <si>
    <t>Specific Gravity</t>
  </si>
  <si>
    <t>Total Calculated Volum</t>
  </si>
  <si>
    <t>Cargo Calculation Sheet</t>
  </si>
  <si>
    <t xml:space="preserve">Vessel: </t>
  </si>
  <si>
    <t xml:space="preserve"> CLIPPER ORION</t>
  </si>
  <si>
    <t xml:space="preserve">Grade: </t>
  </si>
  <si>
    <t>Anhydrous Ammonia</t>
  </si>
  <si>
    <t>Date:</t>
  </si>
  <si>
    <t xml:space="preserve">Port: </t>
  </si>
  <si>
    <t>Jorf Lasfar, Morocco</t>
  </si>
  <si>
    <t xml:space="preserve">Draft FWD: </t>
  </si>
  <si>
    <t>M</t>
  </si>
  <si>
    <t>Trim:</t>
  </si>
  <si>
    <t>Atmospheric Pressure:</t>
  </si>
  <si>
    <t xml:space="preserve">Draft AFT: </t>
  </si>
  <si>
    <t>List:</t>
  </si>
  <si>
    <t>BEFORE  DISCHARGING</t>
  </si>
  <si>
    <t>Tank No.: 1</t>
  </si>
  <si>
    <t>Tank No.: 2</t>
  </si>
  <si>
    <t>Tank No.: 3</t>
  </si>
  <si>
    <t>Tank No.: 4</t>
  </si>
  <si>
    <t>PORT</t>
  </si>
  <si>
    <t>STBD</t>
  </si>
  <si>
    <t>Pressure (mb)</t>
  </si>
  <si>
    <t>T Vapour ( C )</t>
  </si>
  <si>
    <t>T Liquid ( C )</t>
  </si>
  <si>
    <t>Innage (mm)</t>
  </si>
  <si>
    <t>Molecular Weight</t>
  </si>
  <si>
    <t>Float Correction</t>
  </si>
  <si>
    <t>Tape Correction</t>
  </si>
  <si>
    <t>Trim Correction</t>
  </si>
  <si>
    <t>List Correction</t>
  </si>
  <si>
    <t>Total Correction</t>
  </si>
  <si>
    <t>Correction Innage</t>
  </si>
  <si>
    <t>Shrinkage</t>
  </si>
  <si>
    <t xml:space="preserve">Liq. Vol.@ 20 C </t>
  </si>
  <si>
    <t>Temp sup</t>
  </si>
  <si>
    <t>Shrinkage Factor (Liquid)</t>
  </si>
  <si>
    <t>Temp inf</t>
  </si>
  <si>
    <t>Liquid Volume @ T C</t>
  </si>
  <si>
    <t>Liquid Density @ T C</t>
  </si>
  <si>
    <t>Temp exact</t>
  </si>
  <si>
    <t>Liquid Weight</t>
  </si>
  <si>
    <t>Volume 100/100/ Tk @ 15 C</t>
  </si>
  <si>
    <t>Shrinkage  Factor (vapor)</t>
  </si>
  <si>
    <t>Volume of vapour at 15 C</t>
  </si>
  <si>
    <t>Vapour Volume at T</t>
  </si>
  <si>
    <t>Vapor Density</t>
  </si>
  <si>
    <t>Vapour Weight</t>
  </si>
  <si>
    <t>Weight / Tk</t>
  </si>
  <si>
    <t>Total Weight / Tank</t>
  </si>
  <si>
    <t>Total Liquid Weight</t>
  </si>
  <si>
    <t>Mt(vac)</t>
  </si>
  <si>
    <t>Total Vapour Weight</t>
  </si>
  <si>
    <t>After Loading Last Port:</t>
  </si>
  <si>
    <t>Total Weight on Board</t>
  </si>
  <si>
    <t>Ship Figure</t>
  </si>
  <si>
    <t>Difference:</t>
  </si>
  <si>
    <t>Receiver</t>
  </si>
  <si>
    <t>Surveyor</t>
  </si>
  <si>
    <t>Chief officer</t>
  </si>
  <si>
    <t>AFTER DISCHARGING</t>
  </si>
  <si>
    <t xml:space="preserve">Liq. Vol.@ 15 C </t>
  </si>
  <si>
    <t>Ther. Con.Fact.</t>
  </si>
  <si>
    <t>Volume / Tk @ 15 C</t>
  </si>
  <si>
    <t>V. Con.Factor</t>
  </si>
  <si>
    <t xml:space="preserve">quantity discharged </t>
  </si>
  <si>
    <t>Thermal Correction</t>
  </si>
  <si>
    <t>Butadiene</t>
  </si>
  <si>
    <t>Ethylene</t>
  </si>
  <si>
    <t>Propylene</t>
  </si>
  <si>
    <t>Vinyl Chloride Monomer</t>
  </si>
  <si>
    <t>Checked by X OGC     :</t>
  </si>
  <si>
    <t>on behalf of Receivers</t>
  </si>
  <si>
    <t xml:space="preserve"> Surveyor</t>
  </si>
  <si>
    <t xml:space="preserve">  GarOil Gas &amp; Chemicals Services</t>
  </si>
  <si>
    <t>GarOil, Gas &amp; Chemicals Services</t>
  </si>
  <si>
    <t>MT XWCFDS</t>
  </si>
  <si>
    <t>1</t>
  </si>
  <si>
    <t xml:space="preserve">Un/loading completed on </t>
  </si>
  <si>
    <t>1SDF100VALOR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</si>
</sst>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40C]d\ mmmm\ yyyy;@"/>
    <numFmt numFmtId="165" formatCode="h:mm;@"/>
    <numFmt numFmtId="166" formatCode="0.000"/>
    <numFmt numFmtId="167" formatCode="0.0000"/>
    <numFmt numFmtId="168" formatCode="0.0"/>
    <numFmt numFmtId="169" formatCode="#,##0.000"/>
    <numFmt numFmtId="170" formatCode="#,##0.0000"/>
    <numFmt numFmtId="171" formatCode="#,##0.000;[Red]#,##0.000"/>
    <numFmt numFmtId="172" formatCode="d/m/yyyy"/>
    <numFmt numFmtId="173" formatCode="0.00&quot; m&quot;"/>
    <numFmt numFmtId="174" formatCode="0.00&quot; °&quot;"/>
    <numFmt numFmtId="175" formatCode="_-* #,##0\ _€_-;\-* #,##0\ _€_-;_-* &quot;-&quot;\ _€_-;_-@"/>
    <numFmt numFmtId="176" formatCode="_-* #,##0.00\ _€_-;\-* #,##0.00\ _€_-;_-* &quot;-&quot;??\ _€_-;_-@"/>
    <numFmt numFmtId="177" formatCode="0.00000"/>
    <numFmt numFmtId="178" formatCode="0.0000000"/>
    <numFmt numFmtId="179" formatCode="0.000000"/>
    <numFmt numFmtId="180" formatCode=";;;"/>
    <numFmt numFmtId="181" formatCode="0.000000000"/>
  </numFmts>
  <fonts count="139">
    <font>
      <sz val="11"/>
      <color theme="1"/>
      <name val="Calibri"/>
      <family val="2"/>
      <scheme val="minor"/>
    </font>
    <font>
      <sz val="10"/>
      <color theme="1"/>
      <name val="Arial"/>
      <family val="2"/>
    </font>
    <font>
      <sz val="11"/>
      <name val="Arial"/>
      <family val="2"/>
    </font>
    <font>
      <sz val="10"/>
      <name val="Arial"/>
      <family val="2"/>
    </font>
    <font>
      <b/>
      <sz val="10"/>
      <name val="Arial"/>
      <family val="2"/>
    </font>
    <font>
      <b/>
      <i/>
      <sz val="11"/>
      <name val="Arial"/>
      <family val="2"/>
    </font>
    <font>
      <b/>
      <sz val="11"/>
      <name val="Arial"/>
      <family val="2"/>
    </font>
    <font>
      <sz val="7.5"/>
      <name val="Arial"/>
      <family val="2"/>
    </font>
    <font>
      <i/>
      <sz val="10"/>
      <name val="Arial"/>
      <family val="2"/>
    </font>
    <font>
      <i/>
      <sz val="11"/>
      <name val="Arial"/>
      <family val="2"/>
    </font>
    <font>
      <u/>
      <sz val="10"/>
      <name val="Arial"/>
      <family val="2"/>
    </font>
    <font>
      <b/>
      <sz val="18"/>
      <name val="Arial"/>
      <family val="2"/>
    </font>
    <font>
      <sz val="8"/>
      <name val="Arial"/>
      <family val="2"/>
    </font>
    <font>
      <i/>
      <sz val="9"/>
      <name val="Arial"/>
      <family val="2"/>
    </font>
    <font>
      <i/>
      <u/>
      <sz val="11"/>
      <name val="Arial"/>
      <family val="2"/>
    </font>
    <font>
      <sz val="7"/>
      <name val="Arial"/>
      <family val="2"/>
    </font>
    <font>
      <b/>
      <sz val="8"/>
      <color indexed="53"/>
      <name val="Arial"/>
      <family val="2"/>
    </font>
    <font>
      <b/>
      <sz val="7"/>
      <name val="Arial"/>
      <family val="2"/>
    </font>
    <font>
      <sz val="7"/>
      <name val="CG Times"/>
      <family val="1"/>
    </font>
    <font>
      <sz val="7"/>
      <name val="Times New Roman"/>
      <family val="1"/>
    </font>
    <font>
      <b/>
      <sz val="12"/>
      <name val="Arial"/>
      <family val="2"/>
    </font>
    <font>
      <b/>
      <sz val="14"/>
      <name val="Arial"/>
      <family val="2"/>
    </font>
    <font>
      <sz val="6"/>
      <name val="Arial"/>
      <family val="2"/>
    </font>
    <font>
      <b/>
      <i/>
      <u/>
      <sz val="10"/>
      <name val="Arial"/>
      <family val="2"/>
    </font>
    <font>
      <b/>
      <i/>
      <u/>
      <sz val="11"/>
      <name val="Arial"/>
      <family val="2"/>
    </font>
    <font>
      <u/>
      <sz val="11"/>
      <color theme="10"/>
      <name val="Calibri"/>
      <family val="2"/>
      <scheme val="minor"/>
    </font>
    <font>
      <sz val="11"/>
      <color theme="0"/>
      <name val="Segoe UI Semibold"/>
      <family val="2"/>
    </font>
    <font>
      <sz val="10"/>
      <color theme="0"/>
      <name val="Segoe UI Semibold"/>
      <family val="2"/>
    </font>
    <font>
      <b/>
      <sz val="10"/>
      <color theme="0"/>
      <name val="Segoe UI Semibold"/>
      <family val="2"/>
    </font>
    <font>
      <b/>
      <sz val="11"/>
      <color theme="0"/>
      <name val="Segoe UI Semibold"/>
      <family val="2"/>
    </font>
    <font>
      <sz val="11"/>
      <color theme="5" tint="0.59999389629810485"/>
      <name val="Segoe UI Semibold"/>
      <family val="2"/>
    </font>
    <font>
      <b/>
      <sz val="11"/>
      <color theme="0" tint="-0.14999847407452621"/>
      <name val="Segoe UI Semibold"/>
      <family val="2"/>
    </font>
    <font>
      <sz val="11"/>
      <color theme="2" tint="-0.499984740745262"/>
      <name val="Segoe UI Semibold"/>
      <family val="2"/>
    </font>
    <font>
      <b/>
      <i/>
      <sz val="10"/>
      <color theme="5" tint="0.59999389629810485"/>
      <name val="Segoe UI Semibold"/>
      <family val="2"/>
    </font>
    <font>
      <b/>
      <u/>
      <sz val="11"/>
      <color rgb="FF00FF99"/>
      <name val="Segoe UI Semibold"/>
      <family val="2"/>
    </font>
    <font>
      <i/>
      <sz val="10"/>
      <color theme="5" tint="0.59999389629810485"/>
      <name val="Segoe UI Semibold"/>
      <family val="2"/>
    </font>
    <font>
      <b/>
      <sz val="11"/>
      <color rgb="FF00FF99"/>
      <name val="Segoe UI Semibold"/>
      <family val="2"/>
    </font>
    <font>
      <b/>
      <u/>
      <sz val="11"/>
      <color rgb="FFFFFF00"/>
      <name val="Segoe UI Semibold"/>
      <family val="2"/>
    </font>
    <font>
      <b/>
      <u/>
      <sz val="11"/>
      <color rgb="FFFFC000"/>
      <name val="Segoe UI Semibold"/>
      <family val="2"/>
    </font>
    <font>
      <sz val="10"/>
      <color theme="5" tint="0.59999389629810485"/>
      <name val="Segoe UI Semibold"/>
      <family val="2"/>
    </font>
    <font>
      <i/>
      <sz val="11"/>
      <color theme="5" tint="0.59999389629810485"/>
      <name val="Segoe UI Semibold"/>
      <family val="2"/>
    </font>
    <font>
      <b/>
      <i/>
      <sz val="11"/>
      <color theme="5" tint="0.59999389629810485"/>
      <name val="Segoe UI Semibold"/>
      <family val="2"/>
    </font>
    <font>
      <b/>
      <sz val="10"/>
      <color theme="5" tint="0.59999389629810485"/>
      <name val="Segoe UI Semibold"/>
      <family val="2"/>
    </font>
    <font>
      <b/>
      <sz val="11"/>
      <color theme="5" tint="0.59999389629810485"/>
      <name val="Segoe UI Semibold"/>
      <family val="2"/>
    </font>
    <font>
      <b/>
      <sz val="10"/>
      <color rgb="FFFFFF00"/>
      <name val="Segoe UI Semibold"/>
      <family val="2"/>
    </font>
    <font>
      <b/>
      <sz val="9"/>
      <color theme="0"/>
      <name val="Segoe UI Semibold"/>
      <family val="2"/>
    </font>
    <font>
      <b/>
      <sz val="8"/>
      <color theme="1" tint="0.34998626667073579"/>
      <name val="Segoe UI Semibold"/>
      <family val="2"/>
    </font>
    <font>
      <sz val="7.5"/>
      <color theme="1" tint="0.34998626667073579"/>
      <name val="Segoe UI Semibold"/>
      <family val="2"/>
    </font>
    <font>
      <b/>
      <sz val="8"/>
      <color theme="0"/>
      <name val="Segoe UI Semibold"/>
      <family val="2"/>
    </font>
    <font>
      <sz val="7.5"/>
      <color theme="0"/>
      <name val="Segoe UI Semibold"/>
      <family val="2"/>
    </font>
    <font>
      <b/>
      <i/>
      <sz val="11"/>
      <color theme="0"/>
      <name val="Segoe UI Semibold"/>
      <family val="2"/>
    </font>
    <font>
      <b/>
      <sz val="14"/>
      <color rgb="FFFFFF00"/>
      <name val="Segoe UI Semibold"/>
      <family val="2"/>
    </font>
    <font>
      <sz val="9"/>
      <color theme="0"/>
      <name val="Segoe UI Semibold"/>
      <family val="2"/>
    </font>
    <font>
      <b/>
      <i/>
      <sz val="11"/>
      <color theme="6" tint="0.59999389629810485"/>
      <name val="Segoe UI Semibold"/>
      <family val="2"/>
    </font>
    <font>
      <b/>
      <sz val="11"/>
      <color rgb="FFFFFF00"/>
      <name val="Segoe UI Semibold"/>
      <family val="2"/>
    </font>
    <font>
      <sz val="11"/>
      <color rgb="FFFFFF00"/>
      <name val="Segoe UI Semibold"/>
      <family val="2"/>
    </font>
    <font>
      <b/>
      <i/>
      <sz val="10"/>
      <color theme="6" tint="0.59999389629810485"/>
      <name val="Segoe UI Semibold"/>
      <family val="2"/>
    </font>
    <font>
      <b/>
      <i/>
      <sz val="10"/>
      <color theme="0"/>
      <name val="Segoe UI Semibold"/>
      <family val="2"/>
    </font>
    <font>
      <i/>
      <sz val="10"/>
      <color theme="6" tint="0.59999389629810485"/>
      <name val="Segoe UI Semibold"/>
      <family val="2"/>
    </font>
    <font>
      <sz val="11"/>
      <color theme="6" tint="0.59999389629810485"/>
      <name val="Segoe UI Semibold"/>
      <family val="2"/>
    </font>
    <font>
      <b/>
      <sz val="10"/>
      <color theme="9" tint="0.39997558519241921"/>
      <name val="Segoe UI Semibold"/>
      <family val="2"/>
    </font>
    <font>
      <b/>
      <sz val="10"/>
      <color theme="4" tint="0.39997558519241921"/>
      <name val="Segoe UI Semibold"/>
      <family val="2"/>
    </font>
    <font>
      <b/>
      <sz val="11"/>
      <color theme="9" tint="0.39997558519241921"/>
      <name val="Segoe UI Semibold"/>
      <family val="2"/>
    </font>
    <font>
      <sz val="11"/>
      <color theme="9" tint="0.39997558519241921"/>
      <name val="Segoe UI Semibold"/>
      <family val="2"/>
    </font>
    <font>
      <sz val="10"/>
      <color rgb="FFFFFF00"/>
      <name val="Segoe UI Semibold"/>
      <family val="2"/>
    </font>
    <font>
      <b/>
      <sz val="10"/>
      <color theme="3" tint="0.59999389629810485"/>
      <name val="Segoe UI Semibold"/>
      <family val="2"/>
    </font>
    <font>
      <sz val="11"/>
      <color theme="3" tint="0.59999389629810485"/>
      <name val="Segoe UI Semibold"/>
      <family val="2"/>
    </font>
    <font>
      <b/>
      <sz val="10"/>
      <color theme="8" tint="0.59999389629810485"/>
      <name val="Segoe UI Semibold"/>
      <family val="2"/>
    </font>
    <font>
      <b/>
      <sz val="11"/>
      <color theme="8" tint="0.59999389629810485"/>
      <name val="Segoe UI Semibold"/>
      <family val="2"/>
    </font>
    <font>
      <i/>
      <sz val="11"/>
      <color theme="0"/>
      <name val="Segoe UI Semibold"/>
      <family val="2"/>
    </font>
    <font>
      <b/>
      <i/>
      <sz val="11"/>
      <color theme="8" tint="0.59999389629810485"/>
      <name val="Segoe UI Semibold"/>
      <family val="2"/>
    </font>
    <font>
      <sz val="11"/>
      <color theme="8" tint="0.59999389629810485"/>
      <name val="Segoe UI Semibold"/>
      <family val="2"/>
    </font>
    <font>
      <b/>
      <sz val="11"/>
      <color theme="4" tint="0.59999389629810485"/>
      <name val="Segoe UI Semibold"/>
      <family val="2"/>
    </font>
    <font>
      <sz val="10"/>
      <color theme="4" tint="0.59999389629810485"/>
      <name val="Segoe UI Semibold"/>
      <family val="2"/>
    </font>
    <font>
      <b/>
      <sz val="11"/>
      <color rgb="FFFFC000"/>
      <name val="Segoe UI Semibold"/>
      <family val="2"/>
    </font>
    <font>
      <sz val="10"/>
      <color rgb="FFFFC000"/>
      <name val="Segoe UI Semibold"/>
      <family val="2"/>
    </font>
    <font>
      <b/>
      <sz val="14"/>
      <color rgb="FFFF0000"/>
      <name val="Segoe UI Semibold"/>
      <family val="2"/>
    </font>
    <font>
      <sz val="8"/>
      <color theme="7" tint="0.79998168889431442"/>
      <name val="Segoe UI Semibold"/>
      <family val="2"/>
    </font>
    <font>
      <i/>
      <sz val="10"/>
      <color theme="0"/>
      <name val="Segoe UI Semibold"/>
      <family val="2"/>
    </font>
    <font>
      <sz val="10"/>
      <color theme="1" tint="0.34998626667073579"/>
      <name val="Segoe UI Semibold"/>
      <family val="2"/>
    </font>
    <font>
      <b/>
      <sz val="10"/>
      <color theme="1" tint="0.34998626667073579"/>
      <name val="Segoe UI Semibold"/>
      <family val="2"/>
    </font>
    <font>
      <b/>
      <i/>
      <sz val="11"/>
      <color rgb="FFFFFF00"/>
      <name val="Segoe UI Semibold"/>
      <family val="2"/>
    </font>
    <font>
      <b/>
      <u/>
      <sz val="10"/>
      <color theme="0"/>
      <name val="Arial"/>
      <family val="2"/>
    </font>
    <font>
      <sz val="10"/>
      <color theme="0"/>
      <name val="Arial"/>
      <family val="2"/>
    </font>
    <font>
      <sz val="9"/>
      <color theme="3" tint="0.39997558519241921"/>
      <name val="Arial"/>
      <family val="2"/>
    </font>
    <font>
      <b/>
      <sz val="9"/>
      <color theme="0"/>
      <name val="Arial"/>
      <family val="2"/>
    </font>
    <font>
      <sz val="9"/>
      <color theme="0"/>
      <name val="Arial"/>
      <family val="2"/>
    </font>
    <font>
      <b/>
      <sz val="9"/>
      <color theme="4"/>
      <name val="Arial"/>
      <family val="2"/>
    </font>
    <font>
      <vertAlign val="superscript"/>
      <sz val="10"/>
      <color theme="0"/>
      <name val="Arial"/>
      <family val="2"/>
    </font>
    <font>
      <sz val="10"/>
      <name val="Segoe UI Semibold"/>
      <family val="2"/>
    </font>
    <font>
      <sz val="9"/>
      <name val="Arial"/>
      <family val="2"/>
    </font>
    <font>
      <sz val="11"/>
      <name val="Segoe UI Semibold"/>
      <family val="2"/>
    </font>
    <font>
      <sz val="10"/>
      <color theme="1"/>
      <name val="Arial"/>
      <family val="2"/>
    </font>
    <font>
      <sz val="8"/>
      <color theme="1"/>
      <name val="Arial"/>
      <family val="2"/>
    </font>
    <font>
      <sz val="9"/>
      <color theme="1"/>
      <name val="Arial"/>
      <family val="2"/>
    </font>
    <font>
      <sz val="10"/>
      <name val="Arial"/>
      <family val="2"/>
    </font>
    <font>
      <b/>
      <sz val="8"/>
      <color theme="1"/>
      <name val="Arial"/>
      <family val="2"/>
    </font>
    <font>
      <b/>
      <sz val="12"/>
      <color theme="1"/>
      <name val="Open Sans"/>
    </font>
    <font>
      <b/>
      <sz val="12"/>
      <color theme="1"/>
      <name val="Arial"/>
      <family val="2"/>
    </font>
    <font>
      <sz val="6"/>
      <color theme="1"/>
      <name val="Arial"/>
      <family val="2"/>
    </font>
    <font>
      <i/>
      <sz val="8"/>
      <color theme="1"/>
      <name val="Arial"/>
      <family val="2"/>
    </font>
    <font>
      <sz val="7"/>
      <color theme="1"/>
      <name val="Arial"/>
      <family val="2"/>
    </font>
    <font>
      <b/>
      <sz val="7"/>
      <color theme="1"/>
      <name val="Arial"/>
      <family val="2"/>
    </font>
    <font>
      <b/>
      <sz val="9"/>
      <color theme="1"/>
      <name val="Arial"/>
      <family val="2"/>
    </font>
    <font>
      <b/>
      <sz val="10"/>
      <color theme="1"/>
      <name val="Arial"/>
      <family val="2"/>
    </font>
    <font>
      <b/>
      <sz val="11"/>
      <color theme="1"/>
      <name val="Arial"/>
      <family val="2"/>
    </font>
    <font>
      <b/>
      <sz val="8"/>
      <color rgb="FF333300"/>
      <name val="Arial"/>
      <family val="2"/>
    </font>
    <font>
      <b/>
      <sz val="9"/>
      <color rgb="FF333300"/>
      <name val="Arial"/>
      <family val="2"/>
    </font>
    <font>
      <b/>
      <sz val="10"/>
      <color indexed="10"/>
      <name val="Arial"/>
      <family val="2"/>
    </font>
    <font>
      <sz val="10"/>
      <name val="Times New Roman"/>
      <family val="1"/>
    </font>
    <font>
      <vertAlign val="superscript"/>
      <sz val="10"/>
      <name val="Arial"/>
      <family val="2"/>
    </font>
    <font>
      <sz val="10"/>
      <color indexed="22"/>
      <name val="Arial"/>
      <family val="2"/>
    </font>
    <font>
      <b/>
      <sz val="10"/>
      <color indexed="10"/>
      <name val="Times New Roman"/>
      <family val="1"/>
    </font>
    <font>
      <b/>
      <sz val="10"/>
      <name val="Times New Roman"/>
      <family val="1"/>
    </font>
    <font>
      <sz val="11"/>
      <color theme="0"/>
      <name val="Calibri"/>
      <family val="2"/>
      <scheme val="minor"/>
    </font>
    <font>
      <b/>
      <sz val="10"/>
      <color theme="0"/>
      <name val="Arial"/>
      <family val="2"/>
    </font>
    <font>
      <b/>
      <sz val="11"/>
      <color theme="1"/>
      <name val="Calibri"/>
      <family val="2"/>
      <scheme val="minor"/>
    </font>
    <font>
      <sz val="10"/>
      <color indexed="8"/>
      <name val="Arial"/>
      <family val="2"/>
    </font>
    <font>
      <b/>
      <sz val="12"/>
      <color indexed="59"/>
      <name val="Arial"/>
      <family val="2"/>
    </font>
    <font>
      <b/>
      <sz val="12"/>
      <color indexed="10"/>
      <name val="Arial"/>
      <family val="2"/>
    </font>
    <font>
      <sz val="12"/>
      <name val="Arial"/>
      <family val="2"/>
    </font>
    <font>
      <i/>
      <sz val="10"/>
      <color indexed="59"/>
      <name val="Arial"/>
      <family val="2"/>
    </font>
    <font>
      <sz val="10"/>
      <color theme="9" tint="-0.249977111117893"/>
      <name val="Arial"/>
      <family val="2"/>
    </font>
    <font>
      <sz val="11"/>
      <color theme="9" tint="-0.249977111117893"/>
      <name val="Calibri"/>
      <family val="2"/>
      <scheme val="minor"/>
    </font>
    <font>
      <sz val="10"/>
      <color indexed="10"/>
      <name val="Arial"/>
      <family val="2"/>
    </font>
    <font>
      <sz val="14"/>
      <name val="Arial"/>
      <family val="2"/>
    </font>
    <font>
      <b/>
      <sz val="9"/>
      <color indexed="12"/>
      <name val="Arial"/>
      <family val="2"/>
      <charset val="204"/>
    </font>
    <font>
      <b/>
      <sz val="10"/>
      <color indexed="12"/>
      <name val="Arial"/>
      <family val="2"/>
    </font>
    <font>
      <b/>
      <sz val="10"/>
      <color indexed="12"/>
      <name val="Comic Sans MS"/>
      <family val="4"/>
      <charset val="204"/>
    </font>
    <font>
      <b/>
      <sz val="10"/>
      <name val="Arial"/>
      <family val="2"/>
      <charset val="204"/>
    </font>
    <font>
      <b/>
      <sz val="11"/>
      <color indexed="17"/>
      <name val="Arial"/>
      <family val="2"/>
      <charset val="204"/>
    </font>
    <font>
      <b/>
      <sz val="10"/>
      <color indexed="17"/>
      <name val="Arial"/>
      <family val="2"/>
      <charset val="204"/>
    </font>
    <font>
      <sz val="10"/>
      <color rgb="FFFF0000"/>
      <name val="Arial"/>
      <family val="2"/>
    </font>
    <font>
      <sz val="10"/>
      <color indexed="17"/>
      <name val="Arial"/>
      <family val="2"/>
    </font>
    <font>
      <b/>
      <sz val="10"/>
      <color indexed="12"/>
      <name val="Arial"/>
      <family val="2"/>
      <charset val="204"/>
    </font>
    <font>
      <b/>
      <sz val="10"/>
      <color rgb="FFFF0000"/>
      <name val="Arial"/>
      <family val="2"/>
    </font>
    <font>
      <sz val="10"/>
      <name val="Arial"/>
      <family val="2"/>
      <charset val="178"/>
    </font>
    <font>
      <b/>
      <sz val="12"/>
      <name val="Times New Roman"/>
      <family val="1"/>
    </font>
    <font>
      <sz val="12"/>
      <name val="Times New Roman"/>
      <family val="1"/>
    </font>
  </fonts>
  <fills count="1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1" tint="0.34998626667073579"/>
        <bgColor indexed="64"/>
      </patternFill>
    </fill>
    <fill>
      <patternFill patternType="solid">
        <fgColor theme="7"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3"/>
        <bgColor indexed="64"/>
      </patternFill>
    </fill>
    <fill>
      <patternFill patternType="solid">
        <fgColor theme="0"/>
        <bgColor rgb="FFC0C0C0"/>
      </patternFill>
    </fill>
    <fill>
      <patternFill patternType="solid">
        <fgColor theme="1" tint="0.249977111117893"/>
        <bgColor indexed="64"/>
      </patternFill>
    </fill>
    <fill>
      <patternFill patternType="solid">
        <fgColor indexed="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0.499984740745262"/>
        <bgColor indexed="64"/>
      </patternFill>
    </fill>
  </fills>
  <borders count="3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double">
        <color indexed="10"/>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hair">
        <color indexed="64"/>
      </bottom>
      <diagonal/>
    </border>
    <border>
      <left/>
      <right style="medium">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hair">
        <color indexed="64"/>
      </top>
      <bottom style="hair">
        <color indexed="64"/>
      </bottom>
      <diagonal/>
    </border>
    <border>
      <left/>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right/>
      <top style="medium">
        <color indexed="64"/>
      </top>
      <bottom style="thin">
        <color indexed="64"/>
      </bottom>
      <diagonal/>
    </border>
    <border>
      <left/>
      <right/>
      <top/>
      <bottom style="hair">
        <color indexed="64"/>
      </bottom>
      <diagonal/>
    </border>
    <border>
      <left/>
      <right/>
      <top style="hair">
        <color indexed="64"/>
      </top>
      <bottom/>
      <diagonal/>
    </border>
    <border>
      <left style="double">
        <color indexed="10"/>
      </left>
      <right style="double">
        <color indexed="10"/>
      </right>
      <top style="thin">
        <color indexed="64"/>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style="double">
        <color indexed="10"/>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thin">
        <color indexed="64"/>
      </top>
      <bottom style="hair">
        <color indexed="64"/>
      </bottom>
      <diagonal/>
    </border>
    <border>
      <left/>
      <right style="thin">
        <color indexed="64"/>
      </right>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thin">
        <color indexed="64"/>
      </bottom>
      <diagonal/>
    </border>
    <border>
      <left style="medium">
        <color indexed="64"/>
      </left>
      <right/>
      <top style="hair">
        <color indexed="64"/>
      </top>
      <bottom style="medium">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right style="double">
        <color indexed="64"/>
      </right>
      <top style="medium">
        <color indexed="64"/>
      </top>
      <bottom style="medium">
        <color indexed="64"/>
      </bottom>
      <diagonal/>
    </border>
    <border>
      <left style="double">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double">
        <color indexed="64"/>
      </right>
      <top style="medium">
        <color indexed="64"/>
      </top>
      <bottom style="thin">
        <color indexed="64"/>
      </bottom>
      <diagonal/>
    </border>
    <border>
      <left style="double">
        <color indexed="64"/>
      </left>
      <right/>
      <top style="medium">
        <color indexed="64"/>
      </top>
      <bottom style="thin">
        <color indexed="64"/>
      </bottom>
      <diagonal/>
    </border>
    <border>
      <left style="medium">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medium">
        <color indexed="64"/>
      </bottom>
      <diagonal/>
    </border>
    <border>
      <left style="double">
        <color indexed="64"/>
      </left>
      <right/>
      <top style="hair">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hair">
        <color indexed="64"/>
      </bottom>
      <diagonal/>
    </border>
    <border>
      <left/>
      <right style="double">
        <color indexed="64"/>
      </right>
      <top style="medium">
        <color indexed="64"/>
      </top>
      <bottom style="hair">
        <color indexed="64"/>
      </bottom>
      <diagonal/>
    </border>
    <border>
      <left style="double">
        <color indexed="64"/>
      </left>
      <right style="double">
        <color indexed="64"/>
      </right>
      <top style="medium">
        <color indexed="64"/>
      </top>
      <bottom style="hair">
        <color indexed="64"/>
      </bottom>
      <diagonal/>
    </border>
    <border>
      <left style="double">
        <color indexed="64"/>
      </left>
      <right style="medium">
        <color indexed="64"/>
      </right>
      <top style="medium">
        <color indexed="64"/>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style="medium">
        <color indexed="64"/>
      </right>
      <top style="hair">
        <color indexed="64"/>
      </top>
      <bottom style="hair">
        <color indexed="64"/>
      </bottom>
      <diagonal/>
    </border>
    <border>
      <left style="double">
        <color indexed="64"/>
      </left>
      <right style="double">
        <color indexed="64"/>
      </right>
      <top style="hair">
        <color indexed="64"/>
      </top>
      <bottom style="medium">
        <color indexed="64"/>
      </bottom>
      <diagonal/>
    </border>
    <border>
      <left style="double">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medium">
        <color indexed="64"/>
      </right>
      <top/>
      <bottom style="medium">
        <color indexed="64"/>
      </bottom>
      <diagonal/>
    </border>
    <border>
      <left/>
      <right style="double">
        <color indexed="64"/>
      </right>
      <top style="thin">
        <color indexed="64"/>
      </top>
      <bottom style="thin">
        <color indexed="64"/>
      </bottom>
      <diagonal/>
    </border>
    <border>
      <left style="double">
        <color indexed="64"/>
      </left>
      <right/>
      <top style="thin">
        <color indexed="64"/>
      </top>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style="hair">
        <color indexed="64"/>
      </top>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diagonal/>
    </border>
    <border>
      <left/>
      <right/>
      <top style="thin">
        <color rgb="FFFFFF00"/>
      </top>
      <bottom/>
      <diagonal/>
    </border>
    <border>
      <left/>
      <right style="thin">
        <color rgb="FFFFFF00"/>
      </right>
      <top style="thin">
        <color rgb="FFFFFF00"/>
      </top>
      <bottom/>
      <diagonal/>
    </border>
    <border>
      <left style="thin">
        <color rgb="FFFFFF00"/>
      </left>
      <right/>
      <top style="thin">
        <color indexed="64"/>
      </top>
      <bottom/>
      <diagonal/>
    </border>
    <border>
      <left/>
      <right style="thin">
        <color rgb="FFFFFF00"/>
      </right>
      <top style="thin">
        <color indexed="64"/>
      </top>
      <bottom/>
      <diagonal/>
    </border>
    <border>
      <left style="thin">
        <color rgb="FFFFFF00"/>
      </left>
      <right/>
      <top/>
      <bottom/>
      <diagonal/>
    </border>
    <border>
      <left/>
      <right style="thin">
        <color rgb="FFFFFF00"/>
      </right>
      <top/>
      <bottom/>
      <diagonal/>
    </border>
    <border>
      <left/>
      <right style="thin">
        <color rgb="FFFFFF00"/>
      </right>
      <top/>
      <bottom style="thin">
        <color indexed="64"/>
      </bottom>
      <diagonal/>
    </border>
    <border>
      <left style="thin">
        <color rgb="FFFFFF00"/>
      </left>
      <right/>
      <top/>
      <bottom style="thin">
        <color rgb="FFFFFF00"/>
      </bottom>
      <diagonal/>
    </border>
    <border>
      <left/>
      <right/>
      <top/>
      <bottom style="thin">
        <color rgb="FFFFFF00"/>
      </bottom>
      <diagonal/>
    </border>
    <border>
      <left/>
      <right style="thin">
        <color rgb="FFFFFF00"/>
      </right>
      <top/>
      <bottom style="thin">
        <color rgb="FFFFFF00"/>
      </bottom>
      <diagonal/>
    </border>
    <border>
      <left/>
      <right/>
      <top style="medium">
        <color indexed="64"/>
      </top>
      <bottom style="thin">
        <color rgb="FFFFFF00"/>
      </bottom>
      <diagonal/>
    </border>
    <border>
      <left style="thin">
        <color rgb="FFFFFF00"/>
      </left>
      <right/>
      <top/>
      <bottom style="medium">
        <color indexed="64"/>
      </bottom>
      <diagonal/>
    </border>
    <border>
      <left/>
      <right style="thin">
        <color rgb="FFFFFF00"/>
      </right>
      <top/>
      <bottom style="medium">
        <color indexed="64"/>
      </bottom>
      <diagonal/>
    </border>
    <border>
      <left style="thin">
        <color indexed="64"/>
      </left>
      <right/>
      <top style="thin">
        <color rgb="FFFFFF00"/>
      </top>
      <bottom/>
      <diagonal/>
    </border>
    <border>
      <left style="thin">
        <color indexed="64"/>
      </left>
      <right/>
      <top/>
      <bottom style="thin">
        <color rgb="FFFFFF00"/>
      </bottom>
      <diagonal/>
    </border>
    <border>
      <left/>
      <right style="thin">
        <color indexed="64"/>
      </right>
      <top style="thin">
        <color rgb="FFFFFF00"/>
      </top>
      <bottom/>
      <diagonal/>
    </border>
    <border>
      <left/>
      <right style="thin">
        <color indexed="64"/>
      </right>
      <top/>
      <bottom style="thin">
        <color rgb="FFFFFF00"/>
      </bottom>
      <diagonal/>
    </border>
    <border>
      <left/>
      <right style="thin">
        <color rgb="FFFFFF00"/>
      </right>
      <top style="thin">
        <color rgb="FFFFFF00"/>
      </top>
      <bottom style="thin">
        <color rgb="FFFFFF00"/>
      </bottom>
      <diagonal/>
    </border>
    <border>
      <left/>
      <right/>
      <top style="thin">
        <color rgb="FFFFFF00"/>
      </top>
      <bottom style="thin">
        <color rgb="FFFFFF00"/>
      </bottom>
      <diagonal/>
    </border>
    <border>
      <left style="thin">
        <color rgb="FFFFFF00"/>
      </left>
      <right/>
      <top style="thin">
        <color rgb="FFFFFF00"/>
      </top>
      <bottom style="thin">
        <color rgb="FFFFFF00"/>
      </bottom>
      <diagonal/>
    </border>
    <border>
      <left style="thin">
        <color rgb="FFFFFF00"/>
      </left>
      <right/>
      <top style="thin">
        <color rgb="FFFFFF00"/>
      </top>
      <bottom style="thin">
        <color indexed="64"/>
      </bottom>
      <diagonal/>
    </border>
    <border>
      <left/>
      <right/>
      <top style="thin">
        <color rgb="FFFFFF00"/>
      </top>
      <bottom style="thin">
        <color indexed="64"/>
      </bottom>
      <diagonal/>
    </border>
    <border>
      <left style="thin">
        <color rgb="FFFFFF00"/>
      </left>
      <right/>
      <top style="thin">
        <color indexed="64"/>
      </top>
      <bottom style="thin">
        <color rgb="FFFFFF00"/>
      </bottom>
      <diagonal/>
    </border>
    <border>
      <left/>
      <right/>
      <top style="thin">
        <color indexed="64"/>
      </top>
      <bottom style="thin">
        <color rgb="FFFFFF00"/>
      </bottom>
      <diagonal/>
    </border>
    <border>
      <left style="thin">
        <color rgb="FFFFFF00"/>
      </left>
      <right/>
      <top style="thin">
        <color indexed="64"/>
      </top>
      <bottom style="thin">
        <color indexed="64"/>
      </bottom>
      <diagonal/>
    </border>
    <border>
      <left style="thin">
        <color indexed="64"/>
      </left>
      <right style="thin">
        <color rgb="FFFFFF00"/>
      </right>
      <top style="thin">
        <color indexed="64"/>
      </top>
      <bottom style="thin">
        <color indexed="64"/>
      </bottom>
      <diagonal/>
    </border>
    <border>
      <left style="thin">
        <color indexed="64"/>
      </left>
      <right style="thin">
        <color rgb="FFFFFF00"/>
      </right>
      <top/>
      <bottom style="hair">
        <color indexed="64"/>
      </bottom>
      <diagonal/>
    </border>
    <border>
      <left style="thin">
        <color indexed="64"/>
      </left>
      <right style="thin">
        <color rgb="FFFFFF00"/>
      </right>
      <top style="hair">
        <color indexed="64"/>
      </top>
      <bottom style="hair">
        <color indexed="64"/>
      </bottom>
      <diagonal/>
    </border>
    <border>
      <left/>
      <right style="thin">
        <color rgb="FFFFFF00"/>
      </right>
      <top style="thin">
        <color indexed="64"/>
      </top>
      <bottom style="thin">
        <color indexed="64"/>
      </bottom>
      <diagonal/>
    </border>
    <border>
      <left style="double">
        <color indexed="10"/>
      </left>
      <right style="thin">
        <color rgb="FFFFFF00"/>
      </right>
      <top style="thin">
        <color indexed="64"/>
      </top>
      <bottom style="thin">
        <color indexed="64"/>
      </bottom>
      <diagonal/>
    </border>
    <border>
      <left style="thin">
        <color indexed="64"/>
      </left>
      <right style="thin">
        <color rgb="FFFFFF00"/>
      </right>
      <top style="thin">
        <color rgb="FFFFFF00"/>
      </top>
      <bottom style="thin">
        <color rgb="FFFFFF00"/>
      </bottom>
      <diagonal/>
    </border>
    <border>
      <left style="thin">
        <color indexed="64"/>
      </left>
      <right style="thin">
        <color rgb="FFFFFF00"/>
      </right>
      <top style="hair">
        <color indexed="64"/>
      </top>
      <bottom/>
      <diagonal/>
    </border>
    <border>
      <left style="thin">
        <color rgb="FFFFFF00"/>
      </left>
      <right style="thin">
        <color indexed="64"/>
      </right>
      <top style="thin">
        <color rgb="FFFFFF00"/>
      </top>
      <bottom style="thin">
        <color rgb="FFFFFF00"/>
      </bottom>
      <diagonal/>
    </border>
    <border>
      <left/>
      <right/>
      <top/>
      <bottom style="dotted">
        <color theme="0" tint="-0.14999847407452621"/>
      </bottom>
      <diagonal/>
    </border>
    <border>
      <left style="dotted">
        <color theme="0" tint="-0.14999847407452621"/>
      </left>
      <right style="dotted">
        <color theme="0" tint="-0.14999847407452621"/>
      </right>
      <top style="dotted">
        <color theme="0" tint="-0.14999847407452621"/>
      </top>
      <bottom style="dotted">
        <color theme="0" tint="-0.14999847407452621"/>
      </bottom>
      <diagonal/>
    </border>
    <border>
      <left style="dotted">
        <color theme="0" tint="-0.14999847407452621"/>
      </left>
      <right/>
      <top style="dotted">
        <color theme="0" tint="-0.14999847407452621"/>
      </top>
      <bottom style="dotted">
        <color theme="0" tint="-0.14999847407452621"/>
      </bottom>
      <diagonal/>
    </border>
    <border>
      <left/>
      <right/>
      <top style="dotted">
        <color theme="0" tint="-0.14999847407452621"/>
      </top>
      <bottom style="dotted">
        <color theme="0" tint="-0.14999847407452621"/>
      </bottom>
      <diagonal/>
    </border>
    <border>
      <left/>
      <right style="dotted">
        <color theme="0" tint="-0.14999847407452621"/>
      </right>
      <top style="dotted">
        <color theme="0" tint="-0.14999847407452621"/>
      </top>
      <bottom style="dotted">
        <color theme="0" tint="-0.14999847407452621"/>
      </bottom>
      <diagonal/>
    </border>
    <border>
      <left/>
      <right/>
      <top style="dotted">
        <color theme="0" tint="-0.14999847407452621"/>
      </top>
      <bottom/>
      <diagonal/>
    </border>
    <border>
      <left style="thin">
        <color theme="0"/>
      </left>
      <right/>
      <top style="dotted">
        <color theme="0" tint="-0.14999847407452621"/>
      </top>
      <bottom style="thin">
        <color theme="0"/>
      </bottom>
      <diagonal/>
    </border>
    <border>
      <left/>
      <right/>
      <top style="dotted">
        <color theme="0" tint="-0.14999847407452621"/>
      </top>
      <bottom style="thin">
        <color theme="0"/>
      </bottom>
      <diagonal/>
    </border>
    <border>
      <left style="dotted">
        <color theme="0" tint="-0.14999847407452621"/>
      </left>
      <right/>
      <top/>
      <bottom/>
      <diagonal/>
    </border>
    <border>
      <left style="dotted">
        <color theme="0" tint="-0.14999847407452621"/>
      </left>
      <right/>
      <top/>
      <bottom style="dotted">
        <color theme="0" tint="-0.14999847407452621"/>
      </bottom>
      <diagonal/>
    </border>
    <border>
      <left/>
      <right style="dotted">
        <color theme="0" tint="-0.14999847407452621"/>
      </right>
      <top/>
      <bottom style="dotted">
        <color theme="0" tint="-0.14999847407452621"/>
      </bottom>
      <diagonal/>
    </border>
    <border>
      <left style="dotted">
        <color theme="0" tint="-0.14999847407452621"/>
      </left>
      <right style="thin">
        <color indexed="64"/>
      </right>
      <top style="dotted">
        <color theme="0" tint="-0.14999847407452621"/>
      </top>
      <bottom style="dotted">
        <color theme="0" tint="-0.14999847407452621"/>
      </bottom>
      <diagonal/>
    </border>
    <border>
      <left style="thin">
        <color indexed="64"/>
      </left>
      <right style="dotted">
        <color theme="0" tint="-0.14999847407452621"/>
      </right>
      <top style="dotted">
        <color theme="0" tint="-0.14999847407452621"/>
      </top>
      <bottom style="dotted">
        <color theme="0" tint="-0.14999847407452621"/>
      </bottom>
      <diagonal/>
    </border>
    <border>
      <left style="dotted">
        <color theme="0" tint="-0.14999847407452621"/>
      </left>
      <right style="thin">
        <color indexed="64"/>
      </right>
      <top style="dotted">
        <color theme="0" tint="-0.14999847407452621"/>
      </top>
      <bottom/>
      <diagonal/>
    </border>
    <border>
      <left style="thin">
        <color indexed="64"/>
      </left>
      <right style="dotted">
        <color theme="0" tint="-0.14999847407452621"/>
      </right>
      <top style="dotted">
        <color theme="0" tint="-0.14999847407452621"/>
      </top>
      <bottom/>
      <diagonal/>
    </border>
    <border>
      <left style="dotted">
        <color theme="0" tint="-0.14999847407452621"/>
      </left>
      <right/>
      <top style="dotted">
        <color theme="0" tint="-0.14999847407452621"/>
      </top>
      <bottom style="thin">
        <color indexed="64"/>
      </bottom>
      <diagonal/>
    </border>
    <border>
      <left style="dotted">
        <color theme="0" tint="-0.14999847407452621"/>
      </left>
      <right style="thin">
        <color indexed="64"/>
      </right>
      <top style="dotted">
        <color theme="0" tint="-0.14999847407452621"/>
      </top>
      <bottom style="hair">
        <color indexed="64"/>
      </bottom>
      <diagonal/>
    </border>
    <border>
      <left style="thin">
        <color indexed="64"/>
      </left>
      <right style="dotted">
        <color theme="0" tint="-0.14999847407452621"/>
      </right>
      <top style="dotted">
        <color theme="0" tint="-0.14999847407452621"/>
      </top>
      <bottom style="hair">
        <color indexed="64"/>
      </bottom>
      <diagonal/>
    </border>
    <border>
      <left style="dotted">
        <color theme="0" tint="-0.14999847407452621"/>
      </left>
      <right style="thin">
        <color indexed="64"/>
      </right>
      <top/>
      <bottom style="hair">
        <color indexed="64"/>
      </bottom>
      <diagonal/>
    </border>
    <border>
      <left style="thin">
        <color indexed="64"/>
      </left>
      <right style="dotted">
        <color theme="0" tint="-0.14999847407452621"/>
      </right>
      <top/>
      <bottom style="hair">
        <color indexed="64"/>
      </bottom>
      <diagonal/>
    </border>
    <border>
      <left style="dotted">
        <color theme="0" tint="-0.14999847407452621"/>
      </left>
      <right style="thin">
        <color indexed="64"/>
      </right>
      <top style="hair">
        <color indexed="64"/>
      </top>
      <bottom style="hair">
        <color indexed="64"/>
      </bottom>
      <diagonal/>
    </border>
    <border>
      <left style="thin">
        <color indexed="64"/>
      </left>
      <right style="dotted">
        <color theme="0" tint="-0.14999847407452621"/>
      </right>
      <top style="hair">
        <color indexed="64"/>
      </top>
      <bottom style="hair">
        <color indexed="64"/>
      </bottom>
      <diagonal/>
    </border>
    <border>
      <left style="dotted">
        <color theme="0" tint="-0.14999847407452621"/>
      </left>
      <right/>
      <top style="hair">
        <color indexed="64"/>
      </top>
      <bottom style="hair">
        <color indexed="64"/>
      </bottom>
      <diagonal/>
    </border>
    <border>
      <left/>
      <right style="dotted">
        <color theme="0" tint="-0.14999847407452621"/>
      </right>
      <top style="hair">
        <color indexed="64"/>
      </top>
      <bottom style="hair">
        <color indexed="64"/>
      </bottom>
      <diagonal/>
    </border>
    <border>
      <left/>
      <right style="dotted">
        <color theme="0" tint="-0.14999847407452621"/>
      </right>
      <top style="hair">
        <color indexed="64"/>
      </top>
      <bottom style="dotted">
        <color theme="0" tint="-0.14999847407452621"/>
      </bottom>
      <diagonal/>
    </border>
    <border>
      <left/>
      <right style="thin">
        <color indexed="64"/>
      </right>
      <top style="dotted">
        <color theme="0" tint="-0.14999847407452621"/>
      </top>
      <bottom style="hair">
        <color indexed="64"/>
      </bottom>
      <diagonal/>
    </border>
    <border>
      <left/>
      <right/>
      <top style="hair">
        <color indexed="64"/>
      </top>
      <bottom style="dotted">
        <color theme="0" tint="-0.14999847407452621"/>
      </bottom>
      <diagonal/>
    </border>
    <border>
      <left style="dotted">
        <color theme="0" tint="-0.14999847407452621"/>
      </left>
      <right style="thin">
        <color indexed="64"/>
      </right>
      <top style="hair">
        <color indexed="64"/>
      </top>
      <bottom style="dotted">
        <color theme="0" tint="-0.14999847407452621"/>
      </bottom>
      <diagonal/>
    </border>
    <border>
      <left style="thin">
        <color indexed="64"/>
      </left>
      <right style="dotted">
        <color theme="0" tint="-0.14999847407452621"/>
      </right>
      <top style="hair">
        <color indexed="64"/>
      </top>
      <bottom style="dotted">
        <color theme="0" tint="-0.14999847407452621"/>
      </bottom>
      <diagonal/>
    </border>
    <border>
      <left style="thin">
        <color indexed="64"/>
      </left>
      <right style="thin">
        <color indexed="64"/>
      </right>
      <top/>
      <bottom style="thin">
        <color indexed="64"/>
      </bottom>
      <diagonal/>
    </border>
    <border>
      <left style="dotted">
        <color theme="0" tint="-0.14999847407452621"/>
      </left>
      <right/>
      <top style="dotted">
        <color theme="0" tint="-0.14999847407452621"/>
      </top>
      <bottom style="hair">
        <color indexed="64"/>
      </bottom>
      <diagonal/>
    </border>
    <border>
      <left/>
      <right style="dotted">
        <color theme="0" tint="-0.14999847407452621"/>
      </right>
      <top style="dotted">
        <color theme="0" tint="-0.14999847407452621"/>
      </top>
      <bottom style="hair">
        <color indexed="64"/>
      </bottom>
      <diagonal/>
    </border>
    <border>
      <left/>
      <right style="thin">
        <color indexed="64"/>
      </right>
      <top style="dotted">
        <color theme="0" tint="-0.14999847407452621"/>
      </top>
      <bottom style="dotted">
        <color theme="0" tint="-0.14999847407452621"/>
      </bottom>
      <diagonal/>
    </border>
    <border>
      <left style="thin">
        <color indexed="64"/>
      </left>
      <right style="dotted">
        <color theme="0" tint="-0.14999847407452621"/>
      </right>
      <top/>
      <bottom style="thin">
        <color rgb="FFFFFF00"/>
      </bottom>
      <diagonal/>
    </border>
    <border>
      <left style="dotted">
        <color theme="0" tint="-0.14999847407452621"/>
      </left>
      <right style="thin">
        <color indexed="64"/>
      </right>
      <top style="hair">
        <color indexed="64"/>
      </top>
      <bottom/>
      <diagonal/>
    </border>
    <border>
      <left style="thin">
        <color indexed="64"/>
      </left>
      <right style="dotted">
        <color theme="0" tint="-0.14999847407452621"/>
      </right>
      <top style="hair">
        <color indexed="64"/>
      </top>
      <bottom/>
      <diagonal/>
    </border>
    <border>
      <left style="dotted">
        <color theme="0" tint="-0.14999847407452621"/>
      </left>
      <right/>
      <top style="hair">
        <color indexed="64"/>
      </top>
      <bottom style="thin">
        <color rgb="FFFFFF00"/>
      </bottom>
      <diagonal/>
    </border>
    <border>
      <left/>
      <right style="dotted">
        <color theme="0" tint="-0.14999847407452621"/>
      </right>
      <top style="hair">
        <color indexed="64"/>
      </top>
      <bottom style="thin">
        <color rgb="FFFFFF00"/>
      </bottom>
      <diagonal/>
    </border>
    <border>
      <left/>
      <right style="dotted">
        <color theme="0" tint="-0.14999847407452621"/>
      </right>
      <top/>
      <bottom style="hair">
        <color indexed="64"/>
      </bottom>
      <diagonal/>
    </border>
    <border>
      <left/>
      <right style="dotted">
        <color theme="0" tint="-0.14999847407452621"/>
      </right>
      <top style="thin">
        <color rgb="FFFFFF00"/>
      </top>
      <bottom/>
      <diagonal/>
    </border>
    <border>
      <left/>
      <right style="dotted">
        <color theme="0" tint="-0.14999847407452621"/>
      </right>
      <top/>
      <bottom style="thin">
        <color rgb="FFFFFF00"/>
      </bottom>
      <diagonal/>
    </border>
    <border>
      <left style="thin">
        <color rgb="FFFFFF00"/>
      </left>
      <right style="thin">
        <color rgb="FFFFFF00"/>
      </right>
      <top style="dotted">
        <color theme="0" tint="-0.14999847407452621"/>
      </top>
      <bottom style="dotted">
        <color theme="0" tint="-0.14999847407452621"/>
      </bottom>
      <diagonal/>
    </border>
    <border>
      <left/>
      <right style="dotted">
        <color theme="0" tint="-0.14999847407452621"/>
      </right>
      <top style="hair">
        <color indexed="64"/>
      </top>
      <bottom/>
      <diagonal/>
    </border>
    <border>
      <left style="dotted">
        <color theme="0" tint="-0.14999847407452621"/>
      </left>
      <right/>
      <top style="dotted">
        <color theme="0" tint="-0.14999847407452621"/>
      </top>
      <bottom style="medium">
        <color indexed="64"/>
      </bottom>
      <diagonal/>
    </border>
    <border>
      <left/>
      <right style="dotted">
        <color theme="0" tint="-0.14999847407452621"/>
      </right>
      <top style="dotted">
        <color theme="0" tint="-0.14999847407452621"/>
      </top>
      <bottom style="medium">
        <color indexed="64"/>
      </bottom>
      <diagonal/>
    </border>
    <border>
      <left/>
      <right style="dotted">
        <color theme="0" tint="-0.14999847407452621"/>
      </right>
      <top style="dotted">
        <color theme="0" tint="-0.14999847407452621"/>
      </top>
      <bottom style="thin">
        <color indexed="64"/>
      </bottom>
      <diagonal/>
    </border>
    <border>
      <left style="dotted">
        <color theme="0" tint="-0.14999847407452621"/>
      </left>
      <right/>
      <top style="thin">
        <color indexed="64"/>
      </top>
      <bottom style="dotted">
        <color theme="0" tint="-0.14999847407452621"/>
      </bottom>
      <diagonal/>
    </border>
    <border>
      <left/>
      <right style="dotted">
        <color theme="0" tint="-0.14999847407452621"/>
      </right>
      <top style="thin">
        <color indexed="64"/>
      </top>
      <bottom style="dotted">
        <color theme="0" tint="-0.14999847407452621"/>
      </bottom>
      <diagonal/>
    </border>
    <border>
      <left/>
      <right style="slantDashDot">
        <color theme="0" tint="-4.9989318521683403E-2"/>
      </right>
      <top/>
      <bottom style="slantDashDot">
        <color theme="0" tint="-4.9989318521683403E-2"/>
      </bottom>
      <diagonal/>
    </border>
    <border>
      <left/>
      <right style="thin">
        <color indexed="64"/>
      </right>
      <top/>
      <bottom style="slantDashDot">
        <color theme="0" tint="-4.9989318521683403E-2"/>
      </bottom>
      <diagonal/>
    </border>
    <border>
      <left style="thin">
        <color indexed="64"/>
      </left>
      <right style="slantDashDot">
        <color theme="0" tint="-4.9989318521683403E-2"/>
      </right>
      <top/>
      <bottom style="slantDashDot">
        <color theme="0" tint="-4.9989318521683403E-2"/>
      </bottom>
      <diagonal/>
    </border>
    <border>
      <left/>
      <right/>
      <top/>
      <bottom style="slantDashDot">
        <color theme="0" tint="-4.9989318521683403E-2"/>
      </bottom>
      <diagonal/>
    </border>
    <border>
      <left/>
      <right style="thin">
        <color theme="0" tint="-4.9989318521683403E-2"/>
      </right>
      <top/>
      <bottom style="thin">
        <color theme="0" tint="-4.9989318521683403E-2"/>
      </bottom>
      <diagonal/>
    </border>
    <border>
      <left/>
      <right/>
      <top/>
      <bottom style="thin">
        <color theme="0" tint="-4.9989318521683403E-2"/>
      </bottom>
      <diagonal/>
    </border>
    <border>
      <left style="thin">
        <color rgb="FFFFFF00"/>
      </left>
      <right style="thin">
        <color rgb="FFFFFF00"/>
      </right>
      <top/>
      <bottom/>
      <diagonal/>
    </border>
    <border>
      <left/>
      <right style="thin">
        <color indexed="64"/>
      </right>
      <top style="thin">
        <color rgb="FFFFFF00"/>
      </top>
      <bottom style="thin">
        <color rgb="FFFFFF00"/>
      </bottom>
      <diagonal/>
    </border>
    <border>
      <left style="thin">
        <color rgb="FFFFFF00"/>
      </left>
      <right style="thin">
        <color indexed="64"/>
      </right>
      <top/>
      <bottom style="thin">
        <color rgb="FFFFFF00"/>
      </bottom>
      <diagonal/>
    </border>
    <border>
      <left style="thin">
        <color indexed="64"/>
      </left>
      <right style="thin">
        <color rgb="FFFFFF00"/>
      </right>
      <top/>
      <bottom style="thin">
        <color rgb="FFFFFF00"/>
      </bottom>
      <diagonal/>
    </border>
    <border>
      <left style="thin">
        <color indexed="64"/>
      </left>
      <right style="thin">
        <color rgb="FFFFFF00"/>
      </right>
      <top/>
      <bottom/>
      <diagonal/>
    </border>
    <border>
      <left style="thin">
        <color indexed="64"/>
      </left>
      <right/>
      <top style="thin">
        <color rgb="FFFFFF00"/>
      </top>
      <bottom style="thin">
        <color rgb="FFFFFF00"/>
      </bottom>
      <diagonal/>
    </border>
    <border>
      <left/>
      <right style="thin">
        <color rgb="FFFFFF00"/>
      </right>
      <top style="hair">
        <color indexed="64"/>
      </top>
      <bottom style="hair">
        <color indexed="64"/>
      </bottom>
      <diagonal/>
    </border>
    <border>
      <left style="dotted">
        <color theme="0" tint="-0.14999847407452621"/>
      </left>
      <right/>
      <top/>
      <bottom style="hair">
        <color indexed="64"/>
      </bottom>
      <diagonal/>
    </border>
    <border>
      <left/>
      <right style="thin">
        <color rgb="FFFFFF00"/>
      </right>
      <top/>
      <bottom style="hair">
        <color indexed="64"/>
      </bottom>
      <diagonal/>
    </border>
    <border>
      <left/>
      <right style="thin">
        <color rgb="FFFFFF00"/>
      </right>
      <top style="dotted">
        <color theme="0" tint="-0.14999847407452621"/>
      </top>
      <bottom style="hair">
        <color indexed="64"/>
      </bottom>
      <diagonal/>
    </border>
    <border>
      <left/>
      <right style="dotted">
        <color theme="0" tint="-0.14999847407452621"/>
      </right>
      <top style="thin">
        <color rgb="FFFFFF00"/>
      </top>
      <bottom style="thin">
        <color rgb="FFFFFF00"/>
      </bottom>
      <diagonal/>
    </border>
    <border>
      <left style="thin">
        <color indexed="64"/>
      </left>
      <right style="thin">
        <color indexed="64"/>
      </right>
      <top style="thin">
        <color rgb="FFFFFF00"/>
      </top>
      <bottom/>
      <diagonal/>
    </border>
    <border>
      <left style="thin">
        <color indexed="64"/>
      </left>
      <right style="thin">
        <color rgb="FFFFFF00"/>
      </right>
      <top style="thin">
        <color rgb="FFFFFF00"/>
      </top>
      <bottom/>
      <diagonal/>
    </border>
    <border>
      <left style="thin">
        <color indexed="64"/>
      </left>
      <right style="thin">
        <color indexed="64"/>
      </right>
      <top/>
      <bottom style="thin">
        <color rgb="FFFFFF00"/>
      </bottom>
      <diagonal/>
    </border>
    <border>
      <left style="thin">
        <color indexed="64"/>
      </left>
      <right style="thin">
        <color indexed="64"/>
      </right>
      <top style="thin">
        <color rgb="FFFFFF00"/>
      </top>
      <bottom style="thin">
        <color rgb="FFFFFF00"/>
      </bottom>
      <diagonal/>
    </border>
    <border>
      <left/>
      <right style="thin">
        <color rgb="FFFFFF00"/>
      </right>
      <top style="thin">
        <color indexed="64"/>
      </top>
      <bottom style="thin">
        <color rgb="FFFFFF00"/>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medium">
        <color indexed="64"/>
      </top>
      <bottom/>
      <diagonal/>
    </border>
    <border>
      <left/>
      <right/>
      <top style="thin">
        <color rgb="FFFFFF00"/>
      </top>
      <bottom style="dotted">
        <color theme="0" tint="-0.14999847407452621"/>
      </bottom>
      <diagonal/>
    </border>
    <border>
      <left style="thin">
        <color rgb="FF000000"/>
      </left>
      <right style="thin">
        <color rgb="FF000000"/>
      </right>
      <top style="thin">
        <color rgb="FF000000"/>
      </top>
      <bottom style="hair">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hair">
        <color rgb="FF000000"/>
      </bottom>
      <diagonal/>
    </border>
    <border>
      <left/>
      <right style="thin">
        <color rgb="FF000000"/>
      </right>
      <top/>
      <bottom style="hair">
        <color rgb="FF000000"/>
      </bottom>
      <diagonal/>
    </border>
    <border>
      <left/>
      <right/>
      <top/>
      <bottom style="hair">
        <color rgb="FF000000"/>
      </bottom>
      <diagonal/>
    </border>
    <border>
      <left style="medium">
        <color rgb="FF000000"/>
      </left>
      <right style="thin">
        <color rgb="FF000000"/>
      </right>
      <top/>
      <bottom style="hair">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n">
        <color rgb="FF000000"/>
      </left>
      <right/>
      <top/>
      <bottom/>
      <diagonal/>
    </border>
    <border>
      <left/>
      <right/>
      <top style="thin">
        <color rgb="FF000000"/>
      </top>
      <bottom/>
      <diagonal/>
    </border>
    <border>
      <left/>
      <right/>
      <top/>
      <bottom style="thin">
        <color rgb="FF000000"/>
      </bottom>
      <diagonal/>
    </border>
    <border>
      <left style="thin">
        <color rgb="FF000000"/>
      </left>
      <right style="thin">
        <color rgb="FF000000"/>
      </right>
      <top style="hair">
        <color rgb="FF000000"/>
      </top>
      <bottom/>
      <diagonal/>
    </border>
    <border>
      <left/>
      <right/>
      <top/>
      <bottom style="medium">
        <color rgb="FF000000"/>
      </bottom>
      <diagonal/>
    </border>
    <border>
      <left/>
      <right/>
      <top/>
      <bottom style="double">
        <color indexed="64"/>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double">
        <color indexed="64"/>
      </left>
      <right/>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indexed="64"/>
      </right>
      <top style="thin">
        <color indexed="64"/>
      </top>
      <bottom style="medium">
        <color indexed="64"/>
      </bottom>
      <diagonal/>
    </border>
  </borders>
  <cellStyleXfs count="9">
    <xf numFmtId="0" fontId="0" fillId="0" borderId="0"/>
    <xf numFmtId="14" fontId="1" fillId="2" borderId="1"/>
    <xf numFmtId="164" fontId="1" fillId="2" borderId="1"/>
    <xf numFmtId="0" fontId="1" fillId="2" borderId="2"/>
    <xf numFmtId="165" fontId="1" fillId="2" borderId="1"/>
    <xf numFmtId="0" fontId="25" fillId="0" borderId="0" applyNumberFormat="0" applyFill="0" applyBorder="0" applyAlignment="0" applyProtection="0"/>
    <xf numFmtId="0" fontId="3" fillId="0" borderId="0"/>
    <xf numFmtId="0" fontId="3" fillId="0" borderId="0"/>
    <xf numFmtId="0" fontId="136" fillId="0" borderId="0"/>
  </cellStyleXfs>
  <cellXfs count="2298">
    <xf numFmtId="0" fontId="0" fillId="0" borderId="0" xfId="0"/>
    <xf numFmtId="0" fontId="2" fillId="0" borderId="0" xfId="0" applyFont="1"/>
    <xf numFmtId="0" fontId="2" fillId="0" borderId="0" xfId="0" applyFont="1" applyAlignment="1" applyProtection="1">
      <alignment horizontal="right"/>
      <protection hidden="1"/>
    </xf>
    <xf numFmtId="0" fontId="2" fillId="0" borderId="0" xfId="0" applyFont="1" applyProtection="1">
      <protection hidden="1"/>
    </xf>
    <xf numFmtId="0" fontId="4" fillId="0" borderId="0" xfId="0" applyFont="1" applyProtection="1">
      <protection hidden="1"/>
    </xf>
    <xf numFmtId="0" fontId="10" fillId="0" borderId="0" xfId="0" applyFont="1"/>
    <xf numFmtId="0" fontId="11" fillId="0" borderId="0" xfId="0" applyFont="1" applyAlignment="1">
      <alignment vertical="center"/>
    </xf>
    <xf numFmtId="49" fontId="4" fillId="0" borderId="0" xfId="0" applyNumberFormat="1" applyFont="1" applyAlignment="1">
      <alignment horizontal="center"/>
    </xf>
    <xf numFmtId="0" fontId="2" fillId="0" borderId="70" xfId="0" applyFont="1" applyBorder="1"/>
    <xf numFmtId="0" fontId="2" fillId="0" borderId="70" xfId="0" applyFont="1" applyBorder="1" applyAlignment="1">
      <alignment horizontal="right"/>
    </xf>
    <xf numFmtId="0" fontId="2" fillId="0" borderId="70" xfId="0" applyFont="1" applyBorder="1" applyProtection="1">
      <protection hidden="1"/>
    </xf>
    <xf numFmtId="0" fontId="2" fillId="0" borderId="9" xfId="0" applyFont="1" applyBorder="1" applyProtection="1">
      <protection hidden="1"/>
    </xf>
    <xf numFmtId="0" fontId="2" fillId="0" borderId="21" xfId="0" applyFont="1" applyBorder="1"/>
    <xf numFmtId="0" fontId="2" fillId="0" borderId="21" xfId="0" applyFont="1" applyBorder="1" applyAlignment="1">
      <alignment horizontal="right"/>
    </xf>
    <xf numFmtId="0" fontId="2" fillId="0" borderId="21" xfId="0" applyFont="1" applyBorder="1" applyProtection="1">
      <protection hidden="1"/>
    </xf>
    <xf numFmtId="0" fontId="2" fillId="0" borderId="13" xfId="0" applyFont="1" applyBorder="1" applyProtection="1">
      <protection hidden="1"/>
    </xf>
    <xf numFmtId="0" fontId="2" fillId="0" borderId="44" xfId="0" applyFont="1" applyBorder="1" applyAlignment="1">
      <alignment horizontal="right"/>
    </xf>
    <xf numFmtId="0" fontId="2" fillId="0" borderId="44" xfId="0" applyFont="1" applyBorder="1" applyAlignment="1" applyProtection="1">
      <alignment horizontal="center"/>
      <protection hidden="1"/>
    </xf>
    <xf numFmtId="0" fontId="2" fillId="0" borderId="21" xfId="0" applyFont="1" applyBorder="1" applyAlignment="1" applyProtection="1">
      <alignment horizontal="center"/>
      <protection hidden="1"/>
    </xf>
    <xf numFmtId="0" fontId="0" fillId="0" borderId="40" xfId="0" applyBorder="1"/>
    <xf numFmtId="0" fontId="0" fillId="0" borderId="20" xfId="0" applyBorder="1"/>
    <xf numFmtId="0" fontId="3" fillId="0" borderId="0" xfId="0" applyFont="1" applyAlignment="1" applyProtection="1">
      <alignment horizontal="left"/>
      <protection hidden="1"/>
    </xf>
    <xf numFmtId="14" fontId="3" fillId="0" borderId="0" xfId="0" applyNumberFormat="1" applyFont="1" applyAlignment="1" applyProtection="1">
      <alignment horizontal="center"/>
      <protection hidden="1"/>
    </xf>
    <xf numFmtId="0" fontId="3" fillId="0" borderId="0" xfId="0" applyFont="1" applyAlignment="1" applyProtection="1">
      <alignment horizontal="center"/>
      <protection hidden="1"/>
    </xf>
    <xf numFmtId="0" fontId="3" fillId="0" borderId="72" xfId="0" applyFont="1" applyBorder="1" applyAlignment="1">
      <alignment horizontal="center"/>
    </xf>
    <xf numFmtId="0" fontId="2" fillId="0" borderId="75" xfId="0" applyFont="1" applyBorder="1"/>
    <xf numFmtId="0" fontId="2" fillId="0" borderId="75" xfId="0" applyFont="1" applyBorder="1" applyAlignment="1">
      <alignment horizontal="right"/>
    </xf>
    <xf numFmtId="0" fontId="2" fillId="0" borderId="76" xfId="0" applyFont="1" applyBorder="1"/>
    <xf numFmtId="0" fontId="2" fillId="0" borderId="77" xfId="0" applyFont="1" applyBorder="1" applyAlignment="1">
      <alignment horizontal="center"/>
    </xf>
    <xf numFmtId="0" fontId="2" fillId="0" borderId="75" xfId="0" applyFont="1" applyBorder="1" applyProtection="1">
      <protection hidden="1"/>
    </xf>
    <xf numFmtId="4" fontId="2" fillId="0" borderId="75" xfId="0" applyNumberFormat="1" applyFont="1" applyBorder="1" applyProtection="1">
      <protection hidden="1"/>
    </xf>
    <xf numFmtId="0" fontId="2" fillId="0" borderId="76" xfId="0" applyFont="1" applyBorder="1" applyProtection="1">
      <protection hidden="1"/>
    </xf>
    <xf numFmtId="0" fontId="2" fillId="0" borderId="78" xfId="0" applyFont="1" applyBorder="1" applyProtection="1">
      <protection hidden="1"/>
    </xf>
    <xf numFmtId="0" fontId="2" fillId="0" borderId="79" xfId="0" applyFont="1" applyBorder="1" applyProtection="1">
      <protection hidden="1"/>
    </xf>
    <xf numFmtId="0" fontId="2" fillId="0" borderId="13" xfId="0" applyFont="1" applyBorder="1"/>
    <xf numFmtId="0" fontId="2" fillId="0" borderId="14" xfId="0" applyFont="1" applyBorder="1" applyAlignment="1">
      <alignment horizontal="center"/>
    </xf>
    <xf numFmtId="4" fontId="2" fillId="0" borderId="21" xfId="0" applyNumberFormat="1" applyFont="1" applyBorder="1" applyProtection="1">
      <protection hidden="1"/>
    </xf>
    <xf numFmtId="0" fontId="2" fillId="0" borderId="12" xfId="0" applyFont="1" applyBorder="1" applyProtection="1">
      <protection hidden="1"/>
    </xf>
    <xf numFmtId="0" fontId="2" fillId="0" borderId="15" xfId="0" applyFont="1" applyBorder="1" applyProtection="1">
      <protection hidden="1"/>
    </xf>
    <xf numFmtId="0" fontId="2" fillId="0" borderId="71" xfId="0" applyFont="1" applyBorder="1"/>
    <xf numFmtId="0" fontId="2" fillId="0" borderId="7" xfId="0" applyFont="1" applyBorder="1" applyAlignment="1">
      <alignment horizontal="center"/>
    </xf>
    <xf numFmtId="0" fontId="2" fillId="0" borderId="44" xfId="0" applyFont="1" applyBorder="1" applyProtection="1">
      <protection hidden="1"/>
    </xf>
    <xf numFmtId="4" fontId="2" fillId="0" borderId="44" xfId="0" applyNumberFormat="1" applyFont="1" applyBorder="1" applyProtection="1">
      <protection hidden="1"/>
    </xf>
    <xf numFmtId="0" fontId="2" fillId="0" borderId="71" xfId="0" applyFont="1" applyBorder="1" applyProtection="1">
      <protection hidden="1"/>
    </xf>
    <xf numFmtId="0" fontId="2" fillId="0" borderId="10" xfId="0" applyFont="1" applyBorder="1" applyProtection="1">
      <protection hidden="1"/>
    </xf>
    <xf numFmtId="0" fontId="2" fillId="0" borderId="11" xfId="0" applyFont="1" applyBorder="1" applyProtection="1">
      <protection hidden="1"/>
    </xf>
    <xf numFmtId="0" fontId="2" fillId="0" borderId="41" xfId="0" applyFont="1" applyBorder="1"/>
    <xf numFmtId="0" fontId="2" fillId="0" borderId="41" xfId="0" applyFont="1" applyBorder="1" applyAlignment="1">
      <alignment horizontal="right"/>
    </xf>
    <xf numFmtId="0" fontId="2" fillId="0" borderId="25" xfId="0" applyFont="1" applyBorder="1"/>
    <xf numFmtId="0" fontId="2" fillId="0" borderId="23" xfId="0" applyFont="1" applyBorder="1" applyAlignment="1">
      <alignment horizontal="center"/>
    </xf>
    <xf numFmtId="0" fontId="2" fillId="0" borderId="41" xfId="0" applyFont="1" applyBorder="1" applyProtection="1">
      <protection hidden="1"/>
    </xf>
    <xf numFmtId="4" fontId="2" fillId="0" borderId="41" xfId="0" applyNumberFormat="1" applyFont="1" applyBorder="1" applyProtection="1">
      <protection hidden="1"/>
    </xf>
    <xf numFmtId="0" fontId="2" fillId="0" borderId="25" xfId="0" applyFont="1" applyBorder="1" applyProtection="1">
      <protection hidden="1"/>
    </xf>
    <xf numFmtId="0" fontId="2" fillId="0" borderId="24" xfId="0" applyFont="1" applyBorder="1" applyProtection="1">
      <protection hidden="1"/>
    </xf>
    <xf numFmtId="0" fontId="2" fillId="0" borderId="42" xfId="0" applyFont="1" applyBorder="1" applyProtection="1">
      <protection hidden="1"/>
    </xf>
    <xf numFmtId="0" fontId="2" fillId="0" borderId="82" xfId="0" applyFont="1" applyBorder="1" applyAlignment="1">
      <alignment horizontal="center"/>
    </xf>
    <xf numFmtId="4" fontId="2" fillId="0" borderId="70" xfId="0" applyNumberFormat="1" applyFont="1" applyBorder="1" applyProtection="1">
      <protection hidden="1"/>
    </xf>
    <xf numFmtId="0" fontId="2" fillId="0" borderId="8" xfId="0" applyFont="1" applyBorder="1" applyProtection="1">
      <protection hidden="1"/>
    </xf>
    <xf numFmtId="0" fontId="2" fillId="0" borderId="83" xfId="0" applyFont="1" applyBorder="1" applyProtection="1">
      <protection hidden="1"/>
    </xf>
    <xf numFmtId="0" fontId="2" fillId="0" borderId="9" xfId="0" applyFont="1" applyBorder="1"/>
    <xf numFmtId="0" fontId="2" fillId="0" borderId="12" xfId="0" applyFont="1" applyBorder="1" applyAlignment="1">
      <alignment horizontal="right"/>
    </xf>
    <xf numFmtId="0" fontId="2" fillId="0" borderId="24" xfId="0" applyFont="1" applyBorder="1" applyAlignment="1">
      <alignment horizontal="right"/>
    </xf>
    <xf numFmtId="0" fontId="2" fillId="0" borderId="84" xfId="0" applyFont="1" applyBorder="1"/>
    <xf numFmtId="0" fontId="2" fillId="0" borderId="44" xfId="0" applyFont="1" applyBorder="1"/>
    <xf numFmtId="0" fontId="2" fillId="0" borderId="84" xfId="0" applyFont="1" applyBorder="1" applyAlignment="1">
      <alignment horizontal="right"/>
    </xf>
    <xf numFmtId="0" fontId="2" fillId="0" borderId="85" xfId="0" applyFont="1" applyBorder="1"/>
    <xf numFmtId="0" fontId="2" fillId="0" borderId="85" xfId="0" applyFont="1" applyBorder="1" applyAlignment="1">
      <alignment horizontal="right"/>
    </xf>
    <xf numFmtId="0" fontId="6" fillId="0" borderId="86" xfId="0" applyFont="1" applyBorder="1"/>
    <xf numFmtId="0" fontId="6" fillId="0" borderId="41" xfId="0" applyFont="1" applyBorder="1"/>
    <xf numFmtId="0" fontId="2" fillId="0" borderId="86" xfId="0" applyFont="1" applyBorder="1" applyAlignment="1">
      <alignment horizontal="right"/>
    </xf>
    <xf numFmtId="0" fontId="3" fillId="0" borderId="84" xfId="0" applyFont="1" applyBorder="1"/>
    <xf numFmtId="0" fontId="3" fillId="0" borderId="44" xfId="0" applyFont="1" applyBorder="1"/>
    <xf numFmtId="0" fontId="3" fillId="0" borderId="85" xfId="0" applyFont="1" applyBorder="1"/>
    <xf numFmtId="0" fontId="3" fillId="0" borderId="21" xfId="0" applyFont="1" applyBorder="1"/>
    <xf numFmtId="170" fontId="2" fillId="0" borderId="21" xfId="0" applyNumberFormat="1" applyFont="1" applyBorder="1" applyProtection="1">
      <protection hidden="1"/>
    </xf>
    <xf numFmtId="169" fontId="2" fillId="0" borderId="21" xfId="0" applyNumberFormat="1" applyFont="1" applyBorder="1" applyProtection="1">
      <protection hidden="1"/>
    </xf>
    <xf numFmtId="0" fontId="3" fillId="0" borderId="87" xfId="0" applyFont="1" applyBorder="1"/>
    <xf numFmtId="0" fontId="3" fillId="0" borderId="27" xfId="0" applyFont="1" applyBorder="1"/>
    <xf numFmtId="0" fontId="2" fillId="0" borderId="27" xfId="0" applyFont="1" applyBorder="1"/>
    <xf numFmtId="0" fontId="2" fillId="0" borderId="87" xfId="0" applyFont="1" applyBorder="1" applyAlignment="1">
      <alignment horizontal="right"/>
    </xf>
    <xf numFmtId="0" fontId="2" fillId="0" borderId="28" xfId="0" applyFont="1" applyBorder="1"/>
    <xf numFmtId="0" fontId="2" fillId="0" borderId="26" xfId="0" applyFont="1" applyBorder="1" applyAlignment="1">
      <alignment horizontal="center"/>
    </xf>
    <xf numFmtId="0" fontId="2" fillId="0" borderId="27" xfId="0" applyFont="1" applyBorder="1" applyProtection="1">
      <protection hidden="1"/>
    </xf>
    <xf numFmtId="0" fontId="2" fillId="0" borderId="28" xfId="0" applyFont="1" applyBorder="1" applyProtection="1">
      <protection hidden="1"/>
    </xf>
    <xf numFmtId="0" fontId="2" fillId="0" borderId="29" xfId="0" applyFont="1" applyBorder="1" applyProtection="1">
      <protection hidden="1"/>
    </xf>
    <xf numFmtId="169" fontId="2" fillId="0" borderId="27" xfId="0" applyNumberFormat="1" applyFont="1" applyBorder="1" applyProtection="1">
      <protection hidden="1"/>
    </xf>
    <xf numFmtId="0" fontId="2" fillId="0" borderId="30" xfId="0" applyFont="1" applyBorder="1" applyProtection="1">
      <protection hidden="1"/>
    </xf>
    <xf numFmtId="0" fontId="0" fillId="0" borderId="0" xfId="0" applyProtection="1">
      <protection hidden="1"/>
    </xf>
    <xf numFmtId="0" fontId="0" fillId="0" borderId="17" xfId="0" applyBorder="1"/>
    <xf numFmtId="0" fontId="0" fillId="0" borderId="22" xfId="0" applyBorder="1"/>
    <xf numFmtId="0" fontId="0" fillId="0" borderId="18" xfId="0" applyBorder="1"/>
    <xf numFmtId="0" fontId="0" fillId="0" borderId="35" xfId="0" applyBorder="1" applyProtection="1">
      <protection hidden="1"/>
    </xf>
    <xf numFmtId="166" fontId="4" fillId="0" borderId="0" xfId="0" applyNumberFormat="1" applyFont="1" applyProtection="1">
      <protection hidden="1"/>
    </xf>
    <xf numFmtId="0" fontId="0" fillId="0" borderId="19" xfId="0" applyBorder="1"/>
    <xf numFmtId="0" fontId="6" fillId="0" borderId="0" xfId="0" applyFont="1" applyAlignment="1" applyProtection="1">
      <alignment horizontal="right" vertical="center"/>
      <protection hidden="1"/>
    </xf>
    <xf numFmtId="0" fontId="12" fillId="0" borderId="0" xfId="0" applyFont="1" applyAlignment="1">
      <alignment horizontal="left" wrapText="1"/>
    </xf>
    <xf numFmtId="0" fontId="3" fillId="0" borderId="0" xfId="0" applyFont="1" applyAlignment="1" applyProtection="1">
      <alignment horizontal="left" vertical="top" wrapText="1"/>
      <protection hidden="1"/>
    </xf>
    <xf numFmtId="0" fontId="13" fillId="0" borderId="0" xfId="0" applyFont="1" applyAlignment="1">
      <alignment vertical="justify" wrapText="1"/>
    </xf>
    <xf numFmtId="0" fontId="14" fillId="0" borderId="0" xfId="0" applyFont="1" applyAlignment="1">
      <alignment horizontal="right"/>
    </xf>
    <xf numFmtId="0" fontId="9" fillId="0" borderId="0" xfId="0" applyFont="1"/>
    <xf numFmtId="0" fontId="8" fillId="0" borderId="0" xfId="0" applyFont="1"/>
    <xf numFmtId="0" fontId="13" fillId="0" borderId="0" xfId="0" applyFont="1" applyAlignment="1" applyProtection="1">
      <alignment vertical="justify" wrapText="1"/>
      <protection locked="0"/>
    </xf>
    <xf numFmtId="0" fontId="12" fillId="0" borderId="0" xfId="0" applyFont="1" applyAlignment="1">
      <alignment horizontal="left"/>
    </xf>
    <xf numFmtId="0" fontId="6" fillId="0" borderId="0" xfId="0" applyFont="1"/>
    <xf numFmtId="0" fontId="15" fillId="0" borderId="0" xfId="0" applyFont="1"/>
    <xf numFmtId="0" fontId="16" fillId="0" borderId="0" xfId="0" applyFont="1" applyAlignment="1">
      <alignment horizontal="right"/>
    </xf>
    <xf numFmtId="0" fontId="17" fillId="0" borderId="0" xfId="0" applyFont="1"/>
    <xf numFmtId="0" fontId="18" fillId="0" borderId="0" xfId="0" applyFont="1"/>
    <xf numFmtId="0" fontId="19" fillId="0" borderId="0" xfId="0" applyFont="1"/>
    <xf numFmtId="0" fontId="15" fillId="0" borderId="0" xfId="0" applyFont="1" applyAlignment="1">
      <alignment horizontal="left"/>
    </xf>
    <xf numFmtId="0" fontId="15" fillId="0" borderId="0" xfId="0" applyFont="1" applyAlignment="1">
      <alignment horizontal="right"/>
    </xf>
    <xf numFmtId="0" fontId="0" fillId="0" borderId="21" xfId="0" applyBorder="1" applyProtection="1">
      <protection hidden="1"/>
    </xf>
    <xf numFmtId="0" fontId="0" fillId="0" borderId="13" xfId="0" applyBorder="1" applyProtection="1">
      <protection hidden="1"/>
    </xf>
    <xf numFmtId="0" fontId="0" fillId="0" borderId="41" xfId="0" applyBorder="1" applyProtection="1">
      <protection hidden="1"/>
    </xf>
    <xf numFmtId="0" fontId="0" fillId="0" borderId="25" xfId="0" applyBorder="1" applyProtection="1">
      <protection hidden="1"/>
    </xf>
    <xf numFmtId="0" fontId="20" fillId="0" borderId="0" xfId="0" applyFont="1" applyAlignment="1">
      <alignment horizontal="right" vertical="center"/>
    </xf>
    <xf numFmtId="0" fontId="0" fillId="0" borderId="1" xfId="0" applyBorder="1" applyAlignment="1">
      <alignment horizontal="center"/>
    </xf>
    <xf numFmtId="0" fontId="0" fillId="0" borderId="82" xfId="0" applyBorder="1" applyAlignment="1">
      <alignment horizontal="center"/>
    </xf>
    <xf numFmtId="0" fontId="0" fillId="0" borderId="70" xfId="0" applyBorder="1" applyAlignment="1" applyProtection="1">
      <alignment horizontal="center"/>
      <protection hidden="1"/>
    </xf>
    <xf numFmtId="0" fontId="0" fillId="0" borderId="9" xfId="0" applyBorder="1" applyProtection="1">
      <protection hidden="1"/>
    </xf>
    <xf numFmtId="0" fontId="0" fillId="0" borderId="14" xfId="0" applyBorder="1" applyAlignment="1">
      <alignment horizontal="center"/>
    </xf>
    <xf numFmtId="0" fontId="0" fillId="0" borderId="21" xfId="0" applyBorder="1" applyAlignment="1" applyProtection="1">
      <alignment horizontal="center"/>
      <protection hidden="1"/>
    </xf>
    <xf numFmtId="4" fontId="0" fillId="0" borderId="21" xfId="0" applyNumberFormat="1" applyBorder="1" applyProtection="1">
      <protection hidden="1"/>
    </xf>
    <xf numFmtId="0" fontId="0" fillId="0" borderId="23" xfId="0" quotePrefix="1" applyBorder="1" applyAlignment="1">
      <alignment horizontal="center"/>
    </xf>
    <xf numFmtId="169" fontId="0" fillId="0" borderId="70" xfId="0" applyNumberFormat="1" applyBorder="1" applyProtection="1">
      <protection hidden="1"/>
    </xf>
    <xf numFmtId="0" fontId="0" fillId="0" borderId="70" xfId="0" applyBorder="1" applyProtection="1">
      <protection hidden="1"/>
    </xf>
    <xf numFmtId="169" fontId="0" fillId="0" borderId="21" xfId="0" applyNumberFormat="1" applyBorder="1" applyProtection="1">
      <protection hidden="1"/>
    </xf>
    <xf numFmtId="0" fontId="0" fillId="0" borderId="14" xfId="0" quotePrefix="1" applyBorder="1" applyAlignment="1">
      <alignment horizontal="center"/>
    </xf>
    <xf numFmtId="169" fontId="0" fillId="0" borderId="13" xfId="0" applyNumberFormat="1" applyBorder="1" applyProtection="1">
      <protection hidden="1"/>
    </xf>
    <xf numFmtId="0" fontId="0" fillId="0" borderId="23" xfId="0" applyBorder="1" applyAlignment="1">
      <alignment horizontal="center"/>
    </xf>
    <xf numFmtId="169" fontId="0" fillId="0" borderId="41" xfId="0" applyNumberFormat="1" applyBorder="1" applyProtection="1">
      <protection hidden="1"/>
    </xf>
    <xf numFmtId="0" fontId="0" fillId="0" borderId="71" xfId="0" applyBorder="1" applyProtection="1">
      <protection hidden="1"/>
    </xf>
    <xf numFmtId="169" fontId="0" fillId="0" borderId="8" xfId="0" applyNumberFormat="1" applyBorder="1" applyProtection="1">
      <protection hidden="1"/>
    </xf>
    <xf numFmtId="0" fontId="2" fillId="0" borderId="91" xfId="0" applyFont="1" applyBorder="1" applyAlignment="1">
      <alignment horizontal="left"/>
    </xf>
    <xf numFmtId="0" fontId="0" fillId="0" borderId="45" xfId="0" applyBorder="1" applyAlignment="1">
      <alignment horizontal="left"/>
    </xf>
    <xf numFmtId="0" fontId="0" fillId="0" borderId="92" xfId="0" applyBorder="1" applyAlignment="1">
      <alignment horizontal="left"/>
    </xf>
    <xf numFmtId="0" fontId="0" fillId="0" borderId="0" xfId="0" applyAlignment="1">
      <alignment horizontal="right"/>
    </xf>
    <xf numFmtId="0" fontId="22" fillId="0" borderId="0" xfId="0" applyFont="1"/>
    <xf numFmtId="0" fontId="0" fillId="0" borderId="0" xfId="0" applyProtection="1">
      <protection locked="0" hidden="1"/>
    </xf>
    <xf numFmtId="0" fontId="3" fillId="0" borderId="0" xfId="0" applyFont="1" applyProtection="1">
      <protection locked="0" hidden="1"/>
    </xf>
    <xf numFmtId="14" fontId="3" fillId="0" borderId="0" xfId="0" applyNumberFormat="1" applyFont="1" applyProtection="1">
      <protection locked="0" hidden="1"/>
    </xf>
    <xf numFmtId="166" fontId="6" fillId="0" borderId="0" xfId="0" applyNumberFormat="1" applyFont="1" applyProtection="1">
      <protection locked="0" hidden="1"/>
    </xf>
    <xf numFmtId="0" fontId="4" fillId="0" borderId="0" xfId="0" applyFont="1" applyProtection="1">
      <protection locked="0" hidden="1"/>
    </xf>
    <xf numFmtId="0" fontId="20" fillId="0" borderId="0" xfId="0" applyFont="1" applyAlignment="1" applyProtection="1">
      <alignment horizontal="right" vertical="center"/>
      <protection locked="0" hidden="1"/>
    </xf>
    <xf numFmtId="0" fontId="23" fillId="0" borderId="0" xfId="0" applyFont="1" applyProtection="1">
      <protection locked="0" hidden="1"/>
    </xf>
    <xf numFmtId="0" fontId="0" fillId="0" borderId="0" xfId="0" applyAlignment="1" applyProtection="1">
      <alignment horizontal="right"/>
      <protection locked="0" hidden="1"/>
    </xf>
    <xf numFmtId="0" fontId="24" fillId="0" borderId="0" xfId="0" applyFont="1" applyProtection="1">
      <protection locked="0" hidden="1"/>
    </xf>
    <xf numFmtId="0" fontId="6" fillId="0" borderId="54" xfId="0" applyFont="1" applyBorder="1" applyAlignment="1" applyProtection="1">
      <alignment horizontal="center" vertical="center"/>
      <protection locked="0" hidden="1"/>
    </xf>
    <xf numFmtId="0" fontId="0" fillId="0" borderId="35" xfId="0" applyBorder="1" applyProtection="1">
      <protection locked="0" hidden="1"/>
    </xf>
    <xf numFmtId="0" fontId="0" fillId="0" borderId="36" xfId="0" applyBorder="1" applyProtection="1">
      <protection locked="0" hidden="1"/>
    </xf>
    <xf numFmtId="166" fontId="0" fillId="0" borderId="0" xfId="0" applyNumberFormat="1" applyProtection="1">
      <protection locked="0" hidden="1"/>
    </xf>
    <xf numFmtId="0" fontId="12" fillId="0" borderId="0" xfId="0" applyFont="1" applyProtection="1">
      <protection locked="0" hidden="1"/>
    </xf>
    <xf numFmtId="0" fontId="14" fillId="0" borderId="0" xfId="0" applyFont="1" applyProtection="1">
      <protection locked="0" hidden="1"/>
    </xf>
    <xf numFmtId="0" fontId="5" fillId="0" borderId="0" xfId="0" applyFont="1" applyAlignment="1" applyProtection="1">
      <alignment horizontal="right"/>
      <protection locked="0" hidden="1"/>
    </xf>
    <xf numFmtId="0" fontId="14" fillId="0" borderId="0" xfId="0" applyFont="1" applyAlignment="1" applyProtection="1">
      <alignment horizontal="right"/>
      <protection locked="0" hidden="1"/>
    </xf>
    <xf numFmtId="0" fontId="7" fillId="0" borderId="0" xfId="0" applyFont="1" applyAlignment="1" applyProtection="1">
      <alignment horizontal="left"/>
      <protection locked="0" hidden="1"/>
    </xf>
    <xf numFmtId="0" fontId="6" fillId="0" borderId="0" xfId="0" applyFont="1" applyProtection="1">
      <protection locked="0" hidden="1"/>
    </xf>
    <xf numFmtId="0" fontId="9" fillId="0" borderId="0" xfId="0" applyFont="1" applyProtection="1">
      <protection locked="0" hidden="1"/>
    </xf>
    <xf numFmtId="0" fontId="12" fillId="0" borderId="0" xfId="0" applyFont="1" applyAlignment="1" applyProtection="1">
      <alignment horizontal="left"/>
      <protection locked="0" hidden="1"/>
    </xf>
    <xf numFmtId="0" fontId="16" fillId="0" borderId="0" xfId="0" applyFont="1" applyAlignment="1" applyProtection="1">
      <alignment horizontal="right"/>
      <protection hidden="1"/>
    </xf>
    <xf numFmtId="0" fontId="0" fillId="0" borderId="21" xfId="0" applyBorder="1" applyAlignment="1">
      <alignment shrinkToFit="1"/>
    </xf>
    <xf numFmtId="0" fontId="2" fillId="0" borderId="0" xfId="0" applyFont="1" applyBorder="1"/>
    <xf numFmtId="169" fontId="0" fillId="0" borderId="35" xfId="0" applyNumberFormat="1" applyBorder="1" applyProtection="1">
      <protection locked="0" hidden="1"/>
    </xf>
    <xf numFmtId="0" fontId="0" fillId="0" borderId="0" xfId="0" applyBorder="1" applyProtection="1">
      <protection locked="0" hidden="1"/>
    </xf>
    <xf numFmtId="0" fontId="6" fillId="0" borderId="0" xfId="0" applyFont="1" applyBorder="1" applyAlignment="1" applyProtection="1">
      <alignment horizontal="center" vertical="center"/>
      <protection locked="0" hidden="1"/>
    </xf>
    <xf numFmtId="3" fontId="0" fillId="0" borderId="70" xfId="0" applyNumberFormat="1" applyBorder="1" applyAlignment="1" applyProtection="1">
      <alignment horizontal="center"/>
      <protection hidden="1"/>
    </xf>
    <xf numFmtId="3" fontId="0" fillId="0" borderId="21" xfId="0" applyNumberFormat="1" applyBorder="1" applyAlignment="1" applyProtection="1">
      <alignment horizontal="center"/>
      <protection hidden="1"/>
    </xf>
    <xf numFmtId="0" fontId="0" fillId="0" borderId="132" xfId="0" applyBorder="1" applyProtection="1">
      <protection locked="0" hidden="1"/>
    </xf>
    <xf numFmtId="0" fontId="0" fillId="0" borderId="81" xfId="0" applyBorder="1" applyProtection="1">
      <protection locked="0" hidden="1"/>
    </xf>
    <xf numFmtId="0" fontId="25" fillId="0" borderId="0" xfId="5" applyProtection="1">
      <protection locked="0"/>
    </xf>
    <xf numFmtId="0" fontId="25" fillId="0" borderId="0" xfId="5" applyProtection="1">
      <protection hidden="1"/>
    </xf>
    <xf numFmtId="0" fontId="26" fillId="3" borderId="0" xfId="0" applyFont="1" applyFill="1"/>
    <xf numFmtId="0" fontId="27" fillId="3" borderId="0" xfId="0" applyFont="1" applyFill="1"/>
    <xf numFmtId="0" fontId="27" fillId="3" borderId="0" xfId="0" applyFont="1" applyFill="1" applyAlignment="1">
      <alignment horizontal="left"/>
    </xf>
    <xf numFmtId="0" fontId="30" fillId="3" borderId="0" xfId="0" applyFont="1" applyFill="1"/>
    <xf numFmtId="0" fontId="30" fillId="3" borderId="0" xfId="0" applyFont="1" applyFill="1" applyProtection="1"/>
    <xf numFmtId="0" fontId="26" fillId="3" borderId="0" xfId="0" applyFont="1" applyFill="1" applyProtection="1">
      <protection locked="0"/>
    </xf>
    <xf numFmtId="0" fontId="31" fillId="3" borderId="0" xfId="0" applyFont="1" applyFill="1" applyProtection="1"/>
    <xf numFmtId="0" fontId="29" fillId="3" borderId="0" xfId="0" applyFont="1" applyFill="1" applyProtection="1">
      <protection locked="0"/>
    </xf>
    <xf numFmtId="0" fontId="26" fillId="3" borderId="176" xfId="0" applyFont="1" applyFill="1" applyBorder="1"/>
    <xf numFmtId="0" fontId="26" fillId="3" borderId="0" xfId="0" applyFont="1" applyFill="1" applyProtection="1"/>
    <xf numFmtId="0" fontId="30" fillId="3" borderId="0" xfId="0" applyFont="1" applyFill="1" applyAlignment="1">
      <alignment horizontal="center"/>
    </xf>
    <xf numFmtId="0" fontId="34" fillId="3" borderId="0" xfId="5" applyFont="1" applyFill="1" applyProtection="1">
      <protection locked="0"/>
    </xf>
    <xf numFmtId="0" fontId="29" fillId="3" borderId="0" xfId="0" applyFont="1" applyFill="1" applyProtection="1"/>
    <xf numFmtId="0" fontId="35" fillId="3" borderId="0" xfId="0" applyFont="1" applyFill="1" applyAlignment="1">
      <alignment horizontal="left" shrinkToFit="1"/>
    </xf>
    <xf numFmtId="0" fontId="35" fillId="3" borderId="171" xfId="0" applyFont="1" applyFill="1" applyBorder="1" applyAlignment="1">
      <alignment horizontal="left" shrinkToFit="1"/>
    </xf>
    <xf numFmtId="14" fontId="35" fillId="3" borderId="0" xfId="0" applyNumberFormat="1" applyFont="1" applyFill="1" applyAlignment="1">
      <alignment horizontal="center"/>
    </xf>
    <xf numFmtId="49" fontId="35" fillId="3" borderId="0" xfId="0" applyNumberFormat="1" applyFont="1" applyFill="1" applyAlignment="1">
      <alignment horizontal="center"/>
    </xf>
    <xf numFmtId="0" fontId="36" fillId="3" borderId="0" xfId="0" applyFont="1" applyFill="1" applyProtection="1"/>
    <xf numFmtId="0" fontId="37" fillId="3" borderId="0" xfId="5" applyFont="1" applyFill="1" applyProtection="1">
      <protection locked="0"/>
    </xf>
    <xf numFmtId="0" fontId="38" fillId="3" borderId="0" xfId="5" applyFont="1" applyFill="1" applyProtection="1">
      <protection locked="0"/>
    </xf>
    <xf numFmtId="0" fontId="35" fillId="3" borderId="0" xfId="0" applyFont="1" applyFill="1" applyBorder="1" applyAlignment="1">
      <alignment horizontal="left" shrinkToFit="1"/>
    </xf>
    <xf numFmtId="0" fontId="39" fillId="3" borderId="0" xfId="0" applyFont="1" applyFill="1"/>
    <xf numFmtId="0" fontId="26" fillId="3" borderId="0" xfId="0" applyFont="1" applyFill="1" applyBorder="1"/>
    <xf numFmtId="0" fontId="39" fillId="3" borderId="0" xfId="0" applyFont="1" applyFill="1" applyBorder="1" applyAlignment="1">
      <alignment shrinkToFit="1"/>
    </xf>
    <xf numFmtId="0" fontId="39" fillId="3" borderId="0" xfId="0" applyFont="1" applyFill="1" applyAlignment="1">
      <alignment shrinkToFit="1"/>
    </xf>
    <xf numFmtId="0" fontId="30" fillId="3" borderId="0" xfId="0" applyFont="1" applyFill="1" applyAlignment="1">
      <alignment shrinkToFit="1"/>
    </xf>
    <xf numFmtId="0" fontId="40" fillId="3" borderId="0" xfId="0" applyFont="1" applyFill="1" applyAlignment="1">
      <alignment shrinkToFit="1"/>
    </xf>
    <xf numFmtId="14" fontId="40" fillId="3" borderId="0" xfId="0" applyNumberFormat="1" applyFont="1" applyFill="1" applyAlignment="1">
      <alignment horizontal="center"/>
    </xf>
    <xf numFmtId="49" fontId="40" fillId="3" borderId="0" xfId="0" applyNumberFormat="1" applyFont="1" applyFill="1" applyAlignment="1">
      <alignment horizontal="center"/>
    </xf>
    <xf numFmtId="166" fontId="41" fillId="3" borderId="0" xfId="0" applyNumberFormat="1" applyFont="1" applyFill="1"/>
    <xf numFmtId="169" fontId="35" fillId="3" borderId="0" xfId="0" applyNumberFormat="1" applyFont="1" applyFill="1" applyAlignment="1">
      <alignment horizontal="right"/>
    </xf>
    <xf numFmtId="166" fontId="35" fillId="3" borderId="0" xfId="0" applyNumberFormat="1" applyFont="1" applyFill="1" applyAlignment="1">
      <alignment horizontal="right"/>
    </xf>
    <xf numFmtId="0" fontId="39" fillId="3" borderId="0" xfId="0" applyFont="1" applyFill="1" applyAlignment="1">
      <alignment horizontal="right"/>
    </xf>
    <xf numFmtId="0" fontId="33" fillId="3" borderId="169" xfId="0" applyFont="1" applyFill="1" applyBorder="1" applyAlignment="1" applyProtection="1">
      <alignment horizontal="right"/>
      <protection locked="0"/>
    </xf>
    <xf numFmtId="0" fontId="35" fillId="3" borderId="0" xfId="0" applyFont="1" applyFill="1" applyAlignment="1">
      <alignment horizontal="right"/>
    </xf>
    <xf numFmtId="169" fontId="35" fillId="3" borderId="0" xfId="0" applyNumberFormat="1" applyFont="1" applyFill="1" applyAlignment="1" applyProtection="1">
      <alignment horizontal="right"/>
      <protection locked="0"/>
    </xf>
    <xf numFmtId="0" fontId="40" fillId="3" borderId="0" xfId="0" applyFont="1" applyFill="1" applyAlignment="1">
      <alignment horizontal="right"/>
    </xf>
    <xf numFmtId="0" fontId="43" fillId="3" borderId="169" xfId="0" applyFont="1" applyFill="1" applyBorder="1" applyProtection="1">
      <protection locked="0"/>
    </xf>
    <xf numFmtId="0" fontId="27" fillId="3" borderId="0" xfId="0" applyFont="1" applyFill="1" applyProtection="1"/>
    <xf numFmtId="0" fontId="27" fillId="3" borderId="0" xfId="0" applyFont="1" applyFill="1" applyAlignment="1">
      <alignment horizontal="center"/>
    </xf>
    <xf numFmtId="0" fontId="26" fillId="3" borderId="17" xfId="0" applyFont="1" applyFill="1" applyBorder="1"/>
    <xf numFmtId="0" fontId="27" fillId="3" borderId="22" xfId="0" applyFont="1" applyFill="1" applyBorder="1"/>
    <xf numFmtId="0" fontId="39" fillId="3" borderId="22" xfId="0" applyFont="1" applyFill="1" applyBorder="1" applyAlignment="1">
      <alignment horizontal="center"/>
    </xf>
    <xf numFmtId="0" fontId="39" fillId="3" borderId="22" xfId="0" applyFont="1" applyFill="1" applyBorder="1"/>
    <xf numFmtId="0" fontId="39" fillId="3" borderId="22" xfId="0" applyFont="1" applyFill="1" applyBorder="1" applyAlignment="1">
      <alignment horizontal="center" vertical="top"/>
    </xf>
    <xf numFmtId="0" fontId="39" fillId="3" borderId="18" xfId="0" applyFont="1" applyFill="1" applyBorder="1"/>
    <xf numFmtId="0" fontId="41" fillId="3" borderId="169" xfId="0" applyFont="1" applyFill="1" applyBorder="1" applyAlignment="1" applyProtection="1">
      <alignment horizontal="center"/>
      <protection locked="0"/>
    </xf>
    <xf numFmtId="0" fontId="41" fillId="3" borderId="0" xfId="0" applyFont="1" applyFill="1" applyAlignment="1">
      <alignment horizontal="center"/>
    </xf>
    <xf numFmtId="0" fontId="39" fillId="3" borderId="32" xfId="0" applyFont="1" applyFill="1" applyBorder="1"/>
    <xf numFmtId="0" fontId="45" fillId="3" borderId="0" xfId="0" applyFont="1" applyFill="1"/>
    <xf numFmtId="0" fontId="28" fillId="3" borderId="31" xfId="0" applyFont="1" applyFill="1" applyBorder="1" applyAlignment="1">
      <alignment horizontal="right"/>
    </xf>
    <xf numFmtId="0" fontId="28" fillId="3" borderId="0" xfId="0" applyFont="1" applyFill="1" applyAlignment="1">
      <alignment horizontal="right"/>
    </xf>
    <xf numFmtId="0" fontId="26" fillId="3" borderId="0" xfId="0" applyFont="1" applyFill="1" applyAlignment="1">
      <alignment horizontal="right"/>
    </xf>
    <xf numFmtId="0" fontId="28" fillId="3" borderId="0" xfId="0" applyFont="1" applyFill="1" applyAlignment="1">
      <alignment horizontal="center"/>
    </xf>
    <xf numFmtId="2" fontId="41" fillId="3" borderId="0" xfId="0" applyNumberFormat="1" applyFont="1" applyFill="1" applyAlignment="1">
      <alignment horizontal="right"/>
    </xf>
    <xf numFmtId="0" fontId="45" fillId="3" borderId="0" xfId="0" quotePrefix="1" applyFont="1" applyFill="1"/>
    <xf numFmtId="0" fontId="28" fillId="3" borderId="0" xfId="0" applyFont="1" applyFill="1"/>
    <xf numFmtId="0" fontId="27" fillId="3" borderId="0" xfId="0" applyFont="1" applyFill="1" applyAlignment="1">
      <alignment horizontal="right"/>
    </xf>
    <xf numFmtId="0" fontId="41" fillId="3" borderId="0" xfId="0" applyFont="1" applyFill="1" applyAlignment="1" applyProtection="1">
      <alignment horizontal="center"/>
      <protection locked="0"/>
    </xf>
    <xf numFmtId="0" fontId="43" fillId="3" borderId="0" xfId="0" applyFont="1" applyFill="1" applyAlignment="1">
      <alignment horizontal="center" vertical="center"/>
    </xf>
    <xf numFmtId="0" fontId="28" fillId="3" borderId="31" xfId="0" applyFont="1" applyFill="1" applyBorder="1" applyAlignment="1">
      <alignment horizontal="left"/>
    </xf>
    <xf numFmtId="0" fontId="28" fillId="3" borderId="0" xfId="0" applyFont="1" applyFill="1" applyAlignment="1">
      <alignment horizontal="left"/>
    </xf>
    <xf numFmtId="2" fontId="41" fillId="3" borderId="0" xfId="0" applyNumberFormat="1" applyFont="1" applyFill="1" applyBorder="1" applyAlignment="1">
      <alignment horizontal="right" vertical="center"/>
    </xf>
    <xf numFmtId="2" fontId="41" fillId="3" borderId="0" xfId="0" applyNumberFormat="1" applyFont="1" applyFill="1" applyAlignment="1">
      <alignment horizontal="right" vertical="center"/>
    </xf>
    <xf numFmtId="0" fontId="47" fillId="3" borderId="0" xfId="0" applyFont="1" applyFill="1"/>
    <xf numFmtId="0" fontId="48" fillId="3" borderId="0" xfId="0" applyFont="1" applyFill="1" applyAlignment="1">
      <alignment wrapText="1"/>
    </xf>
    <xf numFmtId="0" fontId="27" fillId="3" borderId="32" xfId="0" applyFont="1" applyFill="1" applyBorder="1"/>
    <xf numFmtId="0" fontId="48" fillId="3" borderId="31" xfId="0" applyFont="1" applyFill="1" applyBorder="1" applyAlignment="1">
      <alignment horizontal="left" wrapText="1"/>
    </xf>
    <xf numFmtId="0" fontId="48" fillId="3" borderId="0" xfId="0" applyFont="1" applyFill="1" applyAlignment="1">
      <alignment horizontal="left" wrapText="1"/>
    </xf>
    <xf numFmtId="0" fontId="49" fillId="3" borderId="0" xfId="0" applyFont="1" applyFill="1"/>
    <xf numFmtId="0" fontId="27" fillId="3" borderId="140" xfId="0" applyFont="1" applyFill="1" applyBorder="1"/>
    <xf numFmtId="0" fontId="29" fillId="3" borderId="31" xfId="0" applyFont="1" applyFill="1" applyBorder="1"/>
    <xf numFmtId="0" fontId="29" fillId="3" borderId="0" xfId="0" applyFont="1" applyFill="1"/>
    <xf numFmtId="0" fontId="50" fillId="3" borderId="0" xfId="0" applyFont="1" applyFill="1" applyAlignment="1">
      <alignment horizontal="center"/>
    </xf>
    <xf numFmtId="0" fontId="26" fillId="3" borderId="140" xfId="0" applyFont="1" applyFill="1" applyBorder="1"/>
    <xf numFmtId="0" fontId="26" fillId="3" borderId="31" xfId="0" applyFont="1" applyFill="1" applyBorder="1" applyAlignment="1">
      <alignment vertical="center"/>
    </xf>
    <xf numFmtId="0" fontId="26" fillId="3" borderId="0" xfId="0" applyFont="1" applyFill="1" applyAlignment="1">
      <alignment vertical="center"/>
    </xf>
    <xf numFmtId="4" fontId="27" fillId="3" borderId="138" xfId="0" applyNumberFormat="1" applyFont="1" applyFill="1" applyBorder="1"/>
    <xf numFmtId="0" fontId="27" fillId="3" borderId="18" xfId="0" applyFont="1" applyFill="1" applyBorder="1"/>
    <xf numFmtId="0" fontId="26" fillId="3" borderId="31" xfId="0" applyFont="1" applyFill="1" applyBorder="1" applyAlignment="1">
      <alignment horizontal="right"/>
    </xf>
    <xf numFmtId="4" fontId="41" fillId="3" borderId="0" xfId="0" applyNumberFormat="1" applyFont="1" applyFill="1" applyAlignment="1">
      <alignment horizontal="right"/>
    </xf>
    <xf numFmtId="4" fontId="27" fillId="3" borderId="140" xfId="0" applyNumberFormat="1" applyFont="1" applyFill="1" applyBorder="1"/>
    <xf numFmtId="4" fontId="27" fillId="3" borderId="0" xfId="0" applyNumberFormat="1" applyFont="1" applyFill="1"/>
    <xf numFmtId="4" fontId="27" fillId="3" borderId="141" xfId="0" applyNumberFormat="1" applyFont="1" applyFill="1" applyBorder="1"/>
    <xf numFmtId="0" fontId="27" fillId="3" borderId="20" xfId="0" applyFont="1" applyFill="1" applyBorder="1"/>
    <xf numFmtId="0" fontId="27" fillId="3" borderId="31" xfId="0" applyFont="1" applyFill="1" applyBorder="1"/>
    <xf numFmtId="3" fontId="41" fillId="3" borderId="0" xfId="0" applyNumberFormat="1" applyFont="1" applyFill="1" applyAlignment="1">
      <alignment horizontal="right"/>
    </xf>
    <xf numFmtId="4" fontId="39" fillId="3" borderId="0" xfId="0" applyNumberFormat="1" applyFont="1" applyFill="1" applyAlignment="1">
      <alignment horizontal="right"/>
    </xf>
    <xf numFmtId="0" fontId="27" fillId="3" borderId="31" xfId="0" applyFont="1" applyFill="1" applyBorder="1" applyAlignment="1">
      <alignment vertical="center"/>
    </xf>
    <xf numFmtId="0" fontId="27" fillId="3" borderId="0" xfId="0" applyFont="1" applyFill="1" applyAlignment="1">
      <alignment vertical="center"/>
    </xf>
    <xf numFmtId="0" fontId="26" fillId="3" borderId="31" xfId="0" applyFont="1" applyFill="1" applyBorder="1"/>
    <xf numFmtId="0" fontId="30" fillId="3" borderId="0" xfId="0" applyFont="1" applyFill="1" applyAlignment="1">
      <alignment horizontal="right"/>
    </xf>
    <xf numFmtId="4" fontId="30" fillId="3" borderId="0" xfId="0" applyNumberFormat="1" applyFont="1" applyFill="1" applyBorder="1" applyAlignment="1">
      <alignment horizontal="right"/>
    </xf>
    <xf numFmtId="4" fontId="39" fillId="3" borderId="0" xfId="0" applyNumberFormat="1" applyFont="1" applyFill="1" applyBorder="1" applyAlignment="1">
      <alignment horizontal="right"/>
    </xf>
    <xf numFmtId="4" fontId="41" fillId="3" borderId="0" xfId="0" applyNumberFormat="1" applyFont="1" applyFill="1" applyBorder="1" applyAlignment="1">
      <alignment horizontal="right"/>
    </xf>
    <xf numFmtId="4" fontId="30" fillId="3" borderId="0" xfId="0" applyNumberFormat="1" applyFont="1" applyFill="1" applyAlignment="1">
      <alignment horizontal="right"/>
    </xf>
    <xf numFmtId="0" fontId="27" fillId="3" borderId="0" xfId="0" applyFont="1" applyFill="1" applyBorder="1"/>
    <xf numFmtId="0" fontId="52" fillId="3" borderId="0" xfId="0" applyFont="1" applyFill="1" applyBorder="1"/>
    <xf numFmtId="0" fontId="52" fillId="3" borderId="0" xfId="0" applyFont="1" applyFill="1"/>
    <xf numFmtId="169" fontId="50" fillId="3" borderId="51" xfId="0" applyNumberFormat="1" applyFont="1" applyFill="1" applyBorder="1" applyAlignment="1">
      <alignment vertical="center"/>
    </xf>
    <xf numFmtId="0" fontId="27" fillId="3" borderId="52" xfId="0" applyFont="1" applyFill="1" applyBorder="1"/>
    <xf numFmtId="0" fontId="27" fillId="3" borderId="52" xfId="0" applyFont="1" applyFill="1" applyBorder="1" applyAlignment="1">
      <alignment horizontal="right"/>
    </xf>
    <xf numFmtId="0" fontId="27" fillId="3" borderId="53" xfId="0" applyFont="1" applyFill="1" applyBorder="1"/>
    <xf numFmtId="169" fontId="50" fillId="3" borderId="134" xfId="0" applyNumberFormat="1" applyFont="1" applyFill="1" applyBorder="1" applyAlignment="1">
      <alignment vertical="center"/>
    </xf>
    <xf numFmtId="0" fontId="27" fillId="3" borderId="135" xfId="0" applyFont="1" applyFill="1" applyBorder="1"/>
    <xf numFmtId="0" fontId="27" fillId="3" borderId="136" xfId="0" applyFont="1" applyFill="1" applyBorder="1" applyAlignment="1">
      <alignment horizontal="right"/>
    </xf>
    <xf numFmtId="169" fontId="50" fillId="3" borderId="0" xfId="0" applyNumberFormat="1" applyFont="1" applyFill="1" applyBorder="1" applyAlignment="1">
      <alignment horizontal="center" vertical="center"/>
    </xf>
    <xf numFmtId="0" fontId="27" fillId="3" borderId="139" xfId="0" applyFont="1" applyFill="1" applyBorder="1"/>
    <xf numFmtId="0" fontId="27" fillId="3" borderId="136" xfId="0" applyFont="1" applyFill="1" applyBorder="1"/>
    <xf numFmtId="0" fontId="28" fillId="3" borderId="139" xfId="0" applyFont="1" applyFill="1" applyBorder="1" applyAlignment="1">
      <alignment horizontal="left"/>
    </xf>
    <xf numFmtId="0" fontId="28" fillId="3" borderId="142" xfId="0" applyFont="1" applyFill="1" applyBorder="1" applyAlignment="1">
      <alignment horizontal="left"/>
    </xf>
    <xf numFmtId="0" fontId="27" fillId="3" borderId="143" xfId="0" applyFont="1" applyFill="1" applyBorder="1"/>
    <xf numFmtId="0" fontId="57" fillId="3" borderId="31" xfId="0" applyFont="1" applyFill="1" applyBorder="1" applyAlignment="1">
      <alignment horizontal="left"/>
    </xf>
    <xf numFmtId="169" fontId="50" fillId="3" borderId="0" xfId="0" applyNumberFormat="1" applyFont="1" applyFill="1" applyAlignment="1">
      <alignment horizontal="right" vertical="center"/>
    </xf>
    <xf numFmtId="169" fontId="50" fillId="3" borderId="54" xfId="0" applyNumberFormat="1" applyFont="1" applyFill="1" applyBorder="1" applyAlignment="1">
      <alignment horizontal="center" vertical="center"/>
    </xf>
    <xf numFmtId="169" fontId="50" fillId="3" borderId="0" xfId="0" applyNumberFormat="1" applyFont="1" applyFill="1" applyAlignment="1">
      <alignment horizontal="right"/>
    </xf>
    <xf numFmtId="169" fontId="50" fillId="3" borderId="52" xfId="0" applyNumberFormat="1" applyFont="1" applyFill="1" applyBorder="1" applyAlignment="1">
      <alignment vertical="center"/>
    </xf>
    <xf numFmtId="0" fontId="27" fillId="3" borderId="145" xfId="0" applyFont="1" applyFill="1" applyBorder="1"/>
    <xf numFmtId="0" fontId="28" fillId="3" borderId="134" xfId="0" applyFont="1" applyFill="1" applyBorder="1" applyAlignment="1">
      <alignment horizontal="left"/>
    </xf>
    <xf numFmtId="0" fontId="27" fillId="3" borderId="135" xfId="0" applyFont="1" applyFill="1" applyBorder="1" applyAlignment="1">
      <alignment horizontal="right"/>
    </xf>
    <xf numFmtId="169" fontId="29" fillId="3" borderId="0" xfId="0" applyNumberFormat="1" applyFont="1" applyFill="1" applyBorder="1" applyAlignment="1">
      <alignment horizontal="center" vertical="center"/>
    </xf>
    <xf numFmtId="0" fontId="27" fillId="3" borderId="0" xfId="0" applyFont="1" applyFill="1" applyBorder="1" applyAlignment="1">
      <alignment horizontal="right"/>
    </xf>
    <xf numFmtId="0" fontId="57" fillId="3" borderId="146" xfId="0" applyFont="1" applyFill="1" applyBorder="1" applyAlignment="1">
      <alignment horizontal="left"/>
    </xf>
    <xf numFmtId="0" fontId="27" fillId="3" borderId="54" xfId="0" applyFont="1" applyFill="1" applyBorder="1"/>
    <xf numFmtId="0" fontId="27" fillId="3" borderId="54" xfId="0" applyFont="1" applyFill="1" applyBorder="1" applyAlignment="1">
      <alignment horizontal="center"/>
    </xf>
    <xf numFmtId="169" fontId="50" fillId="3" borderId="147" xfId="0" applyNumberFormat="1" applyFont="1" applyFill="1" applyBorder="1" applyAlignment="1">
      <alignment horizontal="right" vertical="center"/>
    </xf>
    <xf numFmtId="0" fontId="27" fillId="3" borderId="54" xfId="0" applyFont="1" applyFill="1" applyBorder="1" applyAlignment="1">
      <alignment horizontal="right"/>
    </xf>
    <xf numFmtId="169" fontId="50" fillId="3" borderId="54" xfId="0" applyNumberFormat="1" applyFont="1" applyFill="1" applyBorder="1" applyAlignment="1">
      <alignment horizontal="right"/>
    </xf>
    <xf numFmtId="0" fontId="27" fillId="3" borderId="147" xfId="0" applyFont="1" applyFill="1" applyBorder="1" applyAlignment="1">
      <alignment horizontal="right"/>
    </xf>
    <xf numFmtId="0" fontId="27" fillId="3" borderId="55" xfId="0" applyFont="1" applyFill="1" applyBorder="1"/>
    <xf numFmtId="0" fontId="45" fillId="3" borderId="0" xfId="0" applyFont="1" applyFill="1" applyAlignment="1">
      <alignment wrapText="1"/>
    </xf>
    <xf numFmtId="169" fontId="50" fillId="3" borderId="139" xfId="0" applyNumberFormat="1" applyFont="1" applyFill="1" applyBorder="1" applyAlignment="1">
      <alignment vertical="center"/>
    </xf>
    <xf numFmtId="169" fontId="50" fillId="3" borderId="0" xfId="0" applyNumberFormat="1" applyFont="1" applyFill="1" applyBorder="1" applyAlignment="1">
      <alignment vertical="center"/>
    </xf>
    <xf numFmtId="169" fontId="50" fillId="3" borderId="140" xfId="0" applyNumberFormat="1" applyFont="1" applyFill="1" applyBorder="1" applyAlignment="1">
      <alignment vertical="center"/>
    </xf>
    <xf numFmtId="0" fontId="27" fillId="3" borderId="140" xfId="0" applyFont="1" applyFill="1" applyBorder="1" applyAlignment="1">
      <alignment horizontal="right"/>
    </xf>
    <xf numFmtId="0" fontId="27" fillId="3" borderId="134" xfId="0" applyFont="1" applyFill="1" applyBorder="1"/>
    <xf numFmtId="0" fontId="28" fillId="3" borderId="140" xfId="0" applyFont="1" applyFill="1" applyBorder="1"/>
    <xf numFmtId="0" fontId="27" fillId="3" borderId="143" xfId="0" applyFont="1" applyFill="1" applyBorder="1" applyAlignment="1">
      <alignment horizontal="right"/>
    </xf>
    <xf numFmtId="169" fontId="50" fillId="3" borderId="0" xfId="0" applyNumberFormat="1" applyFont="1" applyFill="1" applyAlignment="1">
      <alignment horizontal="center"/>
    </xf>
    <xf numFmtId="0" fontId="46" fillId="3" borderId="31" xfId="0" applyFont="1" applyFill="1" applyBorder="1"/>
    <xf numFmtId="169" fontId="57" fillId="3" borderId="0" xfId="0" applyNumberFormat="1" applyFont="1" applyFill="1" applyAlignment="1">
      <alignment horizontal="left" vertical="center"/>
    </xf>
    <xf numFmtId="0" fontId="45" fillId="3" borderId="31" xfId="0" applyFont="1" applyFill="1" applyBorder="1"/>
    <xf numFmtId="0" fontId="61" fillId="3" borderId="4" xfId="0" applyFont="1" applyFill="1" applyBorder="1" applyAlignment="1">
      <alignment horizontal="center"/>
    </xf>
    <xf numFmtId="0" fontId="57" fillId="3" borderId="51" xfId="0" applyFont="1" applyFill="1" applyBorder="1" applyAlignment="1">
      <alignment horizontal="left"/>
    </xf>
    <xf numFmtId="169" fontId="50" fillId="3" borderId="52" xfId="0" applyNumberFormat="1" applyFont="1" applyFill="1" applyBorder="1" applyAlignment="1">
      <alignment horizontal="right" vertical="center"/>
    </xf>
    <xf numFmtId="169" fontId="57" fillId="3" borderId="52" xfId="0" applyNumberFormat="1" applyFont="1" applyFill="1" applyBorder="1" applyAlignment="1">
      <alignment horizontal="left" vertical="center"/>
    </xf>
    <xf numFmtId="169" fontId="50" fillId="3" borderId="52" xfId="0" applyNumberFormat="1" applyFont="1" applyFill="1" applyBorder="1" applyAlignment="1">
      <alignment horizontal="right"/>
    </xf>
    <xf numFmtId="169" fontId="50" fillId="3" borderId="52" xfId="0" applyNumberFormat="1" applyFont="1" applyFill="1" applyBorder="1" applyAlignment="1">
      <alignment horizontal="center"/>
    </xf>
    <xf numFmtId="0" fontId="27" fillId="3" borderId="142" xfId="0" applyFont="1" applyFill="1" applyBorder="1"/>
    <xf numFmtId="0" fontId="45" fillId="3" borderId="158" xfId="0" applyFont="1" applyFill="1" applyBorder="1" applyAlignment="1">
      <alignment horizontal="left"/>
    </xf>
    <xf numFmtId="0" fontId="26" fillId="3" borderId="143" xfId="0" applyFont="1" applyFill="1" applyBorder="1" applyAlignment="1">
      <alignment horizontal="left"/>
    </xf>
    <xf numFmtId="2" fontId="28" fillId="3" borderId="143" xfId="0" applyNumberFormat="1" applyFont="1" applyFill="1" applyBorder="1" applyAlignment="1">
      <alignment horizontal="center"/>
    </xf>
    <xf numFmtId="0" fontId="28" fillId="3" borderId="143" xfId="0" applyFont="1" applyFill="1" applyBorder="1" applyAlignment="1">
      <alignment horizontal="center"/>
    </xf>
    <xf numFmtId="0" fontId="27" fillId="3" borderId="144" xfId="0" applyFont="1" applyFill="1" applyBorder="1"/>
    <xf numFmtId="0" fontId="28" fillId="3" borderId="134" xfId="0" applyFont="1" applyFill="1" applyBorder="1"/>
    <xf numFmtId="0" fontId="28" fillId="3" borderId="139" xfId="0" applyFont="1" applyFill="1" applyBorder="1"/>
    <xf numFmtId="2" fontId="27" fillId="3" borderId="0" xfId="0" applyNumberFormat="1" applyFont="1" applyFill="1" applyBorder="1" applyAlignment="1">
      <alignment horizontal="center"/>
    </xf>
    <xf numFmtId="169" fontId="50" fillId="3" borderId="0" xfId="0" applyNumberFormat="1" applyFont="1" applyFill="1" applyBorder="1" applyAlignment="1">
      <alignment horizontal="right" vertical="center"/>
    </xf>
    <xf numFmtId="0" fontId="26" fillId="3" borderId="140" xfId="0" applyFont="1" applyFill="1" applyBorder="1" applyAlignment="1">
      <alignment horizontal="right" vertical="center"/>
    </xf>
    <xf numFmtId="2" fontId="27" fillId="3" borderId="139" xfId="0" applyNumberFormat="1" applyFont="1" applyFill="1" applyBorder="1" applyAlignment="1">
      <alignment horizontal="center"/>
    </xf>
    <xf numFmtId="0" fontId="28" fillId="3" borderId="142" xfId="0" applyFont="1" applyFill="1" applyBorder="1"/>
    <xf numFmtId="169" fontId="50" fillId="3" borderId="142" xfId="0" applyNumberFormat="1" applyFont="1" applyFill="1" applyBorder="1" applyAlignment="1">
      <alignment horizontal="center"/>
    </xf>
    <xf numFmtId="0" fontId="52" fillId="3" borderId="135" xfId="0" applyFont="1" applyFill="1" applyBorder="1"/>
    <xf numFmtId="0" fontId="26" fillId="3" borderId="135" xfId="0" applyFont="1" applyFill="1" applyBorder="1"/>
    <xf numFmtId="0" fontId="50" fillId="3" borderId="52" xfId="0" applyFont="1" applyFill="1" applyBorder="1" applyAlignment="1">
      <alignment horizontal="center"/>
    </xf>
    <xf numFmtId="0" fontId="29" fillId="3" borderId="52" xfId="0" applyFont="1" applyFill="1" applyBorder="1" applyAlignment="1">
      <alignment horizontal="center"/>
    </xf>
    <xf numFmtId="0" fontId="50" fillId="3" borderId="0" xfId="0" applyFont="1" applyFill="1" applyBorder="1" applyAlignment="1">
      <alignment horizontal="center"/>
    </xf>
    <xf numFmtId="0" fontId="29" fillId="3" borderId="0" xfId="0" applyFont="1" applyFill="1" applyAlignment="1">
      <alignment horizontal="center"/>
    </xf>
    <xf numFmtId="0" fontId="42" fillId="3" borderId="4" xfId="0" applyFont="1" applyFill="1" applyBorder="1" applyAlignment="1">
      <alignment horizontal="center"/>
    </xf>
    <xf numFmtId="0" fontId="28" fillId="3" borderId="0" xfId="0" applyFont="1" applyFill="1" applyBorder="1"/>
    <xf numFmtId="0" fontId="27" fillId="3" borderId="158" xfId="0" applyFont="1" applyFill="1" applyBorder="1"/>
    <xf numFmtId="0" fontId="26" fillId="3" borderId="143" xfId="0" applyFont="1" applyFill="1" applyBorder="1"/>
    <xf numFmtId="4" fontId="29" fillId="3" borderId="0" xfId="0" applyNumberFormat="1" applyFont="1" applyFill="1" applyAlignment="1">
      <alignment horizontal="right"/>
    </xf>
    <xf numFmtId="3" fontId="29" fillId="3" borderId="0" xfId="0" applyNumberFormat="1" applyFont="1" applyFill="1" applyAlignment="1">
      <alignment horizontal="center"/>
    </xf>
    <xf numFmtId="0" fontId="26" fillId="3" borderId="52" xfId="0" applyFont="1" applyFill="1" applyBorder="1"/>
    <xf numFmtId="169" fontId="28" fillId="3" borderId="0" xfId="0" applyNumberFormat="1" applyFont="1" applyFill="1" applyAlignment="1">
      <alignment horizontal="right"/>
    </xf>
    <xf numFmtId="169" fontId="28" fillId="3" borderId="40" xfId="0" applyNumberFormat="1" applyFont="1" applyFill="1" applyBorder="1" applyAlignment="1">
      <alignment horizontal="right"/>
    </xf>
    <xf numFmtId="169" fontId="28" fillId="3" borderId="143" xfId="0" applyNumberFormat="1" applyFont="1" applyFill="1" applyBorder="1" applyAlignment="1">
      <alignment horizontal="right"/>
    </xf>
    <xf numFmtId="0" fontId="27" fillId="3" borderId="148" xfId="0" applyFont="1" applyFill="1" applyBorder="1"/>
    <xf numFmtId="169" fontId="28" fillId="3" borderId="135" xfId="0" applyNumberFormat="1" applyFont="1" applyFill="1" applyBorder="1" applyAlignment="1">
      <alignment horizontal="right"/>
    </xf>
    <xf numFmtId="169" fontId="28" fillId="3" borderId="136" xfId="0" applyNumberFormat="1" applyFont="1" applyFill="1" applyBorder="1" applyAlignment="1">
      <alignment horizontal="right"/>
    </xf>
    <xf numFmtId="169" fontId="28" fillId="3" borderId="22" xfId="0" applyNumberFormat="1" applyFont="1" applyFill="1" applyBorder="1" applyAlignment="1">
      <alignment horizontal="right"/>
    </xf>
    <xf numFmtId="0" fontId="26" fillId="3" borderId="134" xfId="0" applyFont="1" applyFill="1" applyBorder="1"/>
    <xf numFmtId="0" fontId="26" fillId="3" borderId="136" xfId="0" applyFont="1" applyFill="1" applyBorder="1"/>
    <xf numFmtId="0" fontId="26" fillId="3" borderId="22" xfId="0" applyFont="1" applyFill="1" applyBorder="1"/>
    <xf numFmtId="169" fontId="28" fillId="3" borderId="18" xfId="0" applyNumberFormat="1" applyFont="1" applyFill="1" applyBorder="1" applyAlignment="1">
      <alignment horizontal="right"/>
    </xf>
    <xf numFmtId="169" fontId="28" fillId="3" borderId="32" xfId="0" applyNumberFormat="1" applyFont="1" applyFill="1" applyBorder="1" applyAlignment="1">
      <alignment horizontal="right"/>
    </xf>
    <xf numFmtId="169" fontId="27" fillId="3" borderId="0" xfId="0" applyNumberFormat="1" applyFont="1" applyFill="1" applyBorder="1"/>
    <xf numFmtId="169" fontId="28" fillId="3" borderId="140" xfId="0" applyNumberFormat="1" applyFont="1" applyFill="1" applyBorder="1" applyAlignment="1">
      <alignment horizontal="right"/>
    </xf>
    <xf numFmtId="0" fontId="27" fillId="3" borderId="207" xfId="0" applyFont="1" applyFill="1" applyBorder="1"/>
    <xf numFmtId="0" fontId="27" fillId="3" borderId="208" xfId="0" applyFont="1" applyFill="1" applyBorder="1"/>
    <xf numFmtId="0" fontId="27" fillId="3" borderId="19" xfId="0" applyFont="1" applyFill="1" applyBorder="1"/>
    <xf numFmtId="0" fontId="27" fillId="3" borderId="40" xfId="0" applyFont="1" applyFill="1" applyBorder="1"/>
    <xf numFmtId="0" fontId="26" fillId="3" borderId="40" xfId="0" applyFont="1" applyFill="1" applyBorder="1"/>
    <xf numFmtId="169" fontId="28" fillId="3" borderId="20" xfId="0" applyNumberFormat="1" applyFont="1" applyFill="1" applyBorder="1" applyAlignment="1">
      <alignment horizontal="right"/>
    </xf>
    <xf numFmtId="0" fontId="27" fillId="3" borderId="3" xfId="0" applyFont="1" applyFill="1" applyBorder="1"/>
    <xf numFmtId="0" fontId="27" fillId="3" borderId="4" xfId="0" applyFont="1" applyFill="1" applyBorder="1"/>
    <xf numFmtId="0" fontId="27" fillId="3" borderId="17" xfId="0" applyFont="1" applyFill="1" applyBorder="1"/>
    <xf numFmtId="0" fontId="52" fillId="3" borderId="22" xfId="0" applyFont="1" applyFill="1" applyBorder="1"/>
    <xf numFmtId="0" fontId="27" fillId="3" borderId="16" xfId="0" applyFont="1" applyFill="1" applyBorder="1"/>
    <xf numFmtId="0" fontId="26" fillId="3" borderId="3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0" xfId="0" applyFont="1" applyFill="1" applyAlignment="1">
      <alignment horizontal="center" vertical="center"/>
    </xf>
    <xf numFmtId="0" fontId="27" fillId="3" borderId="153" xfId="0" applyFont="1" applyFill="1" applyBorder="1"/>
    <xf numFmtId="0" fontId="52" fillId="3" borderId="134" xfId="0" applyFont="1" applyFill="1" applyBorder="1"/>
    <xf numFmtId="0" fontId="27" fillId="3" borderId="31"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0" xfId="0" applyFont="1" applyFill="1" applyAlignment="1">
      <alignment horizontal="center" vertical="center"/>
    </xf>
    <xf numFmtId="0" fontId="69" fillId="3" borderId="0" xfId="0" applyFont="1" applyFill="1" applyAlignment="1">
      <alignment horizontal="left"/>
    </xf>
    <xf numFmtId="0" fontId="29" fillId="3" borderId="17" xfId="0" applyFont="1" applyFill="1" applyBorder="1"/>
    <xf numFmtId="0" fontId="64" fillId="3" borderId="0" xfId="0" applyFont="1" applyFill="1"/>
    <xf numFmtId="0" fontId="57" fillId="3" borderId="31" xfId="0" applyFont="1" applyFill="1" applyBorder="1"/>
    <xf numFmtId="0" fontId="27" fillId="3" borderId="133" xfId="0" applyFont="1" applyFill="1" applyBorder="1"/>
    <xf numFmtId="0" fontId="27" fillId="3" borderId="152" xfId="0" applyFont="1" applyFill="1" applyBorder="1"/>
    <xf numFmtId="0" fontId="27" fillId="3" borderId="138" xfId="0" applyFont="1" applyFill="1" applyBorder="1"/>
    <xf numFmtId="0" fontId="57" fillId="3" borderId="3" xfId="0" applyFont="1" applyFill="1" applyBorder="1"/>
    <xf numFmtId="0" fontId="50" fillId="3" borderId="40" xfId="0" applyFont="1" applyFill="1" applyBorder="1" applyAlignment="1">
      <alignment horizontal="left"/>
    </xf>
    <xf numFmtId="0" fontId="26" fillId="3" borderId="40" xfId="0" applyFont="1" applyFill="1" applyBorder="1" applyAlignment="1">
      <alignment horizontal="left"/>
    </xf>
    <xf numFmtId="169" fontId="57" fillId="3" borderId="0" xfId="0" applyNumberFormat="1" applyFont="1" applyFill="1" applyAlignment="1">
      <alignment horizontal="right"/>
    </xf>
    <xf numFmtId="0" fontId="57" fillId="3" borderId="0" xfId="0" applyFont="1" applyFill="1" applyAlignment="1">
      <alignment horizontal="right"/>
    </xf>
    <xf numFmtId="169" fontId="57" fillId="3" borderId="0" xfId="0" applyNumberFormat="1" applyFont="1" applyFill="1" applyBorder="1" applyAlignment="1">
      <alignment horizontal="right"/>
    </xf>
    <xf numFmtId="0" fontId="27" fillId="3" borderId="155" xfId="0" applyFont="1" applyFill="1" applyBorder="1"/>
    <xf numFmtId="0" fontId="27" fillId="3" borderId="156" xfId="0" applyFont="1" applyFill="1" applyBorder="1"/>
    <xf numFmtId="0" fontId="27" fillId="3" borderId="139" xfId="0" applyFont="1" applyFill="1" applyBorder="1" applyProtection="1"/>
    <xf numFmtId="0" fontId="27" fillId="3" borderId="0" xfId="0" applyFont="1" applyFill="1" applyBorder="1" applyProtection="1"/>
    <xf numFmtId="0" fontId="78" fillId="3" borderId="0" xfId="0" applyFont="1" applyFill="1" applyBorder="1" applyProtection="1"/>
    <xf numFmtId="14" fontId="27" fillId="3" borderId="0" xfId="0" applyNumberFormat="1" applyFont="1" applyFill="1" applyBorder="1" applyProtection="1"/>
    <xf numFmtId="0" fontId="69" fillId="3" borderId="0" xfId="0" applyFont="1" applyFill="1" applyBorder="1" applyAlignment="1" applyProtection="1">
      <alignment horizontal="center"/>
    </xf>
    <xf numFmtId="169" fontId="27" fillId="3" borderId="0" xfId="0" applyNumberFormat="1" applyFont="1" applyFill="1" applyBorder="1" applyProtection="1"/>
    <xf numFmtId="18" fontId="27" fillId="3" borderId="0" xfId="0" applyNumberFormat="1" applyFont="1" applyFill="1" applyBorder="1" applyProtection="1"/>
    <xf numFmtId="0" fontId="27" fillId="3" borderId="140" xfId="0" applyFont="1" applyFill="1" applyBorder="1" applyProtection="1"/>
    <xf numFmtId="0" fontId="79" fillId="3" borderId="139" xfId="0" applyFont="1" applyFill="1" applyBorder="1"/>
    <xf numFmtId="0" fontId="79" fillId="3" borderId="0" xfId="0" applyFont="1" applyFill="1" applyBorder="1"/>
    <xf numFmtId="0" fontId="80" fillId="3" borderId="0" xfId="0" applyFont="1" applyFill="1" applyBorder="1"/>
    <xf numFmtId="14" fontId="27" fillId="3" borderId="135" xfId="0" applyNumberFormat="1" applyFont="1" applyFill="1" applyBorder="1"/>
    <xf numFmtId="18" fontId="27" fillId="3" borderId="135" xfId="0" applyNumberFormat="1" applyFont="1" applyFill="1" applyBorder="1"/>
    <xf numFmtId="0" fontId="27" fillId="3" borderId="137" xfId="0" applyFont="1" applyFill="1" applyBorder="1"/>
    <xf numFmtId="0" fontId="27" fillId="3" borderId="139" xfId="0" applyFont="1" applyFill="1" applyBorder="1" applyAlignment="1">
      <alignment vertical="center"/>
    </xf>
    <xf numFmtId="0" fontId="27" fillId="3" borderId="0" xfId="0" applyFont="1" applyFill="1" applyBorder="1" applyAlignment="1">
      <alignment horizontal="right" vertical="center"/>
    </xf>
    <xf numFmtId="14" fontId="27" fillId="3" borderId="136" xfId="0" applyNumberFormat="1" applyFont="1" applyFill="1" applyBorder="1"/>
    <xf numFmtId="18" fontId="27" fillId="3" borderId="136" xfId="0" applyNumberFormat="1" applyFont="1" applyFill="1" applyBorder="1"/>
    <xf numFmtId="0" fontId="50" fillId="3" borderId="0" xfId="0" applyFont="1" applyFill="1" applyBorder="1"/>
    <xf numFmtId="14" fontId="27" fillId="3" borderId="144" xfId="0" applyNumberFormat="1" applyFont="1" applyFill="1" applyBorder="1"/>
    <xf numFmtId="18" fontId="27" fillId="3" borderId="144" xfId="0" applyNumberFormat="1" applyFont="1" applyFill="1" applyBorder="1"/>
    <xf numFmtId="14" fontId="27" fillId="3" borderId="0" xfId="0" applyNumberFormat="1" applyFont="1" applyFill="1" applyBorder="1"/>
    <xf numFmtId="18" fontId="27" fillId="3" borderId="0" xfId="0" applyNumberFormat="1" applyFont="1" applyFill="1" applyBorder="1"/>
    <xf numFmtId="0" fontId="27" fillId="3" borderId="159" xfId="0" applyFont="1" applyFill="1" applyBorder="1"/>
    <xf numFmtId="0" fontId="27" fillId="3" borderId="157" xfId="0" applyFont="1" applyFill="1" applyBorder="1" applyAlignment="1">
      <alignment vertical="center"/>
    </xf>
    <xf numFmtId="0" fontId="27" fillId="3" borderId="158" xfId="0" applyFont="1" applyFill="1" applyBorder="1" applyAlignment="1">
      <alignment vertical="center"/>
    </xf>
    <xf numFmtId="0" fontId="27" fillId="3" borderId="0" xfId="0" quotePrefix="1" applyFont="1" applyFill="1" applyBorder="1"/>
    <xf numFmtId="0" fontId="27" fillId="3" borderId="143" xfId="0" quotePrefix="1" applyFont="1" applyFill="1" applyBorder="1"/>
    <xf numFmtId="0" fontId="27" fillId="3" borderId="141" xfId="0" applyFont="1" applyFill="1" applyBorder="1"/>
    <xf numFmtId="14" fontId="27" fillId="3" borderId="0" xfId="0" applyNumberFormat="1" applyFont="1" applyFill="1"/>
    <xf numFmtId="18" fontId="27" fillId="3" borderId="0" xfId="0" applyNumberFormat="1" applyFont="1" applyFill="1"/>
    <xf numFmtId="0" fontId="27" fillId="3" borderId="222" xfId="0" applyFont="1" applyFill="1" applyBorder="1"/>
    <xf numFmtId="0" fontId="28" fillId="3" borderId="222" xfId="0" applyFont="1" applyFill="1" applyBorder="1"/>
    <xf numFmtId="0" fontId="82" fillId="3" borderId="143" xfId="0" applyFont="1" applyFill="1" applyBorder="1"/>
    <xf numFmtId="0" fontId="83" fillId="3" borderId="143" xfId="0" applyFont="1" applyFill="1" applyBorder="1"/>
    <xf numFmtId="0" fontId="3" fillId="3" borderId="143" xfId="0" applyFont="1" applyFill="1" applyBorder="1"/>
    <xf numFmtId="0" fontId="83" fillId="3" borderId="0" xfId="0" applyFont="1" applyFill="1"/>
    <xf numFmtId="0" fontId="3" fillId="3" borderId="0" xfId="0" applyFont="1" applyFill="1"/>
    <xf numFmtId="0" fontId="3" fillId="3" borderId="136" xfId="0" applyFont="1" applyFill="1" applyBorder="1"/>
    <xf numFmtId="0" fontId="3" fillId="3" borderId="140" xfId="0" applyFont="1" applyFill="1" applyBorder="1"/>
    <xf numFmtId="0" fontId="83" fillId="3" borderId="0" xfId="0" applyFont="1" applyFill="1" applyAlignment="1">
      <alignment horizontal="center" vertical="center"/>
    </xf>
    <xf numFmtId="0" fontId="3" fillId="3" borderId="142" xfId="0" applyFont="1" applyFill="1" applyBorder="1"/>
    <xf numFmtId="0" fontId="3" fillId="3" borderId="144" xfId="0" applyFont="1" applyFill="1" applyBorder="1"/>
    <xf numFmtId="0" fontId="3" fillId="3" borderId="135" xfId="0" applyFont="1" applyFill="1" applyBorder="1"/>
    <xf numFmtId="0" fontId="3" fillId="3" borderId="139" xfId="0" applyFont="1" applyFill="1" applyBorder="1"/>
    <xf numFmtId="0" fontId="3" fillId="3" borderId="222" xfId="0" applyFont="1" applyFill="1" applyBorder="1"/>
    <xf numFmtId="0" fontId="3" fillId="3" borderId="0" xfId="0" applyFont="1" applyFill="1" applyBorder="1"/>
    <xf numFmtId="0" fontId="89" fillId="3" borderId="0" xfId="0" applyFont="1" applyFill="1" applyBorder="1"/>
    <xf numFmtId="0" fontId="27" fillId="3" borderId="154" xfId="0" applyFont="1" applyFill="1" applyBorder="1"/>
    <xf numFmtId="0" fontId="27" fillId="3" borderId="152" xfId="0" applyFont="1" applyFill="1" applyBorder="1" applyAlignment="1">
      <alignment horizontal="right"/>
    </xf>
    <xf numFmtId="0" fontId="27" fillId="3" borderId="237" xfId="0" applyFont="1" applyFill="1" applyBorder="1" applyAlignment="1">
      <alignment vertical="center"/>
    </xf>
    <xf numFmtId="0" fontId="2" fillId="0" borderId="110" xfId="0" applyFont="1" applyBorder="1"/>
    <xf numFmtId="0" fontId="2" fillId="0" borderId="52" xfId="0" applyFont="1" applyBorder="1"/>
    <xf numFmtId="169" fontId="2" fillId="0" borderId="0" xfId="0" applyNumberFormat="1" applyFont="1" applyBorder="1"/>
    <xf numFmtId="0" fontId="2" fillId="0" borderId="37" xfId="0" applyFont="1" applyBorder="1"/>
    <xf numFmtId="0" fontId="2" fillId="0" borderId="54" xfId="0" applyFont="1" applyBorder="1"/>
    <xf numFmtId="14" fontId="2" fillId="0" borderId="54" xfId="0" applyNumberFormat="1" applyFont="1" applyBorder="1"/>
    <xf numFmtId="0" fontId="2" fillId="0" borderId="38" xfId="0" applyFont="1" applyBorder="1"/>
    <xf numFmtId="0" fontId="2" fillId="0" borderId="39" xfId="0" applyFont="1" applyBorder="1"/>
    <xf numFmtId="14" fontId="2" fillId="0" borderId="52" xfId="0" applyNumberFormat="1" applyFont="1" applyBorder="1"/>
    <xf numFmtId="0" fontId="2" fillId="0" borderId="246" xfId="0" applyFont="1" applyBorder="1"/>
    <xf numFmtId="0" fontId="3" fillId="0" borderId="37" xfId="0" applyFont="1" applyBorder="1" applyAlignment="1" applyProtection="1">
      <alignment horizontal="left"/>
      <protection hidden="1"/>
    </xf>
    <xf numFmtId="0" fontId="3" fillId="0" borderId="54" xfId="0" applyFont="1" applyBorder="1" applyAlignment="1" applyProtection="1">
      <alignment horizontal="left"/>
      <protection hidden="1"/>
    </xf>
    <xf numFmtId="0" fontId="0" fillId="0" borderId="54" xfId="0" applyBorder="1"/>
    <xf numFmtId="14" fontId="3" fillId="0" borderId="54" xfId="0" applyNumberFormat="1" applyFont="1" applyBorder="1" applyAlignment="1" applyProtection="1">
      <alignment horizontal="center"/>
      <protection hidden="1"/>
    </xf>
    <xf numFmtId="0" fontId="3" fillId="0" borderId="54" xfId="0" applyFont="1" applyBorder="1" applyAlignment="1" applyProtection="1">
      <alignment horizontal="center"/>
      <protection hidden="1"/>
    </xf>
    <xf numFmtId="0" fontId="0" fillId="0" borderId="38" xfId="0" applyBorder="1"/>
    <xf numFmtId="0" fontId="6" fillId="0" borderId="39" xfId="0" applyFont="1" applyBorder="1"/>
    <xf numFmtId="0" fontId="3" fillId="0" borderId="52" xfId="0" applyFont="1" applyBorder="1"/>
    <xf numFmtId="0" fontId="0" fillId="0" borderId="52" xfId="0" applyBorder="1"/>
    <xf numFmtId="0" fontId="0" fillId="0" borderId="246" xfId="0" applyBorder="1"/>
    <xf numFmtId="0" fontId="39" fillId="3" borderId="0" xfId="0" applyFont="1" applyFill="1" applyBorder="1" applyAlignment="1">
      <alignment horizontal="center"/>
    </xf>
    <xf numFmtId="0" fontId="27" fillId="3" borderId="3" xfId="0" applyFont="1" applyFill="1" applyBorder="1" applyAlignment="1">
      <alignment horizontal="center"/>
    </xf>
    <xf numFmtId="0" fontId="27" fillId="3" borderId="22" xfId="0" applyFont="1" applyFill="1" applyBorder="1" applyAlignment="1">
      <alignment horizontal="center"/>
    </xf>
    <xf numFmtId="0" fontId="49" fillId="3" borderId="0" xfId="0" applyFont="1" applyFill="1" applyBorder="1"/>
    <xf numFmtId="0" fontId="27" fillId="3" borderId="171" xfId="0" applyFont="1" applyFill="1" applyBorder="1"/>
    <xf numFmtId="169" fontId="28" fillId="3" borderId="247" xfId="0" applyNumberFormat="1" applyFont="1" applyFill="1" applyBorder="1" applyAlignment="1">
      <alignment horizontal="right"/>
    </xf>
    <xf numFmtId="0" fontId="91" fillId="3" borderId="0" xfId="0" applyFont="1" applyFill="1"/>
    <xf numFmtId="0" fontId="54" fillId="3" borderId="169" xfId="0" applyFont="1" applyFill="1" applyBorder="1" applyAlignment="1" applyProtection="1">
      <alignment horizontal="center"/>
      <protection hidden="1"/>
    </xf>
    <xf numFmtId="3" fontId="54" fillId="3" borderId="169" xfId="0" applyNumberFormat="1" applyFont="1" applyFill="1" applyBorder="1" applyAlignment="1" applyProtection="1">
      <alignment horizontal="center"/>
      <protection hidden="1"/>
    </xf>
    <xf numFmtId="3" fontId="54" fillId="3" borderId="209" xfId="0" applyNumberFormat="1" applyFont="1" applyFill="1" applyBorder="1" applyAlignment="1" applyProtection="1">
      <alignment horizontal="center"/>
      <protection hidden="1"/>
    </xf>
    <xf numFmtId="169" fontId="28" fillId="3" borderId="0" xfId="0" applyNumberFormat="1" applyFont="1" applyFill="1" applyAlignment="1" applyProtection="1">
      <alignment horizontal="right"/>
      <protection hidden="1"/>
    </xf>
    <xf numFmtId="0" fontId="26" fillId="3" borderId="0" xfId="0" applyFont="1" applyFill="1" applyAlignment="1" applyProtection="1">
      <alignment horizontal="right"/>
      <protection hidden="1"/>
    </xf>
    <xf numFmtId="4" fontId="29" fillId="3" borderId="0" xfId="0" applyNumberFormat="1" applyFont="1" applyFill="1" applyAlignment="1" applyProtection="1">
      <alignment horizontal="right"/>
      <protection hidden="1"/>
    </xf>
    <xf numFmtId="0" fontId="26" fillId="3" borderId="0" xfId="0" applyFont="1" applyFill="1" applyProtection="1">
      <protection hidden="1"/>
    </xf>
    <xf numFmtId="4" fontId="26" fillId="3" borderId="0" xfId="0" applyNumberFormat="1" applyFont="1" applyFill="1" applyBorder="1" applyProtection="1">
      <protection hidden="1"/>
    </xf>
    <xf numFmtId="0" fontId="26" fillId="3" borderId="135" xfId="0" applyFont="1" applyFill="1" applyBorder="1" applyProtection="1">
      <protection hidden="1"/>
    </xf>
    <xf numFmtId="0" fontId="52" fillId="3" borderId="135" xfId="0" applyFont="1" applyFill="1" applyBorder="1" applyAlignment="1" applyProtection="1">
      <alignment horizontal="right"/>
      <protection hidden="1"/>
    </xf>
    <xf numFmtId="0" fontId="52" fillId="3" borderId="0" xfId="0" applyFont="1" applyFill="1" applyBorder="1" applyAlignment="1" applyProtection="1">
      <alignment horizontal="right"/>
      <protection hidden="1"/>
    </xf>
    <xf numFmtId="0" fontId="27" fillId="3" borderId="0" xfId="0" applyFont="1" applyFill="1" applyBorder="1" applyAlignment="1" applyProtection="1">
      <alignment horizontal="right"/>
      <protection hidden="1"/>
    </xf>
    <xf numFmtId="0" fontId="27" fillId="3" borderId="143" xfId="0" applyFont="1" applyFill="1" applyBorder="1" applyAlignment="1" applyProtection="1">
      <alignment horizontal="right"/>
      <protection hidden="1"/>
    </xf>
    <xf numFmtId="0" fontId="27" fillId="3" borderId="0" xfId="0" applyFont="1" applyFill="1" applyAlignment="1" applyProtection="1">
      <alignment horizontal="right"/>
      <protection hidden="1"/>
    </xf>
    <xf numFmtId="4" fontId="29" fillId="3" borderId="0" xfId="0" applyNumberFormat="1" applyFont="1" applyFill="1" applyProtection="1">
      <protection hidden="1"/>
    </xf>
    <xf numFmtId="0" fontId="27" fillId="3" borderId="135" xfId="0" applyFont="1" applyFill="1" applyBorder="1" applyAlignment="1" applyProtection="1">
      <alignment horizontal="right"/>
      <protection hidden="1"/>
    </xf>
    <xf numFmtId="0" fontId="69" fillId="3" borderId="0" xfId="0" applyFont="1" applyFill="1" applyBorder="1" applyAlignment="1" applyProtection="1">
      <alignment horizontal="right"/>
      <protection hidden="1"/>
    </xf>
    <xf numFmtId="4" fontId="26" fillId="3" borderId="0" xfId="0" applyNumberFormat="1" applyFont="1" applyFill="1" applyBorder="1" applyAlignment="1" applyProtection="1">
      <alignment horizontal="center" vertical="center"/>
      <protection hidden="1"/>
    </xf>
    <xf numFmtId="0" fontId="27" fillId="3" borderId="0" xfId="0" applyFont="1" applyFill="1" applyProtection="1">
      <protection hidden="1"/>
    </xf>
    <xf numFmtId="0" fontId="27" fillId="3" borderId="0" xfId="0" applyFont="1" applyFill="1" applyBorder="1" applyProtection="1">
      <protection hidden="1"/>
    </xf>
    <xf numFmtId="0" fontId="27" fillId="3" borderId="17" xfId="0" applyFont="1" applyFill="1" applyBorder="1" applyProtection="1">
      <protection hidden="1"/>
    </xf>
    <xf numFmtId="0" fontId="27" fillId="3" borderId="22" xfId="0" applyFont="1" applyFill="1" applyBorder="1" applyProtection="1">
      <protection hidden="1"/>
    </xf>
    <xf numFmtId="0" fontId="27" fillId="3" borderId="18" xfId="0" applyFont="1" applyFill="1" applyBorder="1" applyProtection="1">
      <protection hidden="1"/>
    </xf>
    <xf numFmtId="0" fontId="27" fillId="3" borderId="140" xfId="0" applyFont="1" applyFill="1" applyBorder="1" applyProtection="1">
      <protection hidden="1"/>
    </xf>
    <xf numFmtId="0" fontId="27" fillId="3" borderId="135" xfId="0" applyFont="1" applyFill="1" applyBorder="1" applyProtection="1">
      <protection hidden="1"/>
    </xf>
    <xf numFmtId="0" fontId="0" fillId="2" borderId="0" xfId="0" applyFill="1" applyProtection="1"/>
    <xf numFmtId="0" fontId="0" fillId="8" borderId="1" xfId="0" applyFill="1" applyBorder="1" applyAlignment="1" applyProtection="1">
      <alignment horizontal="center"/>
      <protection locked="0"/>
    </xf>
    <xf numFmtId="0" fontId="3" fillId="8" borderId="1" xfId="0" applyFont="1" applyFill="1" applyBorder="1" applyAlignment="1" applyProtection="1">
      <alignment horizontal="center" shrinkToFit="1"/>
      <protection locked="0"/>
    </xf>
    <xf numFmtId="2" fontId="3" fillId="8" borderId="1" xfId="0" applyNumberFormat="1" applyFont="1" applyFill="1" applyBorder="1" applyAlignment="1" applyProtection="1">
      <alignment horizontal="center" shrinkToFit="1"/>
      <protection locked="0"/>
    </xf>
    <xf numFmtId="167" fontId="3" fillId="8" borderId="1" xfId="0" applyNumberFormat="1" applyFont="1" applyFill="1" applyBorder="1" applyAlignment="1" applyProtection="1">
      <alignment horizontal="center" shrinkToFit="1"/>
      <protection locked="0"/>
    </xf>
    <xf numFmtId="0" fontId="12" fillId="6" borderId="1" xfId="0" applyFont="1" applyFill="1" applyBorder="1" applyAlignment="1" applyProtection="1">
      <alignment horizontal="center"/>
      <protection hidden="1"/>
    </xf>
    <xf numFmtId="0" fontId="3" fillId="8" borderId="1" xfId="0" applyFont="1" applyFill="1" applyBorder="1" applyAlignment="1" applyProtection="1">
      <alignment horizontal="center"/>
      <protection locked="0"/>
    </xf>
    <xf numFmtId="2" fontId="3" fillId="8" borderId="1" xfId="0" applyNumberFormat="1" applyFont="1" applyFill="1" applyBorder="1" applyAlignment="1" applyProtection="1">
      <alignment horizontal="center"/>
      <protection locked="0"/>
    </xf>
    <xf numFmtId="166" fontId="3" fillId="8" borderId="1" xfId="0" applyNumberFormat="1" applyFont="1" applyFill="1" applyBorder="1" applyAlignment="1" applyProtection="1">
      <alignment horizontal="center" shrinkToFit="1"/>
      <protection locked="0"/>
    </xf>
    <xf numFmtId="1" fontId="3" fillId="8" borderId="1" xfId="0" applyNumberFormat="1" applyFont="1" applyFill="1" applyBorder="1" applyAlignment="1" applyProtection="1">
      <alignment horizontal="center" shrinkToFit="1"/>
      <protection locked="0"/>
    </xf>
    <xf numFmtId="167" fontId="3" fillId="8" borderId="1" xfId="0" applyNumberFormat="1" applyFont="1" applyFill="1" applyBorder="1" applyAlignment="1" applyProtection="1">
      <alignment horizontal="center" vertical="center"/>
      <protection locked="0"/>
    </xf>
    <xf numFmtId="168" fontId="3" fillId="8" borderId="1" xfId="0" applyNumberFormat="1" applyFont="1" applyFill="1" applyBorder="1" applyAlignment="1" applyProtection="1">
      <alignment horizontal="center"/>
      <protection locked="0"/>
    </xf>
    <xf numFmtId="166" fontId="0" fillId="8" borderId="5" xfId="0" applyNumberFormat="1" applyFill="1" applyBorder="1" applyAlignment="1" applyProtection="1">
      <alignment horizontal="center"/>
      <protection locked="0"/>
    </xf>
    <xf numFmtId="167" fontId="3" fillId="8" borderId="1" xfId="0" applyNumberFormat="1" applyFont="1" applyFill="1" applyBorder="1" applyAlignment="1" applyProtection="1">
      <alignment shrinkToFit="1"/>
      <protection locked="0"/>
    </xf>
    <xf numFmtId="166" fontId="0" fillId="8" borderId="1" xfId="0" applyNumberFormat="1" applyFill="1" applyBorder="1" applyAlignment="1" applyProtection="1">
      <alignment horizontal="center"/>
      <protection locked="0"/>
    </xf>
    <xf numFmtId="168" fontId="3" fillId="8" borderId="1" xfId="0" applyNumberFormat="1" applyFont="1" applyFill="1" applyBorder="1" applyAlignment="1" applyProtection="1">
      <alignment shrinkToFit="1"/>
      <protection locked="0"/>
    </xf>
    <xf numFmtId="1" fontId="0" fillId="8" borderId="1" xfId="0" applyNumberFormat="1" applyFill="1" applyBorder="1" applyAlignment="1" applyProtection="1">
      <alignment horizontal="center" shrinkToFit="1"/>
      <protection locked="0"/>
    </xf>
    <xf numFmtId="2" fontId="3" fillId="8" borderId="1" xfId="0" applyNumberFormat="1" applyFont="1" applyFill="1" applyBorder="1" applyAlignment="1" applyProtection="1">
      <alignment shrinkToFit="1"/>
      <protection locked="0"/>
    </xf>
    <xf numFmtId="166" fontId="3" fillId="8" borderId="1" xfId="0" applyNumberFormat="1" applyFont="1" applyFill="1" applyBorder="1" applyAlignment="1" applyProtection="1">
      <alignment horizontal="center"/>
      <protection locked="0"/>
    </xf>
    <xf numFmtId="167" fontId="3" fillId="8" borderId="1" xfId="0" applyNumberFormat="1" applyFont="1" applyFill="1" applyBorder="1" applyAlignment="1" applyProtection="1">
      <alignment horizontal="center"/>
      <protection locked="0"/>
    </xf>
    <xf numFmtId="167" fontId="0" fillId="8" borderId="1" xfId="0" applyNumberFormat="1" applyFill="1" applyBorder="1" applyProtection="1">
      <protection locked="0"/>
    </xf>
    <xf numFmtId="166" fontId="0" fillId="8" borderId="1" xfId="0" applyNumberFormat="1" applyFill="1" applyBorder="1" applyProtection="1">
      <protection locked="0"/>
    </xf>
    <xf numFmtId="166" fontId="0" fillId="8" borderId="1" xfId="0" applyNumberFormat="1" applyFill="1" applyBorder="1" applyAlignment="1" applyProtection="1">
      <alignment horizontal="right"/>
      <protection locked="0"/>
    </xf>
    <xf numFmtId="0" fontId="0" fillId="6" borderId="0" xfId="0" applyFill="1" applyProtection="1">
      <protection hidden="1"/>
    </xf>
    <xf numFmtId="0" fontId="3" fillId="7" borderId="31" xfId="0" applyFont="1" applyFill="1" applyBorder="1" applyProtection="1">
      <protection hidden="1"/>
    </xf>
    <xf numFmtId="0" fontId="0" fillId="7" borderId="0" xfId="0" applyFill="1" applyProtection="1">
      <protection hidden="1"/>
    </xf>
    <xf numFmtId="0" fontId="3" fillId="7" borderId="0" xfId="0" applyFont="1" applyFill="1" applyAlignment="1" applyProtection="1">
      <alignment horizontal="left"/>
      <protection hidden="1"/>
    </xf>
    <xf numFmtId="0" fontId="0" fillId="6" borderId="32" xfId="0" applyFill="1" applyBorder="1" applyProtection="1">
      <protection hidden="1"/>
    </xf>
    <xf numFmtId="0" fontId="3" fillId="7" borderId="32" xfId="0" applyFont="1" applyFill="1" applyBorder="1" applyAlignment="1" applyProtection="1">
      <alignment horizontal="left"/>
      <protection hidden="1"/>
    </xf>
    <xf numFmtId="0" fontId="0" fillId="7" borderId="17" xfId="0" applyFill="1" applyBorder="1" applyProtection="1">
      <protection hidden="1"/>
    </xf>
    <xf numFmtId="0" fontId="0" fillId="7" borderId="22" xfId="0" applyFill="1" applyBorder="1" applyProtection="1">
      <protection hidden="1"/>
    </xf>
    <xf numFmtId="0" fontId="3" fillId="7" borderId="18" xfId="0" applyFont="1" applyFill="1" applyBorder="1" applyAlignment="1" applyProtection="1">
      <alignment horizontal="left"/>
      <protection hidden="1"/>
    </xf>
    <xf numFmtId="0" fontId="0" fillId="7" borderId="0" xfId="0" applyFill="1" applyAlignment="1" applyProtection="1">
      <alignment horizontal="center"/>
      <protection hidden="1"/>
    </xf>
    <xf numFmtId="0" fontId="0" fillId="7" borderId="0" xfId="0" applyFill="1" applyAlignment="1" applyProtection="1">
      <alignment horizontal="left"/>
      <protection hidden="1"/>
    </xf>
    <xf numFmtId="0" fontId="3" fillId="7" borderId="0" xfId="0" applyFont="1" applyFill="1" applyAlignment="1" applyProtection="1">
      <alignment shrinkToFit="1"/>
      <protection hidden="1"/>
    </xf>
    <xf numFmtId="0" fontId="0" fillId="6" borderId="1" xfId="0" applyFill="1" applyBorder="1" applyProtection="1">
      <protection hidden="1"/>
    </xf>
    <xf numFmtId="0" fontId="3" fillId="7" borderId="32" xfId="0" applyFont="1" applyFill="1" applyBorder="1" applyAlignment="1" applyProtection="1">
      <alignment shrinkToFit="1"/>
      <protection hidden="1"/>
    </xf>
    <xf numFmtId="0" fontId="0" fillId="7" borderId="31" xfId="0" applyFill="1" applyBorder="1" applyAlignment="1" applyProtection="1">
      <alignment horizontal="center"/>
      <protection hidden="1"/>
    </xf>
    <xf numFmtId="0" fontId="3" fillId="7" borderId="0" xfId="0" applyFont="1" applyFill="1" applyProtection="1">
      <protection hidden="1"/>
    </xf>
    <xf numFmtId="0" fontId="0" fillId="7" borderId="32" xfId="0" applyFill="1" applyBorder="1" applyAlignment="1" applyProtection="1">
      <alignment horizontal="right"/>
      <protection hidden="1"/>
    </xf>
    <xf numFmtId="0" fontId="3" fillId="7" borderId="16" xfId="0" applyFont="1" applyFill="1" applyBorder="1" applyAlignment="1" applyProtection="1">
      <alignment horizontal="center"/>
      <protection hidden="1"/>
    </xf>
    <xf numFmtId="0" fontId="0" fillId="6" borderId="4" xfId="0" applyFill="1" applyBorder="1" applyAlignment="1" applyProtection="1">
      <alignment horizontal="right"/>
      <protection hidden="1"/>
    </xf>
    <xf numFmtId="0" fontId="0" fillId="7" borderId="32" xfId="0" applyFill="1" applyBorder="1" applyProtection="1">
      <protection hidden="1"/>
    </xf>
    <xf numFmtId="0" fontId="0" fillId="6" borderId="32" xfId="0" applyFill="1" applyBorder="1" applyAlignment="1" applyProtection="1">
      <alignment horizontal="center"/>
      <protection hidden="1"/>
    </xf>
    <xf numFmtId="0" fontId="0" fillId="6" borderId="0" xfId="0" applyFill="1" applyAlignment="1" applyProtection="1">
      <alignment horizontal="center"/>
      <protection hidden="1"/>
    </xf>
    <xf numFmtId="0" fontId="3" fillId="7" borderId="31" xfId="0" applyFont="1" applyFill="1" applyBorder="1" applyAlignment="1" applyProtection="1">
      <alignment horizontal="center"/>
      <protection hidden="1"/>
    </xf>
    <xf numFmtId="0" fontId="0" fillId="6" borderId="1" xfId="0" applyFill="1" applyBorder="1" applyAlignment="1" applyProtection="1">
      <alignment horizontal="center"/>
      <protection hidden="1"/>
    </xf>
    <xf numFmtId="0" fontId="3" fillId="7" borderId="16" xfId="0" applyFont="1" applyFill="1" applyBorder="1" applyAlignment="1" applyProtection="1">
      <alignment horizontal="left"/>
      <protection hidden="1"/>
    </xf>
    <xf numFmtId="0" fontId="0" fillId="6" borderId="1" xfId="0" applyFill="1" applyBorder="1" applyAlignment="1" applyProtection="1">
      <alignment horizontal="right"/>
      <protection hidden="1"/>
    </xf>
    <xf numFmtId="0" fontId="0" fillId="7" borderId="19" xfId="0" applyFill="1" applyBorder="1" applyProtection="1">
      <protection hidden="1"/>
    </xf>
    <xf numFmtId="0" fontId="0" fillId="7" borderId="20" xfId="0" applyFill="1" applyBorder="1" applyProtection="1">
      <protection hidden="1"/>
    </xf>
    <xf numFmtId="0" fontId="0" fillId="7" borderId="40" xfId="0" applyFill="1" applyBorder="1" applyProtection="1">
      <protection hidden="1"/>
    </xf>
    <xf numFmtId="0" fontId="0" fillId="7" borderId="31" xfId="0" applyFill="1" applyBorder="1" applyProtection="1">
      <protection hidden="1"/>
    </xf>
    <xf numFmtId="0" fontId="108" fillId="7" borderId="0" xfId="0" applyFont="1" applyFill="1" applyAlignment="1" applyProtection="1">
      <alignment horizontal="left"/>
      <protection hidden="1"/>
    </xf>
    <xf numFmtId="0" fontId="108" fillId="7" borderId="0" xfId="0" applyFont="1" applyFill="1" applyAlignment="1" applyProtection="1">
      <alignment horizontal="center"/>
      <protection hidden="1"/>
    </xf>
    <xf numFmtId="0" fontId="0" fillId="6" borderId="16" xfId="0" applyFill="1" applyBorder="1" applyProtection="1">
      <protection hidden="1"/>
    </xf>
    <xf numFmtId="0" fontId="0" fillId="6" borderId="31" xfId="0" applyFill="1" applyBorder="1" applyProtection="1">
      <protection hidden="1"/>
    </xf>
    <xf numFmtId="0" fontId="3" fillId="7" borderId="32" xfId="0" applyFont="1" applyFill="1" applyBorder="1" applyProtection="1">
      <protection hidden="1"/>
    </xf>
    <xf numFmtId="0" fontId="0" fillId="7" borderId="5" xfId="0" applyFill="1" applyBorder="1" applyProtection="1">
      <protection hidden="1"/>
    </xf>
    <xf numFmtId="0" fontId="3" fillId="7" borderId="0" xfId="0" applyFont="1" applyFill="1" applyAlignment="1" applyProtection="1">
      <alignment horizontal="center"/>
      <protection hidden="1"/>
    </xf>
    <xf numFmtId="1" fontId="109" fillId="6" borderId="16" xfId="0" applyNumberFormat="1" applyFont="1" applyFill="1" applyBorder="1" applyAlignment="1" applyProtection="1">
      <alignment horizontal="right"/>
      <protection hidden="1"/>
    </xf>
    <xf numFmtId="1" fontId="109" fillId="6" borderId="0" xfId="0" applyNumberFormat="1" applyFont="1" applyFill="1" applyProtection="1">
      <protection hidden="1"/>
    </xf>
    <xf numFmtId="0" fontId="3" fillId="7" borderId="0" xfId="0" applyFont="1" applyFill="1" applyAlignment="1" applyProtection="1">
      <alignment horizontal="right"/>
      <protection hidden="1"/>
    </xf>
    <xf numFmtId="0" fontId="3" fillId="7" borderId="16" xfId="0" applyFont="1" applyFill="1" applyBorder="1" applyAlignment="1" applyProtection="1">
      <alignment horizontal="center" vertical="top"/>
      <protection hidden="1"/>
    </xf>
    <xf numFmtId="177" fontId="0" fillId="6" borderId="32" xfId="0" applyNumberFormat="1" applyFill="1" applyBorder="1" applyProtection="1">
      <protection hidden="1"/>
    </xf>
    <xf numFmtId="166" fontId="0" fillId="6" borderId="32" xfId="0" applyNumberFormat="1" applyFill="1" applyBorder="1" applyProtection="1">
      <protection hidden="1"/>
    </xf>
    <xf numFmtId="166" fontId="109" fillId="6" borderId="0" xfId="0" applyNumberFormat="1" applyFont="1" applyFill="1" applyProtection="1">
      <protection hidden="1"/>
    </xf>
    <xf numFmtId="0" fontId="3" fillId="7" borderId="197" xfId="0" applyFont="1" applyFill="1" applyBorder="1" applyAlignment="1" applyProtection="1">
      <alignment horizontal="center" vertical="top"/>
      <protection hidden="1"/>
    </xf>
    <xf numFmtId="0" fontId="109" fillId="7" borderId="0" xfId="0" applyFont="1" applyFill="1" applyAlignment="1" applyProtection="1">
      <alignment horizontal="center"/>
      <protection hidden="1"/>
    </xf>
    <xf numFmtId="0" fontId="109" fillId="6" borderId="16" xfId="0" applyFont="1" applyFill="1" applyBorder="1" applyAlignment="1" applyProtection="1">
      <alignment horizontal="right"/>
      <protection hidden="1"/>
    </xf>
    <xf numFmtId="166" fontId="3" fillId="6" borderId="0" xfId="0" applyNumberFormat="1" applyFont="1" applyFill="1" applyAlignment="1" applyProtection="1">
      <alignment shrinkToFit="1"/>
      <protection hidden="1"/>
    </xf>
    <xf numFmtId="177" fontId="109" fillId="6" borderId="16" xfId="0" applyNumberFormat="1" applyFont="1" applyFill="1" applyBorder="1" applyAlignment="1" applyProtection="1">
      <alignment horizontal="right"/>
      <protection hidden="1"/>
    </xf>
    <xf numFmtId="0" fontId="3" fillId="7" borderId="5" xfId="0" applyFont="1" applyFill="1" applyBorder="1" applyAlignment="1" applyProtection="1">
      <alignment horizontal="center" vertical="center"/>
      <protection hidden="1"/>
    </xf>
    <xf numFmtId="1" fontId="109" fillId="6" borderId="31" xfId="0" applyNumberFormat="1" applyFont="1" applyFill="1" applyBorder="1" applyAlignment="1" applyProtection="1">
      <alignment horizontal="right"/>
      <protection hidden="1"/>
    </xf>
    <xf numFmtId="0" fontId="0" fillId="7" borderId="197" xfId="0" applyFill="1" applyBorder="1" applyProtection="1">
      <protection hidden="1"/>
    </xf>
    <xf numFmtId="0" fontId="109" fillId="7" borderId="0" xfId="0" applyFont="1" applyFill="1" applyProtection="1">
      <protection hidden="1"/>
    </xf>
    <xf numFmtId="166" fontId="3" fillId="7" borderId="0" xfId="0" applyNumberFormat="1" applyFont="1" applyFill="1" applyAlignment="1" applyProtection="1">
      <alignment horizontal="center"/>
      <protection hidden="1"/>
    </xf>
    <xf numFmtId="0" fontId="0" fillId="7" borderId="16" xfId="0" applyFill="1" applyBorder="1" applyAlignment="1" applyProtection="1">
      <alignment horizontal="center"/>
      <protection hidden="1"/>
    </xf>
    <xf numFmtId="0" fontId="0" fillId="7" borderId="16" xfId="0" applyFill="1" applyBorder="1" applyProtection="1">
      <protection hidden="1"/>
    </xf>
    <xf numFmtId="0" fontId="0" fillId="6" borderId="197" xfId="0" applyFill="1" applyBorder="1" applyProtection="1">
      <protection hidden="1"/>
    </xf>
    <xf numFmtId="0" fontId="0" fillId="6" borderId="19" xfId="0" applyFill="1" applyBorder="1" applyProtection="1">
      <protection hidden="1"/>
    </xf>
    <xf numFmtId="0" fontId="3" fillId="7" borderId="19" xfId="0" applyFont="1" applyFill="1" applyBorder="1" applyProtection="1">
      <protection hidden="1"/>
    </xf>
    <xf numFmtId="0" fontId="3" fillId="7" borderId="40" xfId="0" applyFont="1" applyFill="1" applyBorder="1" applyProtection="1">
      <protection hidden="1"/>
    </xf>
    <xf numFmtId="0" fontId="3" fillId="7" borderId="20" xfId="0" applyFont="1" applyFill="1" applyBorder="1" applyProtection="1">
      <protection hidden="1"/>
    </xf>
    <xf numFmtId="0" fontId="3" fillId="7" borderId="17" xfId="0" applyFont="1" applyFill="1" applyBorder="1" applyProtection="1">
      <protection hidden="1"/>
    </xf>
    <xf numFmtId="0" fontId="3" fillId="7" borderId="22" xfId="0" applyFont="1" applyFill="1" applyBorder="1" applyAlignment="1" applyProtection="1">
      <alignment horizontal="center"/>
      <protection hidden="1"/>
    </xf>
    <xf numFmtId="0" fontId="3" fillId="7" borderId="22" xfId="0" applyFont="1" applyFill="1" applyBorder="1" applyProtection="1">
      <protection hidden="1"/>
    </xf>
    <xf numFmtId="0" fontId="0" fillId="6" borderId="5" xfId="0" applyFill="1" applyBorder="1" applyProtection="1">
      <protection hidden="1"/>
    </xf>
    <xf numFmtId="0" fontId="0" fillId="6" borderId="18" xfId="0" applyFill="1" applyBorder="1" applyProtection="1">
      <protection hidden="1"/>
    </xf>
    <xf numFmtId="0" fontId="0" fillId="7" borderId="22" xfId="0" applyFill="1" applyBorder="1" applyAlignment="1" applyProtection="1">
      <alignment horizontal="center"/>
      <protection hidden="1"/>
    </xf>
    <xf numFmtId="1" fontId="111" fillId="6" borderId="32" xfId="0" applyNumberFormat="1" applyFont="1" applyFill="1" applyBorder="1" applyProtection="1">
      <protection hidden="1"/>
    </xf>
    <xf numFmtId="0" fontId="0" fillId="7" borderId="31" xfId="0" applyFill="1" applyBorder="1" applyAlignment="1" applyProtection="1">
      <alignment horizontal="left"/>
      <protection hidden="1"/>
    </xf>
    <xf numFmtId="166" fontId="111" fillId="6" borderId="32" xfId="0" applyNumberFormat="1" applyFont="1" applyFill="1" applyBorder="1" applyProtection="1">
      <protection hidden="1"/>
    </xf>
    <xf numFmtId="178" fontId="109" fillId="6" borderId="16" xfId="0" applyNumberFormat="1" applyFont="1" applyFill="1" applyBorder="1" applyAlignment="1" applyProtection="1">
      <alignment horizontal="right"/>
      <protection hidden="1"/>
    </xf>
    <xf numFmtId="0" fontId="111" fillId="6" borderId="32" xfId="0" applyFont="1" applyFill="1" applyBorder="1" applyProtection="1">
      <protection hidden="1"/>
    </xf>
    <xf numFmtId="0" fontId="12" fillId="7" borderId="0" xfId="0" applyFont="1" applyFill="1" applyAlignment="1" applyProtection="1">
      <alignment horizontal="center"/>
      <protection hidden="1"/>
    </xf>
    <xf numFmtId="0" fontId="0" fillId="6" borderId="16" xfId="0" applyFill="1" applyBorder="1" applyAlignment="1" applyProtection="1">
      <alignment horizontal="right"/>
      <protection hidden="1"/>
    </xf>
    <xf numFmtId="0" fontId="3" fillId="7" borderId="32" xfId="0" applyFont="1" applyFill="1" applyBorder="1" applyAlignment="1" applyProtection="1">
      <alignment horizontal="center"/>
      <protection hidden="1"/>
    </xf>
    <xf numFmtId="177" fontId="0" fillId="7" borderId="0" xfId="0" applyNumberFormat="1" applyFill="1" applyProtection="1">
      <protection hidden="1"/>
    </xf>
    <xf numFmtId="0" fontId="3" fillId="7" borderId="197" xfId="0" applyFont="1" applyFill="1" applyBorder="1" applyAlignment="1" applyProtection="1">
      <alignment horizontal="center"/>
      <protection hidden="1"/>
    </xf>
    <xf numFmtId="0" fontId="3" fillId="6" borderId="4" xfId="0" applyFont="1" applyFill="1" applyBorder="1" applyAlignment="1" applyProtection="1">
      <alignment horizontal="center"/>
      <protection hidden="1"/>
    </xf>
    <xf numFmtId="0" fontId="0" fillId="7" borderId="31" xfId="0" applyFill="1" applyBorder="1" applyAlignment="1" applyProtection="1">
      <alignment shrinkToFit="1"/>
      <protection hidden="1"/>
    </xf>
    <xf numFmtId="0" fontId="0" fillId="6" borderId="20" xfId="0" applyFill="1" applyBorder="1" applyProtection="1">
      <protection hidden="1"/>
    </xf>
    <xf numFmtId="0" fontId="112" fillId="7" borderId="19" xfId="0" applyFont="1" applyFill="1" applyBorder="1" applyProtection="1">
      <protection hidden="1"/>
    </xf>
    <xf numFmtId="1" fontId="112" fillId="7" borderId="40" xfId="0" applyNumberFormat="1" applyFont="1" applyFill="1" applyBorder="1" applyAlignment="1" applyProtection="1">
      <alignment horizontal="center"/>
      <protection hidden="1"/>
    </xf>
    <xf numFmtId="167" fontId="113" fillId="7" borderId="40" xfId="0" applyNumberFormat="1" applyFont="1" applyFill="1" applyBorder="1" applyAlignment="1" applyProtection="1">
      <alignment horizontal="center"/>
      <protection hidden="1"/>
    </xf>
    <xf numFmtId="166" fontId="112" fillId="7" borderId="40" xfId="0" applyNumberFormat="1" applyFont="1" applyFill="1" applyBorder="1" applyAlignment="1" applyProtection="1">
      <alignment horizontal="center"/>
      <protection hidden="1"/>
    </xf>
    <xf numFmtId="0" fontId="0" fillId="7" borderId="18" xfId="0" applyFill="1" applyBorder="1" applyProtection="1">
      <protection hidden="1"/>
    </xf>
    <xf numFmtId="0" fontId="108" fillId="7" borderId="22" xfId="0" applyFont="1" applyFill="1" applyBorder="1" applyAlignment="1" applyProtection="1">
      <alignment horizontal="left"/>
      <protection hidden="1"/>
    </xf>
    <xf numFmtId="0" fontId="108" fillId="7" borderId="22" xfId="0" applyFont="1" applyFill="1" applyBorder="1" applyAlignment="1" applyProtection="1">
      <alignment horizontal="center"/>
      <protection hidden="1"/>
    </xf>
    <xf numFmtId="0" fontId="3" fillId="7" borderId="32" xfId="0" applyFont="1" applyFill="1" applyBorder="1" applyAlignment="1" applyProtection="1">
      <alignment horizontal="left" shrinkToFit="1"/>
      <protection hidden="1"/>
    </xf>
    <xf numFmtId="1" fontId="0" fillId="6" borderId="32" xfId="0" applyNumberFormat="1" applyFill="1" applyBorder="1" applyProtection="1">
      <protection hidden="1"/>
    </xf>
    <xf numFmtId="0" fontId="3" fillId="7" borderId="31" xfId="0" applyFont="1" applyFill="1" applyBorder="1" applyAlignment="1" applyProtection="1">
      <alignment horizontal="left"/>
      <protection hidden="1"/>
    </xf>
    <xf numFmtId="1" fontId="109" fillId="6" borderId="32" xfId="0" applyNumberFormat="1" applyFont="1" applyFill="1" applyBorder="1" applyAlignment="1" applyProtection="1">
      <alignment horizontal="right"/>
      <protection hidden="1"/>
    </xf>
    <xf numFmtId="0" fontId="111" fillId="7" borderId="40" xfId="0" applyFont="1" applyFill="1" applyBorder="1" applyProtection="1">
      <protection hidden="1"/>
    </xf>
    <xf numFmtId="167" fontId="111" fillId="7" borderId="40" xfId="0" applyNumberFormat="1" applyFont="1" applyFill="1" applyBorder="1" applyAlignment="1" applyProtection="1">
      <alignment horizontal="center"/>
      <protection hidden="1"/>
    </xf>
    <xf numFmtId="167" fontId="111" fillId="7" borderId="20" xfId="0" applyNumberFormat="1" applyFont="1" applyFill="1" applyBorder="1" applyProtection="1">
      <protection hidden="1"/>
    </xf>
    <xf numFmtId="0" fontId="3" fillId="7" borderId="5" xfId="0" applyFont="1" applyFill="1" applyBorder="1" applyAlignment="1" applyProtection="1">
      <alignment horizontal="center" vertical="top"/>
      <protection hidden="1"/>
    </xf>
    <xf numFmtId="168" fontId="111" fillId="7" borderId="0" xfId="0" applyNumberFormat="1" applyFont="1" applyFill="1" applyAlignment="1" applyProtection="1">
      <alignment horizontal="right"/>
      <protection hidden="1"/>
    </xf>
    <xf numFmtId="0" fontId="111" fillId="7" borderId="32" xfId="0" applyFont="1" applyFill="1" applyBorder="1" applyProtection="1">
      <protection hidden="1"/>
    </xf>
    <xf numFmtId="0" fontId="111" fillId="7" borderId="0" xfId="0" applyFont="1" applyFill="1" applyProtection="1">
      <protection hidden="1"/>
    </xf>
    <xf numFmtId="0" fontId="3" fillId="7" borderId="16" xfId="0" applyFont="1" applyFill="1" applyBorder="1" applyAlignment="1" applyProtection="1">
      <alignment horizontal="center" vertical="center"/>
      <protection hidden="1"/>
    </xf>
    <xf numFmtId="0" fontId="90" fillId="7" borderId="31" xfId="0" applyFont="1" applyFill="1" applyBorder="1" applyProtection="1">
      <protection hidden="1"/>
    </xf>
    <xf numFmtId="168" fontId="111" fillId="7" borderId="32" xfId="0" applyNumberFormat="1" applyFont="1" applyFill="1" applyBorder="1" applyProtection="1">
      <protection hidden="1"/>
    </xf>
    <xf numFmtId="1" fontId="3" fillId="6" borderId="2" xfId="0" applyNumberFormat="1" applyFont="1" applyFill="1" applyBorder="1" applyAlignment="1" applyProtection="1">
      <alignment horizontal="center" shrinkToFit="1"/>
      <protection hidden="1"/>
    </xf>
    <xf numFmtId="1" fontId="3" fillId="6" borderId="3" xfId="0" applyNumberFormat="1" applyFont="1" applyFill="1" applyBorder="1" applyAlignment="1" applyProtection="1">
      <alignment horizontal="center" shrinkToFit="1"/>
      <protection hidden="1"/>
    </xf>
    <xf numFmtId="0" fontId="0" fillId="3" borderId="0" xfId="0" applyFill="1" applyProtection="1">
      <protection hidden="1"/>
    </xf>
    <xf numFmtId="0" fontId="0" fillId="3" borderId="31" xfId="0" applyFill="1" applyBorder="1" applyProtection="1">
      <protection hidden="1"/>
    </xf>
    <xf numFmtId="167" fontId="0" fillId="3" borderId="1" xfId="0" applyNumberFormat="1" applyFill="1" applyBorder="1" applyAlignment="1" applyProtection="1">
      <alignment horizontal="center" shrinkToFit="1"/>
      <protection hidden="1"/>
    </xf>
    <xf numFmtId="0" fontId="0" fillId="3" borderId="1" xfId="0" applyFill="1" applyBorder="1" applyAlignment="1" applyProtection="1">
      <alignment horizontal="center"/>
      <protection hidden="1"/>
    </xf>
    <xf numFmtId="0" fontId="0" fillId="3" borderId="1" xfId="0" applyFill="1" applyBorder="1" applyProtection="1">
      <protection hidden="1"/>
    </xf>
    <xf numFmtId="0" fontId="3" fillId="3" borderId="17" xfId="0" applyFont="1" applyFill="1" applyBorder="1" applyAlignment="1" applyProtection="1">
      <alignment horizontal="left"/>
      <protection hidden="1"/>
    </xf>
    <xf numFmtId="0" fontId="3" fillId="3" borderId="22" xfId="0" applyFont="1" applyFill="1" applyBorder="1" applyAlignment="1" applyProtection="1">
      <alignment horizontal="left"/>
      <protection hidden="1"/>
    </xf>
    <xf numFmtId="0" fontId="3" fillId="3" borderId="18" xfId="0" applyFont="1" applyFill="1" applyBorder="1" applyAlignment="1" applyProtection="1">
      <alignment horizontal="left"/>
      <protection hidden="1"/>
    </xf>
    <xf numFmtId="167" fontId="0" fillId="3" borderId="17" xfId="0" applyNumberFormat="1" applyFill="1" applyBorder="1" applyProtection="1">
      <protection hidden="1"/>
    </xf>
    <xf numFmtId="167" fontId="0" fillId="3" borderId="22" xfId="0" applyNumberFormat="1" applyFill="1" applyBorder="1" applyProtection="1">
      <protection hidden="1"/>
    </xf>
    <xf numFmtId="177" fontId="0" fillId="3" borderId="18" xfId="0" applyNumberFormat="1" applyFill="1" applyBorder="1" applyProtection="1">
      <protection hidden="1"/>
    </xf>
    <xf numFmtId="166" fontId="0" fillId="3" borderId="18" xfId="0" applyNumberFormat="1" applyFill="1" applyBorder="1" applyProtection="1">
      <protection hidden="1"/>
    </xf>
    <xf numFmtId="167" fontId="0" fillId="3" borderId="31" xfId="0" applyNumberFormat="1" applyFill="1" applyBorder="1" applyProtection="1">
      <protection hidden="1"/>
    </xf>
    <xf numFmtId="167" fontId="0" fillId="3" borderId="0" xfId="0" applyNumberFormat="1" applyFill="1" applyProtection="1">
      <protection hidden="1"/>
    </xf>
    <xf numFmtId="177" fontId="0" fillId="3" borderId="32" xfId="0" applyNumberFormat="1" applyFill="1" applyBorder="1" applyProtection="1">
      <protection hidden="1"/>
    </xf>
    <xf numFmtId="166" fontId="0" fillId="3" borderId="32" xfId="0" applyNumberFormat="1" applyFill="1" applyBorder="1" applyProtection="1">
      <protection hidden="1"/>
    </xf>
    <xf numFmtId="167" fontId="0" fillId="3" borderId="19" xfId="0" applyNumberFormat="1" applyFill="1" applyBorder="1" applyProtection="1">
      <protection hidden="1"/>
    </xf>
    <xf numFmtId="167" fontId="0" fillId="3" borderId="40" xfId="0" applyNumberFormat="1" applyFill="1" applyBorder="1" applyProtection="1">
      <protection hidden="1"/>
    </xf>
    <xf numFmtId="177" fontId="0" fillId="3" borderId="20" xfId="0" applyNumberFormat="1" applyFill="1" applyBorder="1" applyProtection="1">
      <protection hidden="1"/>
    </xf>
    <xf numFmtId="166" fontId="0" fillId="3" borderId="20" xfId="0" applyNumberFormat="1" applyFill="1" applyBorder="1" applyProtection="1">
      <protection hidden="1"/>
    </xf>
    <xf numFmtId="167" fontId="3" fillId="3" borderId="0" xfId="0" applyNumberFormat="1" applyFont="1" applyFill="1" applyProtection="1">
      <protection hidden="1"/>
    </xf>
    <xf numFmtId="166" fontId="3" fillId="3" borderId="32" xfId="0" applyNumberFormat="1" applyFont="1" applyFill="1" applyBorder="1" applyProtection="1">
      <protection hidden="1"/>
    </xf>
    <xf numFmtId="167" fontId="3" fillId="3" borderId="40" xfId="0" applyNumberFormat="1" applyFont="1" applyFill="1" applyBorder="1" applyProtection="1">
      <protection hidden="1"/>
    </xf>
    <xf numFmtId="166" fontId="3" fillId="3" borderId="20" xfId="0" applyNumberFormat="1" applyFont="1" applyFill="1" applyBorder="1" applyProtection="1">
      <protection hidden="1"/>
    </xf>
    <xf numFmtId="0" fontId="0" fillId="3" borderId="17" xfId="0" applyFill="1" applyBorder="1" applyProtection="1">
      <protection hidden="1"/>
    </xf>
    <xf numFmtId="0" fontId="0" fillId="3" borderId="22" xfId="0" applyFill="1" applyBorder="1" applyProtection="1">
      <protection hidden="1"/>
    </xf>
    <xf numFmtId="0" fontId="0" fillId="3" borderId="18" xfId="0" applyFill="1" applyBorder="1" applyProtection="1">
      <protection hidden="1"/>
    </xf>
    <xf numFmtId="177" fontId="0" fillId="3" borderId="0" xfId="0" applyNumberFormat="1" applyFill="1" applyProtection="1">
      <protection hidden="1"/>
    </xf>
    <xf numFmtId="0" fontId="3" fillId="3" borderId="0" xfId="0" applyFont="1" applyFill="1" applyProtection="1">
      <protection hidden="1"/>
    </xf>
    <xf numFmtId="177" fontId="0" fillId="3" borderId="40" xfId="0" applyNumberFormat="1" applyFill="1" applyBorder="1" applyProtection="1">
      <protection hidden="1"/>
    </xf>
    <xf numFmtId="0" fontId="114" fillId="10" borderId="4" xfId="0" applyFont="1" applyFill="1" applyBorder="1" applyAlignment="1" applyProtection="1">
      <alignment horizontal="center"/>
      <protection hidden="1"/>
    </xf>
    <xf numFmtId="0" fontId="114" fillId="10" borderId="2" xfId="0" applyFont="1" applyFill="1" applyBorder="1" applyAlignment="1" applyProtection="1">
      <alignment horizontal="center"/>
      <protection hidden="1"/>
    </xf>
    <xf numFmtId="0" fontId="115" fillId="10" borderId="1" xfId="0" applyFont="1" applyFill="1" applyBorder="1" applyAlignment="1" applyProtection="1">
      <alignment horizontal="center"/>
      <protection hidden="1"/>
    </xf>
    <xf numFmtId="0" fontId="115" fillId="10" borderId="16" xfId="0" applyFont="1" applyFill="1" applyBorder="1" applyAlignment="1" applyProtection="1">
      <alignment horizontal="center"/>
      <protection hidden="1"/>
    </xf>
    <xf numFmtId="1" fontId="83" fillId="10" borderId="1" xfId="0" applyNumberFormat="1" applyFont="1" applyFill="1" applyBorder="1" applyAlignment="1" applyProtection="1">
      <alignment horizontal="center" shrinkToFit="1"/>
      <protection hidden="1"/>
    </xf>
    <xf numFmtId="167" fontId="83" fillId="10" borderId="1" xfId="0" applyNumberFormat="1" applyFont="1" applyFill="1" applyBorder="1" applyAlignment="1" applyProtection="1">
      <alignment horizontal="center" shrinkToFit="1"/>
      <protection hidden="1"/>
    </xf>
    <xf numFmtId="2" fontId="83" fillId="10" borderId="1" xfId="0" applyNumberFormat="1" applyFont="1" applyFill="1" applyBorder="1" applyAlignment="1" applyProtection="1">
      <alignment horizontal="center" shrinkToFit="1"/>
      <protection hidden="1"/>
    </xf>
    <xf numFmtId="0" fontId="83" fillId="10" borderId="1" xfId="0" applyFont="1" applyFill="1" applyBorder="1" applyAlignment="1" applyProtection="1">
      <alignment horizontal="center" shrinkToFit="1"/>
      <protection hidden="1"/>
    </xf>
    <xf numFmtId="167" fontId="114" fillId="10" borderId="1" xfId="0" applyNumberFormat="1" applyFont="1" applyFill="1" applyBorder="1" applyAlignment="1" applyProtection="1">
      <alignment horizontal="center" shrinkToFit="1"/>
      <protection hidden="1"/>
    </xf>
    <xf numFmtId="168" fontId="114" fillId="10" borderId="1" xfId="0" applyNumberFormat="1" applyFont="1" applyFill="1" applyBorder="1" applyAlignment="1" applyProtection="1">
      <alignment horizontal="center"/>
      <protection hidden="1"/>
    </xf>
    <xf numFmtId="2" fontId="114" fillId="10" borderId="1" xfId="0" applyNumberFormat="1" applyFont="1" applyFill="1" applyBorder="1" applyAlignment="1" applyProtection="1">
      <alignment horizontal="center"/>
      <protection hidden="1"/>
    </xf>
    <xf numFmtId="0" fontId="83" fillId="10" borderId="197" xfId="0" applyFont="1" applyFill="1" applyBorder="1" applyAlignment="1" applyProtection="1">
      <alignment horizontal="center" vertical="center"/>
      <protection hidden="1"/>
    </xf>
    <xf numFmtId="177" fontId="83" fillId="10" borderId="1" xfId="0" applyNumberFormat="1" applyFont="1" applyFill="1" applyBorder="1" applyAlignment="1" applyProtection="1">
      <alignment horizontal="center" vertical="center"/>
      <protection hidden="1"/>
    </xf>
    <xf numFmtId="0" fontId="114" fillId="10" borderId="3" xfId="0" applyFont="1" applyFill="1" applyBorder="1" applyProtection="1">
      <protection hidden="1"/>
    </xf>
    <xf numFmtId="179" fontId="83" fillId="10" borderId="1" xfId="0" applyNumberFormat="1" applyFont="1" applyFill="1" applyBorder="1" applyAlignment="1" applyProtection="1">
      <alignment horizontal="center" shrinkToFit="1"/>
      <protection hidden="1"/>
    </xf>
    <xf numFmtId="167" fontId="83" fillId="10" borderId="5" xfId="0" applyNumberFormat="1" applyFont="1" applyFill="1" applyBorder="1" applyAlignment="1" applyProtection="1">
      <alignment horizontal="center" shrinkToFit="1"/>
      <protection hidden="1"/>
    </xf>
    <xf numFmtId="166" fontId="83" fillId="10" borderId="1" xfId="0" applyNumberFormat="1" applyFont="1" applyFill="1" applyBorder="1" applyAlignment="1" applyProtection="1">
      <alignment horizontal="center"/>
      <protection hidden="1"/>
    </xf>
    <xf numFmtId="1" fontId="114" fillId="10" borderId="1" xfId="0" applyNumberFormat="1" applyFont="1" applyFill="1" applyBorder="1" applyAlignment="1" applyProtection="1">
      <alignment horizontal="center" shrinkToFit="1"/>
      <protection hidden="1"/>
    </xf>
    <xf numFmtId="167" fontId="83" fillId="10" borderId="197" xfId="0" applyNumberFormat="1" applyFont="1" applyFill="1" applyBorder="1" applyAlignment="1" applyProtection="1">
      <alignment horizontal="center" vertical="center"/>
      <protection hidden="1"/>
    </xf>
    <xf numFmtId="167" fontId="114" fillId="10" borderId="1" xfId="0" applyNumberFormat="1" applyFont="1" applyFill="1" applyBorder="1" applyAlignment="1" applyProtection="1">
      <alignment horizontal="right"/>
      <protection hidden="1"/>
    </xf>
    <xf numFmtId="0" fontId="93" fillId="2" borderId="275" xfId="0" applyFont="1" applyFill="1" applyBorder="1" applyAlignment="1" applyProtection="1">
      <alignment horizontal="left" vertical="center"/>
      <protection locked="0"/>
    </xf>
    <xf numFmtId="49" fontId="103" fillId="2" borderId="275" xfId="0" applyNumberFormat="1" applyFont="1" applyFill="1" applyBorder="1" applyAlignment="1" applyProtection="1">
      <alignment horizontal="center" vertical="center"/>
      <protection locked="0"/>
    </xf>
    <xf numFmtId="0" fontId="0" fillId="2" borderId="0" xfId="0" applyFill="1" applyProtection="1">
      <protection locked="0"/>
    </xf>
    <xf numFmtId="0" fontId="94" fillId="2" borderId="263" xfId="0" applyFont="1" applyFill="1" applyBorder="1" applyAlignment="1" applyProtection="1">
      <alignment horizontal="left" vertical="center"/>
      <protection locked="0"/>
    </xf>
    <xf numFmtId="0" fontId="103" fillId="2" borderId="263" xfId="0" applyFont="1" applyFill="1" applyBorder="1" applyAlignment="1" applyProtection="1">
      <alignment horizontal="left" vertical="center"/>
      <protection locked="0"/>
    </xf>
    <xf numFmtId="0" fontId="94" fillId="2" borderId="264" xfId="0" applyFont="1" applyFill="1" applyBorder="1" applyAlignment="1" applyProtection="1">
      <alignment vertical="center"/>
      <protection locked="0"/>
    </xf>
    <xf numFmtId="49" fontId="94" fillId="2" borderId="275" xfId="0" applyNumberFormat="1" applyFont="1" applyFill="1" applyBorder="1" applyAlignment="1" applyProtection="1">
      <alignment horizontal="center" vertical="center"/>
      <protection locked="0"/>
    </xf>
    <xf numFmtId="49" fontId="94" fillId="2" borderId="263" xfId="0" applyNumberFormat="1" applyFont="1" applyFill="1" applyBorder="1" applyAlignment="1" applyProtection="1">
      <alignment horizontal="left" vertical="center"/>
      <protection locked="0"/>
    </xf>
    <xf numFmtId="49" fontId="94" fillId="2" borderId="275" xfId="0" applyNumberFormat="1" applyFont="1" applyFill="1" applyBorder="1" applyAlignment="1" applyProtection="1">
      <alignment horizontal="left" vertical="center"/>
      <protection locked="0"/>
    </xf>
    <xf numFmtId="0" fontId="104" fillId="2" borderId="263" xfId="0" applyFont="1" applyFill="1" applyBorder="1" applyProtection="1">
      <protection locked="0"/>
    </xf>
    <xf numFmtId="0" fontId="94" fillId="2" borderId="263" xfId="0" applyFont="1" applyFill="1" applyBorder="1" applyAlignment="1" applyProtection="1">
      <alignment vertical="center"/>
      <protection locked="0"/>
    </xf>
    <xf numFmtId="10" fontId="94" fillId="2" borderId="263" xfId="0" applyNumberFormat="1" applyFont="1" applyFill="1" applyBorder="1" applyAlignment="1" applyProtection="1">
      <alignment horizontal="right" vertical="center"/>
      <protection locked="0"/>
    </xf>
    <xf numFmtId="10" fontId="92" fillId="2" borderId="263" xfId="0" applyNumberFormat="1" applyFont="1" applyFill="1" applyBorder="1" applyProtection="1">
      <protection locked="0"/>
    </xf>
    <xf numFmtId="169" fontId="94" fillId="2" borderId="263" xfId="0" applyNumberFormat="1" applyFont="1" applyFill="1" applyBorder="1" applyAlignment="1" applyProtection="1">
      <alignment horizontal="left" vertical="center"/>
      <protection locked="0"/>
    </xf>
    <xf numFmtId="0" fontId="94" fillId="2" borderId="275" xfId="0" applyFont="1" applyFill="1" applyBorder="1" applyAlignment="1" applyProtection="1">
      <alignment horizontal="left" vertical="center"/>
      <protection locked="0"/>
    </xf>
    <xf numFmtId="169" fontId="92" fillId="2" borderId="263" xfId="0" applyNumberFormat="1" applyFont="1" applyFill="1" applyBorder="1" applyProtection="1">
      <protection locked="0"/>
    </xf>
    <xf numFmtId="0" fontId="92" fillId="2" borderId="263" xfId="0" applyFont="1" applyFill="1" applyBorder="1" applyProtection="1">
      <protection locked="0"/>
    </xf>
    <xf numFmtId="167" fontId="83" fillId="10" borderId="1" xfId="0" applyNumberFormat="1" applyFont="1" applyFill="1" applyBorder="1" applyAlignment="1" applyProtection="1">
      <alignment horizontal="center"/>
      <protection hidden="1"/>
    </xf>
    <xf numFmtId="2" fontId="83" fillId="10" borderId="1" xfId="0" applyNumberFormat="1" applyFont="1" applyFill="1" applyBorder="1" applyAlignment="1" applyProtection="1">
      <alignment horizontal="center"/>
      <protection hidden="1"/>
    </xf>
    <xf numFmtId="0" fontId="93" fillId="2" borderId="0" xfId="0" applyFont="1" applyFill="1" applyAlignment="1" applyProtection="1">
      <alignment vertical="center"/>
    </xf>
    <xf numFmtId="0" fontId="93" fillId="2" borderId="248" xfId="0" applyFont="1" applyFill="1" applyBorder="1" applyAlignment="1" applyProtection="1">
      <alignment horizontal="left" vertical="center"/>
    </xf>
    <xf numFmtId="0" fontId="93" fillId="2" borderId="252" xfId="0" applyFont="1" applyFill="1" applyBorder="1" applyAlignment="1" applyProtection="1">
      <alignment horizontal="left" vertical="center"/>
    </xf>
    <xf numFmtId="0" fontId="93" fillId="2" borderId="256" xfId="0" applyFont="1" applyFill="1" applyBorder="1" applyAlignment="1" applyProtection="1">
      <alignment horizontal="left" vertical="center"/>
    </xf>
    <xf numFmtId="0" fontId="98" fillId="2" borderId="0" xfId="0" applyFont="1" applyFill="1" applyAlignment="1" applyProtection="1">
      <alignment vertical="center"/>
    </xf>
    <xf numFmtId="0" fontId="105" fillId="2" borderId="0" xfId="0" applyFont="1" applyFill="1" applyAlignment="1" applyProtection="1">
      <alignment vertical="center"/>
    </xf>
    <xf numFmtId="0" fontId="0" fillId="2" borderId="0" xfId="0" applyFill="1" applyAlignment="1" applyProtection="1"/>
    <xf numFmtId="0" fontId="94" fillId="2" borderId="0" xfId="0" applyFont="1" applyFill="1" applyAlignment="1" applyProtection="1">
      <alignment horizontal="center" vertical="center"/>
    </xf>
    <xf numFmtId="0" fontId="93" fillId="2" borderId="0" xfId="0" applyFont="1" applyFill="1" applyAlignment="1" applyProtection="1">
      <alignment horizontal="center" vertical="center"/>
    </xf>
    <xf numFmtId="0" fontId="96" fillId="2" borderId="0" xfId="0" applyFont="1" applyFill="1" applyAlignment="1" applyProtection="1">
      <alignment horizontal="center" vertical="center"/>
    </xf>
    <xf numFmtId="0" fontId="96" fillId="2" borderId="0" xfId="0" applyFont="1" applyFill="1" applyAlignment="1" applyProtection="1">
      <alignment horizontal="right" vertical="center"/>
    </xf>
    <xf numFmtId="0" fontId="96" fillId="2" borderId="260" xfId="0" applyFont="1" applyFill="1" applyBorder="1" applyAlignment="1" applyProtection="1">
      <alignment horizontal="center" vertical="center"/>
    </xf>
    <xf numFmtId="0" fontId="93" fillId="2" borderId="260" xfId="0" applyFont="1" applyFill="1" applyBorder="1" applyAlignment="1" applyProtection="1">
      <alignment horizontal="center" vertical="center"/>
    </xf>
    <xf numFmtId="0" fontId="93" fillId="2" borderId="0" xfId="0" applyFont="1" applyFill="1" applyAlignment="1" applyProtection="1">
      <alignment horizontal="right" vertical="center"/>
    </xf>
    <xf numFmtId="172" fontId="93" fillId="2" borderId="0" xfId="0" applyNumberFormat="1" applyFont="1" applyFill="1" applyAlignment="1" applyProtection="1">
      <alignment horizontal="center" vertical="center"/>
    </xf>
    <xf numFmtId="0" fontId="92" fillId="2" borderId="0" xfId="0" applyFont="1" applyFill="1" applyProtection="1"/>
    <xf numFmtId="0" fontId="96" fillId="2" borderId="279" xfId="0" applyFont="1" applyFill="1" applyBorder="1" applyAlignment="1" applyProtection="1">
      <alignment vertical="center"/>
    </xf>
    <xf numFmtId="0" fontId="96" fillId="2" borderId="265" xfId="0" applyFont="1" applyFill="1" applyBorder="1" applyAlignment="1" applyProtection="1">
      <alignment horizontal="right" vertical="center"/>
    </xf>
    <xf numFmtId="0" fontId="93" fillId="2" borderId="278" xfId="0" applyFont="1" applyFill="1" applyBorder="1" applyAlignment="1" applyProtection="1">
      <alignment vertical="center"/>
    </xf>
    <xf numFmtId="0" fontId="104" fillId="2" borderId="0" xfId="0" applyFont="1" applyFill="1" applyProtection="1"/>
    <xf numFmtId="0" fontId="96" fillId="2" borderId="261" xfId="0" applyFont="1" applyFill="1" applyBorder="1" applyAlignment="1" applyProtection="1">
      <alignment horizontal="right" vertical="center"/>
    </xf>
    <xf numFmtId="0" fontId="93" fillId="2" borderId="270" xfId="0" applyFont="1" applyFill="1" applyBorder="1" applyAlignment="1" applyProtection="1">
      <alignment horizontal="center" vertical="center"/>
    </xf>
    <xf numFmtId="0" fontId="93" fillId="2" borderId="280" xfId="0" applyFont="1" applyFill="1" applyBorder="1" applyAlignment="1" applyProtection="1">
      <alignment vertical="center"/>
    </xf>
    <xf numFmtId="173" fontId="93" fillId="2" borderId="262" xfId="0" applyNumberFormat="1" applyFont="1" applyFill="1" applyBorder="1" applyAlignment="1" applyProtection="1">
      <alignment horizontal="center" vertical="center"/>
    </xf>
    <xf numFmtId="172" fontId="93" fillId="2" borderId="262" xfId="0" applyNumberFormat="1" applyFont="1" applyFill="1" applyBorder="1" applyAlignment="1" applyProtection="1">
      <alignment horizontal="center" vertical="center"/>
    </xf>
    <xf numFmtId="49" fontId="93" fillId="2" borderId="262" xfId="0" applyNumberFormat="1" applyFont="1" applyFill="1" applyBorder="1" applyAlignment="1" applyProtection="1">
      <alignment horizontal="center" vertical="center"/>
    </xf>
    <xf numFmtId="0" fontId="106" fillId="2" borderId="260" xfId="0" applyFont="1" applyFill="1" applyBorder="1" applyAlignment="1" applyProtection="1">
      <alignment horizontal="center" vertical="center"/>
    </xf>
    <xf numFmtId="0" fontId="107" fillId="2" borderId="260" xfId="0" applyFont="1" applyFill="1" applyBorder="1" applyAlignment="1" applyProtection="1">
      <alignment horizontal="center"/>
    </xf>
    <xf numFmtId="167" fontId="94" fillId="2" borderId="248" xfId="0" applyNumberFormat="1" applyFont="1" applyFill="1" applyBorder="1" applyAlignment="1" applyProtection="1">
      <alignment horizontal="center" vertical="center"/>
    </xf>
    <xf numFmtId="166" fontId="94" fillId="2" borderId="248" xfId="0" applyNumberFormat="1" applyFont="1" applyFill="1" applyBorder="1" applyAlignment="1" applyProtection="1">
      <alignment horizontal="right" vertical="center"/>
    </xf>
    <xf numFmtId="166" fontId="94" fillId="2" borderId="252" xfId="0" applyNumberFormat="1" applyFont="1" applyFill="1" applyBorder="1" applyAlignment="1" applyProtection="1">
      <alignment horizontal="right" vertical="center"/>
    </xf>
    <xf numFmtId="0" fontId="92" fillId="2" borderId="271" xfId="0" applyFont="1" applyFill="1" applyBorder="1" applyProtection="1"/>
    <xf numFmtId="166" fontId="92" fillId="2" borderId="0" xfId="0" applyNumberFormat="1" applyFont="1" applyFill="1" applyProtection="1"/>
    <xf numFmtId="0" fontId="92" fillId="2" borderId="252" xfId="0" applyFont="1" applyFill="1" applyBorder="1" applyProtection="1"/>
    <xf numFmtId="166" fontId="94" fillId="2" borderId="281" xfId="0" applyNumberFormat="1" applyFont="1" applyFill="1" applyBorder="1" applyAlignment="1" applyProtection="1">
      <alignment horizontal="right" vertical="center"/>
    </xf>
    <xf numFmtId="0" fontId="92" fillId="2" borderId="281" xfId="0" applyFont="1" applyFill="1" applyBorder="1" applyProtection="1"/>
    <xf numFmtId="0" fontId="94" fillId="2" borderId="256" xfId="0" applyFont="1" applyFill="1" applyBorder="1" applyAlignment="1" applyProtection="1">
      <alignment horizontal="center" vertical="center"/>
    </xf>
    <xf numFmtId="166" fontId="94" fillId="2" borderId="256" xfId="0" applyNumberFormat="1" applyFont="1" applyFill="1" applyBorder="1" applyAlignment="1" applyProtection="1">
      <alignment horizontal="right" vertical="center"/>
    </xf>
    <xf numFmtId="0" fontId="96" fillId="2" borderId="268" xfId="0" applyFont="1" applyFill="1" applyBorder="1" applyAlignment="1" applyProtection="1">
      <alignment horizontal="center" vertical="center"/>
    </xf>
    <xf numFmtId="166" fontId="103" fillId="2" borderId="268" xfId="0" applyNumberFormat="1" applyFont="1" applyFill="1" applyBorder="1" applyAlignment="1" applyProtection="1">
      <alignment horizontal="right" vertical="center"/>
    </xf>
    <xf numFmtId="0" fontId="92" fillId="2" borderId="260" xfId="0" applyFont="1" applyFill="1" applyBorder="1" applyProtection="1"/>
    <xf numFmtId="0" fontId="93" fillId="2" borderId="280" xfId="0" applyFont="1" applyFill="1" applyBorder="1" applyAlignment="1" applyProtection="1">
      <alignment horizontal="center" vertical="center"/>
    </xf>
    <xf numFmtId="0" fontId="96" fillId="2" borderId="280" xfId="0" applyFont="1" applyFill="1" applyBorder="1" applyAlignment="1" applyProtection="1">
      <alignment horizontal="center" vertical="center"/>
    </xf>
    <xf numFmtId="166" fontId="93" fillId="2" borderId="260" xfId="0" applyNumberFormat="1" applyFont="1" applyFill="1" applyBorder="1" applyAlignment="1" applyProtection="1">
      <alignment vertical="center"/>
    </xf>
    <xf numFmtId="166" fontId="96" fillId="2" borderId="260" xfId="0" applyNumberFormat="1" applyFont="1" applyFill="1" applyBorder="1" applyAlignment="1" applyProtection="1">
      <alignment vertical="center"/>
    </xf>
    <xf numFmtId="0" fontId="93" fillId="2" borderId="0" xfId="0" applyFont="1" applyFill="1" applyAlignment="1" applyProtection="1">
      <alignment horizontal="left" vertical="center"/>
    </xf>
    <xf numFmtId="166" fontId="103" fillId="2" borderId="260" xfId="0" applyNumberFormat="1" applyFont="1" applyFill="1" applyBorder="1" applyProtection="1"/>
    <xf numFmtId="166" fontId="103" fillId="2" borderId="264" xfId="0" applyNumberFormat="1" applyFont="1" applyFill="1" applyBorder="1" applyAlignment="1" applyProtection="1">
      <alignment horizontal="right" vertical="center"/>
    </xf>
    <xf numFmtId="0" fontId="96" fillId="2" borderId="0" xfId="0" applyFont="1" applyFill="1" applyProtection="1"/>
    <xf numFmtId="0" fontId="92" fillId="2" borderId="254" xfId="0" applyFont="1" applyFill="1" applyBorder="1" applyProtection="1"/>
    <xf numFmtId="0" fontId="93" fillId="2" borderId="0" xfId="0" applyFont="1" applyFill="1" applyProtection="1"/>
    <xf numFmtId="0" fontId="99" fillId="2" borderId="282" xfId="0" applyFont="1" applyFill="1" applyBorder="1" applyProtection="1"/>
    <xf numFmtId="0" fontId="92" fillId="2" borderId="282" xfId="0" applyFont="1" applyFill="1" applyBorder="1" applyProtection="1"/>
    <xf numFmtId="0" fontId="96" fillId="2" borderId="0" xfId="0" applyFont="1" applyFill="1" applyAlignment="1" applyProtection="1">
      <alignment horizontal="right"/>
    </xf>
    <xf numFmtId="0" fontId="101" fillId="2" borderId="0" xfId="0" applyFont="1" applyFill="1" applyAlignment="1" applyProtection="1">
      <alignment vertical="top"/>
    </xf>
    <xf numFmtId="0" fontId="101" fillId="2" borderId="0" xfId="0" applyFont="1" applyFill="1" applyProtection="1"/>
    <xf numFmtId="166" fontId="96" fillId="2" borderId="260" xfId="0" applyNumberFormat="1" applyFont="1" applyFill="1" applyBorder="1" applyAlignment="1" applyProtection="1">
      <alignment horizontal="center" vertical="center"/>
      <protection locked="0"/>
    </xf>
    <xf numFmtId="0" fontId="96" fillId="2" borderId="260" xfId="0" applyFont="1" applyFill="1" applyBorder="1" applyAlignment="1" applyProtection="1">
      <alignment horizontal="center" vertical="center"/>
      <protection locked="0"/>
    </xf>
    <xf numFmtId="172" fontId="93" fillId="2" borderId="260" xfId="0" applyNumberFormat="1" applyFont="1" applyFill="1" applyBorder="1" applyAlignment="1" applyProtection="1">
      <alignment horizontal="center" vertical="center"/>
      <protection locked="0"/>
    </xf>
    <xf numFmtId="0" fontId="93" fillId="2" borderId="260" xfId="0" applyFont="1" applyFill="1" applyBorder="1" applyAlignment="1" applyProtection="1">
      <alignment horizontal="center" vertical="center"/>
      <protection locked="0"/>
    </xf>
    <xf numFmtId="2" fontId="96" fillId="2" borderId="260" xfId="0" applyNumberFormat="1" applyFont="1" applyFill="1" applyBorder="1" applyAlignment="1" applyProtection="1">
      <alignment horizontal="center" vertical="center"/>
      <protection locked="0"/>
    </xf>
    <xf numFmtId="2" fontId="94" fillId="2" borderId="248" xfId="0" applyNumberFormat="1" applyFont="1" applyFill="1" applyBorder="1" applyAlignment="1" applyProtection="1">
      <alignment horizontal="center" vertical="center"/>
      <protection locked="0"/>
    </xf>
    <xf numFmtId="2" fontId="94" fillId="2" borderId="252" xfId="0" applyNumberFormat="1" applyFont="1" applyFill="1" applyBorder="1" applyAlignment="1" applyProtection="1">
      <alignment horizontal="center" vertical="center"/>
      <protection locked="0"/>
    </xf>
    <xf numFmtId="2" fontId="94" fillId="2" borderId="271" xfId="0" applyNumberFormat="1" applyFont="1" applyFill="1" applyBorder="1" applyAlignment="1" applyProtection="1">
      <alignment horizontal="center" vertical="center"/>
      <protection locked="0"/>
    </xf>
    <xf numFmtId="2" fontId="94" fillId="2" borderId="266" xfId="0" applyNumberFormat="1" applyFont="1" applyFill="1" applyBorder="1" applyAlignment="1" applyProtection="1">
      <alignment horizontal="center" vertical="center"/>
      <protection locked="0"/>
    </xf>
    <xf numFmtId="0" fontId="94" fillId="2" borderId="256" xfId="0" applyFont="1" applyFill="1" applyBorder="1" applyAlignment="1" applyProtection="1">
      <alignment horizontal="center" vertical="center"/>
      <protection locked="0"/>
    </xf>
    <xf numFmtId="166" fontId="94" fillId="2" borderId="248" xfId="0" applyNumberFormat="1" applyFont="1" applyFill="1" applyBorder="1" applyAlignment="1" applyProtection="1">
      <alignment horizontal="center" vertical="center"/>
      <protection locked="0"/>
    </xf>
    <xf numFmtId="166" fontId="94" fillId="2" borderId="252" xfId="0" applyNumberFormat="1" applyFont="1" applyFill="1" applyBorder="1" applyAlignment="1" applyProtection="1">
      <alignment horizontal="center" vertical="center"/>
      <protection locked="0"/>
    </xf>
    <xf numFmtId="166" fontId="94" fillId="2" borderId="281" xfId="0" applyNumberFormat="1" applyFont="1" applyFill="1" applyBorder="1" applyAlignment="1" applyProtection="1">
      <alignment horizontal="center" vertical="center"/>
      <protection locked="0"/>
    </xf>
    <xf numFmtId="166" fontId="94" fillId="2" borderId="256" xfId="0" applyNumberFormat="1" applyFont="1" applyFill="1" applyBorder="1" applyAlignment="1" applyProtection="1">
      <alignment vertical="center"/>
      <protection locked="0"/>
    </xf>
    <xf numFmtId="2" fontId="94" fillId="2" borderId="281" xfId="0" applyNumberFormat="1" applyFont="1" applyFill="1" applyBorder="1" applyAlignment="1" applyProtection="1">
      <alignment horizontal="center" vertical="center"/>
      <protection locked="0"/>
    </xf>
    <xf numFmtId="2" fontId="94" fillId="2" borderId="256" xfId="0" applyNumberFormat="1" applyFont="1" applyFill="1" applyBorder="1" applyAlignment="1" applyProtection="1">
      <alignment horizontal="center" vertical="center"/>
      <protection locked="0"/>
    </xf>
    <xf numFmtId="167" fontId="94" fillId="2" borderId="248" xfId="0" applyNumberFormat="1" applyFont="1" applyFill="1" applyBorder="1" applyAlignment="1" applyProtection="1">
      <alignment horizontal="center" vertical="center"/>
      <protection locked="0"/>
    </xf>
    <xf numFmtId="167" fontId="94" fillId="2" borderId="252" xfId="0" applyNumberFormat="1" applyFont="1" applyFill="1" applyBorder="1" applyAlignment="1" applyProtection="1">
      <alignment horizontal="center" vertical="center"/>
      <protection locked="0"/>
    </xf>
    <xf numFmtId="167" fontId="94" fillId="2" borderId="281" xfId="0" applyNumberFormat="1" applyFont="1" applyFill="1" applyBorder="1" applyAlignment="1" applyProtection="1">
      <alignment horizontal="center" vertical="center"/>
      <protection locked="0"/>
    </xf>
    <xf numFmtId="167" fontId="94" fillId="2" borderId="256" xfId="0" applyNumberFormat="1" applyFont="1" applyFill="1" applyBorder="1" applyAlignment="1" applyProtection="1">
      <alignment horizontal="center" vertical="center"/>
      <protection locked="0"/>
    </xf>
    <xf numFmtId="0" fontId="94" fillId="2" borderId="252" xfId="0" applyFont="1" applyFill="1" applyBorder="1" applyAlignment="1" applyProtection="1">
      <alignment horizontal="center" vertical="center"/>
      <protection locked="0"/>
    </xf>
    <xf numFmtId="0" fontId="94" fillId="2" borderId="252" xfId="0" applyFont="1" applyFill="1" applyBorder="1" applyAlignment="1" applyProtection="1">
      <alignment horizontal="left" vertical="center" shrinkToFit="1"/>
      <protection locked="0"/>
    </xf>
    <xf numFmtId="0" fontId="94" fillId="2" borderId="252" xfId="0" applyFont="1" applyFill="1" applyBorder="1" applyAlignment="1" applyProtection="1">
      <alignment vertical="center" shrinkToFit="1"/>
      <protection locked="0"/>
    </xf>
    <xf numFmtId="0" fontId="94" fillId="2" borderId="271" xfId="0" applyFont="1" applyFill="1" applyBorder="1" applyAlignment="1" applyProtection="1">
      <alignment vertical="center" shrinkToFit="1"/>
      <protection locked="0"/>
    </xf>
    <xf numFmtId="0" fontId="93" fillId="2" borderId="252" xfId="0" applyFont="1" applyFill="1" applyBorder="1" applyAlignment="1" applyProtection="1">
      <alignment vertical="center"/>
      <protection locked="0"/>
    </xf>
    <xf numFmtId="0" fontId="94" fillId="2" borderId="271" xfId="0" applyFont="1" applyFill="1" applyBorder="1" applyAlignment="1" applyProtection="1">
      <alignment horizontal="left" vertical="center" shrinkToFit="1"/>
      <protection locked="0"/>
    </xf>
    <xf numFmtId="166" fontId="94" fillId="2" borderId="252" xfId="0" applyNumberFormat="1" applyFont="1" applyFill="1" applyBorder="1" applyAlignment="1" applyProtection="1">
      <alignment vertical="center"/>
      <protection locked="0"/>
    </xf>
    <xf numFmtId="0" fontId="93" fillId="2" borderId="0" xfId="0" applyFont="1" applyFill="1" applyAlignment="1" applyProtection="1">
      <alignment vertical="center"/>
      <protection hidden="1"/>
    </xf>
    <xf numFmtId="0" fontId="93" fillId="2" borderId="248" xfId="0" applyFont="1" applyFill="1" applyBorder="1" applyAlignment="1" applyProtection="1">
      <alignment horizontal="left" vertical="center"/>
      <protection hidden="1"/>
    </xf>
    <xf numFmtId="0" fontId="0" fillId="2" borderId="0" xfId="0" applyFill="1" applyProtection="1">
      <protection hidden="1"/>
    </xf>
    <xf numFmtId="0" fontId="93" fillId="2" borderId="252" xfId="0" applyFont="1" applyFill="1" applyBorder="1" applyAlignment="1" applyProtection="1">
      <alignment horizontal="left" vertical="center"/>
      <protection hidden="1"/>
    </xf>
    <xf numFmtId="0" fontId="93" fillId="2" borderId="256" xfId="0" applyFont="1" applyFill="1" applyBorder="1" applyAlignment="1" applyProtection="1">
      <alignment horizontal="left" vertical="center"/>
      <protection hidden="1"/>
    </xf>
    <xf numFmtId="0" fontId="98" fillId="2" borderId="0" xfId="0" applyFont="1" applyFill="1" applyAlignment="1" applyProtection="1">
      <alignment vertical="center"/>
      <protection hidden="1"/>
    </xf>
    <xf numFmtId="0" fontId="94" fillId="2" borderId="0" xfId="0" applyFont="1" applyFill="1" applyAlignment="1" applyProtection="1">
      <alignment horizontal="center" vertical="center"/>
      <protection hidden="1"/>
    </xf>
    <xf numFmtId="0" fontId="93" fillId="2" borderId="0" xfId="0" applyFont="1" applyFill="1" applyAlignment="1" applyProtection="1">
      <alignment horizontal="center" vertical="center"/>
      <protection hidden="1"/>
    </xf>
    <xf numFmtId="0" fontId="96" fillId="2" borderId="0" xfId="0" applyFont="1" applyFill="1" applyAlignment="1" applyProtection="1">
      <alignment horizontal="center" vertical="center"/>
      <protection hidden="1"/>
    </xf>
    <xf numFmtId="0" fontId="96" fillId="2" borderId="0" xfId="0" applyFont="1" applyFill="1" applyAlignment="1" applyProtection="1">
      <alignment horizontal="right" vertical="center"/>
      <protection hidden="1"/>
    </xf>
    <xf numFmtId="0" fontId="96" fillId="2" borderId="260" xfId="0" applyFont="1" applyFill="1" applyBorder="1" applyAlignment="1" applyProtection="1">
      <alignment horizontal="center" vertical="center"/>
      <protection hidden="1"/>
    </xf>
    <xf numFmtId="0" fontId="93" fillId="2" borderId="260" xfId="0" applyFont="1" applyFill="1" applyBorder="1" applyAlignment="1" applyProtection="1">
      <alignment horizontal="center" vertical="center"/>
      <protection hidden="1"/>
    </xf>
    <xf numFmtId="0" fontId="93" fillId="2" borderId="0" xfId="0" applyFont="1" applyFill="1" applyAlignment="1" applyProtection="1">
      <alignment horizontal="right" vertical="center"/>
      <protection hidden="1"/>
    </xf>
    <xf numFmtId="172" fontId="93" fillId="2" borderId="0" xfId="0" applyNumberFormat="1" applyFont="1" applyFill="1" applyAlignment="1" applyProtection="1">
      <alignment horizontal="center" vertical="center"/>
      <protection hidden="1"/>
    </xf>
    <xf numFmtId="0" fontId="92" fillId="2" borderId="0" xfId="0" applyFont="1" applyFill="1" applyProtection="1">
      <protection hidden="1"/>
    </xf>
    <xf numFmtId="0" fontId="96" fillId="2" borderId="279" xfId="0" applyFont="1" applyFill="1" applyBorder="1" applyAlignment="1" applyProtection="1">
      <alignment vertical="center"/>
      <protection hidden="1"/>
    </xf>
    <xf numFmtId="0" fontId="96" fillId="2" borderId="265" xfId="0" applyFont="1" applyFill="1" applyBorder="1" applyAlignment="1" applyProtection="1">
      <alignment horizontal="right" vertical="center"/>
      <protection hidden="1"/>
    </xf>
    <xf numFmtId="0" fontId="93" fillId="2" borderId="278" xfId="0" applyFont="1" applyFill="1" applyBorder="1" applyAlignment="1" applyProtection="1">
      <alignment vertical="center"/>
      <protection hidden="1"/>
    </xf>
    <xf numFmtId="0" fontId="104" fillId="2" borderId="0" xfId="0" applyFont="1" applyFill="1" applyProtection="1">
      <protection hidden="1"/>
    </xf>
    <xf numFmtId="0" fontId="96" fillId="2" borderId="261" xfId="0" applyFont="1" applyFill="1" applyBorder="1" applyAlignment="1" applyProtection="1">
      <alignment horizontal="right" vertical="center"/>
      <protection hidden="1"/>
    </xf>
    <xf numFmtId="0" fontId="93" fillId="2" borderId="270" xfId="0" applyFont="1" applyFill="1" applyBorder="1" applyAlignment="1" applyProtection="1">
      <alignment horizontal="center" vertical="center"/>
      <protection hidden="1"/>
    </xf>
    <xf numFmtId="0" fontId="93" fillId="2" borderId="280" xfId="0" applyFont="1" applyFill="1" applyBorder="1" applyAlignment="1" applyProtection="1">
      <alignment vertical="center"/>
      <protection hidden="1"/>
    </xf>
    <xf numFmtId="173" fontId="93" fillId="2" borderId="262" xfId="0" applyNumberFormat="1" applyFont="1" applyFill="1" applyBorder="1" applyAlignment="1" applyProtection="1">
      <alignment horizontal="center" vertical="center"/>
      <protection hidden="1"/>
    </xf>
    <xf numFmtId="172" fontId="93" fillId="2" borderId="262" xfId="0" applyNumberFormat="1" applyFont="1" applyFill="1" applyBorder="1" applyAlignment="1" applyProtection="1">
      <alignment horizontal="center" vertical="center"/>
      <protection hidden="1"/>
    </xf>
    <xf numFmtId="49" fontId="93" fillId="2" borderId="262" xfId="0" applyNumberFormat="1" applyFont="1" applyFill="1" applyBorder="1" applyAlignment="1" applyProtection="1">
      <alignment horizontal="center" vertical="center"/>
      <protection hidden="1"/>
    </xf>
    <xf numFmtId="0" fontId="106" fillId="2" borderId="260" xfId="0" applyFont="1" applyFill="1" applyBorder="1" applyAlignment="1" applyProtection="1">
      <alignment horizontal="center" vertical="center"/>
      <protection hidden="1"/>
    </xf>
    <xf numFmtId="0" fontId="107" fillId="2" borderId="260" xfId="0" applyFont="1" applyFill="1" applyBorder="1" applyAlignment="1" applyProtection="1">
      <alignment horizontal="center"/>
      <protection hidden="1"/>
    </xf>
    <xf numFmtId="167" fontId="92" fillId="2" borderId="252" xfId="0" applyNumberFormat="1" applyFont="1" applyFill="1" applyBorder="1" applyAlignment="1" applyProtection="1">
      <alignment horizontal="center" vertical="center"/>
      <protection hidden="1"/>
    </xf>
    <xf numFmtId="166" fontId="92" fillId="2" borderId="248" xfId="0" applyNumberFormat="1" applyFont="1" applyFill="1" applyBorder="1" applyAlignment="1" applyProtection="1">
      <alignment horizontal="right" vertical="center"/>
      <protection hidden="1"/>
    </xf>
    <xf numFmtId="0" fontId="92" fillId="2" borderId="248" xfId="0" applyFont="1" applyFill="1" applyBorder="1" applyProtection="1">
      <protection hidden="1"/>
    </xf>
    <xf numFmtId="0" fontId="92" fillId="2" borderId="252" xfId="0" applyFont="1" applyFill="1" applyBorder="1" applyProtection="1">
      <protection hidden="1"/>
    </xf>
    <xf numFmtId="0" fontId="94" fillId="2" borderId="252" xfId="0" applyFont="1" applyFill="1" applyBorder="1" applyProtection="1">
      <protection hidden="1"/>
    </xf>
    <xf numFmtId="0" fontId="92" fillId="2" borderId="271" xfId="0" applyFont="1" applyFill="1" applyBorder="1" applyProtection="1">
      <protection hidden="1"/>
    </xf>
    <xf numFmtId="166" fontId="92" fillId="2" borderId="256" xfId="0" applyNumberFormat="1" applyFont="1" applyFill="1" applyBorder="1" applyAlignment="1" applyProtection="1">
      <alignment vertical="center"/>
      <protection hidden="1"/>
    </xf>
    <xf numFmtId="0" fontId="92" fillId="2" borderId="281" xfId="0" applyFont="1" applyFill="1" applyBorder="1" applyProtection="1">
      <protection hidden="1"/>
    </xf>
    <xf numFmtId="0" fontId="96" fillId="2" borderId="268" xfId="0" applyFont="1" applyFill="1" applyBorder="1" applyAlignment="1" applyProtection="1">
      <alignment horizontal="center" vertical="center"/>
      <protection hidden="1"/>
    </xf>
    <xf numFmtId="166" fontId="103" fillId="2" borderId="268" xfId="0" applyNumberFormat="1" applyFont="1" applyFill="1" applyBorder="1" applyAlignment="1" applyProtection="1">
      <alignment horizontal="right" vertical="center"/>
      <protection hidden="1"/>
    </xf>
    <xf numFmtId="0" fontId="92" fillId="2" borderId="260" xfId="0" applyFont="1" applyFill="1" applyBorder="1" applyProtection="1">
      <protection hidden="1"/>
    </xf>
    <xf numFmtId="0" fontId="93" fillId="2" borderId="280" xfId="0" applyFont="1" applyFill="1" applyBorder="1" applyAlignment="1" applyProtection="1">
      <alignment horizontal="center" vertical="center"/>
      <protection hidden="1"/>
    </xf>
    <xf numFmtId="0" fontId="96" fillId="2" borderId="280" xfId="0" applyFont="1" applyFill="1" applyBorder="1" applyAlignment="1" applyProtection="1">
      <alignment horizontal="center" vertical="center"/>
      <protection hidden="1"/>
    </xf>
    <xf numFmtId="0" fontId="93" fillId="2" borderId="0" xfId="0" applyFont="1" applyFill="1" applyAlignment="1" applyProtection="1">
      <alignment horizontal="left" vertical="center"/>
      <protection hidden="1"/>
    </xf>
    <xf numFmtId="166" fontId="92" fillId="2" borderId="252" xfId="0" applyNumberFormat="1" applyFont="1" applyFill="1" applyBorder="1" applyAlignment="1" applyProtection="1">
      <alignment horizontal="right" vertical="center"/>
      <protection hidden="1"/>
    </xf>
    <xf numFmtId="166" fontId="93" fillId="2" borderId="252" xfId="0" applyNumberFormat="1" applyFont="1" applyFill="1" applyBorder="1" applyAlignment="1" applyProtection="1">
      <alignment vertical="center"/>
      <protection hidden="1"/>
    </xf>
    <xf numFmtId="166" fontId="93" fillId="2" borderId="256" xfId="0" applyNumberFormat="1" applyFont="1" applyFill="1" applyBorder="1" applyAlignment="1" applyProtection="1">
      <alignment vertical="center"/>
      <protection hidden="1"/>
    </xf>
    <xf numFmtId="166" fontId="103" fillId="2" borderId="260" xfId="0" applyNumberFormat="1" applyFont="1" applyFill="1" applyBorder="1" applyAlignment="1" applyProtection="1">
      <alignment horizontal="right" vertical="center"/>
      <protection hidden="1"/>
    </xf>
    <xf numFmtId="166" fontId="103" fillId="2" borderId="260" xfId="0" applyNumberFormat="1" applyFont="1" applyFill="1" applyBorder="1" applyProtection="1">
      <protection hidden="1"/>
    </xf>
    <xf numFmtId="0" fontId="96" fillId="2" borderId="0" xfId="0" applyFont="1" applyFill="1" applyProtection="1">
      <protection hidden="1"/>
    </xf>
    <xf numFmtId="0" fontId="92" fillId="2" borderId="254" xfId="0" applyFont="1" applyFill="1" applyBorder="1" applyProtection="1">
      <protection hidden="1"/>
    </xf>
    <xf numFmtId="0" fontId="93" fillId="2" borderId="0" xfId="0" applyFont="1" applyFill="1" applyProtection="1">
      <protection hidden="1"/>
    </xf>
    <xf numFmtId="0" fontId="99" fillId="2" borderId="0" xfId="0" applyFont="1" applyFill="1" applyProtection="1">
      <protection hidden="1"/>
    </xf>
    <xf numFmtId="0" fontId="96" fillId="2" borderId="0" xfId="0" applyFont="1" applyFill="1" applyAlignment="1" applyProtection="1">
      <alignment horizontal="right"/>
      <protection hidden="1"/>
    </xf>
    <xf numFmtId="0" fontId="101" fillId="2" borderId="0" xfId="0" applyFont="1" applyFill="1" applyAlignment="1" applyProtection="1">
      <alignment vertical="top"/>
      <protection hidden="1"/>
    </xf>
    <xf numFmtId="0" fontId="101" fillId="2" borderId="0" xfId="0" applyFont="1" applyFill="1" applyProtection="1">
      <protection hidden="1"/>
    </xf>
    <xf numFmtId="167" fontId="92" fillId="2" borderId="248" xfId="0" applyNumberFormat="1" applyFont="1" applyFill="1" applyBorder="1" applyAlignment="1" applyProtection="1">
      <alignment horizontal="center" vertical="center"/>
      <protection locked="0"/>
    </xf>
    <xf numFmtId="167" fontId="92" fillId="2" borderId="252" xfId="0" applyNumberFormat="1" applyFont="1" applyFill="1" applyBorder="1" applyAlignment="1" applyProtection="1">
      <alignment horizontal="center" vertical="center"/>
      <protection locked="0"/>
    </xf>
    <xf numFmtId="0" fontId="92" fillId="2" borderId="252" xfId="0" applyFont="1" applyFill="1" applyBorder="1" applyAlignment="1" applyProtection="1">
      <alignment vertical="center"/>
      <protection locked="0"/>
    </xf>
    <xf numFmtId="0" fontId="92" fillId="2" borderId="256" xfId="0" applyFont="1" applyFill="1" applyBorder="1" applyAlignment="1" applyProtection="1">
      <alignment vertical="center"/>
      <protection locked="0"/>
    </xf>
    <xf numFmtId="2" fontId="92" fillId="2" borderId="248" xfId="0" applyNumberFormat="1" applyFont="1" applyFill="1" applyBorder="1" applyAlignment="1" applyProtection="1">
      <alignment horizontal="center" vertical="center"/>
      <protection locked="0"/>
    </xf>
    <xf numFmtId="2" fontId="92" fillId="2" borderId="252" xfId="0" applyNumberFormat="1" applyFont="1" applyFill="1" applyBorder="1" applyAlignment="1" applyProtection="1">
      <alignment horizontal="center" vertical="center"/>
      <protection locked="0"/>
    </xf>
    <xf numFmtId="166" fontId="92" fillId="2" borderId="248" xfId="0" applyNumberFormat="1" applyFont="1" applyFill="1" applyBorder="1" applyAlignment="1" applyProtection="1">
      <alignment vertical="center"/>
      <protection locked="0"/>
    </xf>
    <xf numFmtId="166" fontId="92" fillId="2" borderId="252" xfId="0" applyNumberFormat="1" applyFont="1" applyFill="1" applyBorder="1" applyAlignment="1" applyProtection="1">
      <alignment vertical="center"/>
      <protection locked="0"/>
    </xf>
    <xf numFmtId="166" fontId="92" fillId="2" borderId="256" xfId="0" applyNumberFormat="1" applyFont="1" applyFill="1" applyBorder="1" applyAlignment="1" applyProtection="1">
      <alignment vertical="center"/>
      <protection locked="0"/>
    </xf>
    <xf numFmtId="0" fontId="92" fillId="2" borderId="248" xfId="0" applyFont="1" applyFill="1" applyBorder="1" applyAlignment="1" applyProtection="1">
      <alignment horizontal="left" vertical="center" shrinkToFit="1"/>
      <protection locked="0"/>
    </xf>
    <xf numFmtId="166" fontId="92" fillId="2" borderId="248" xfId="0" applyNumberFormat="1" applyFont="1" applyFill="1" applyBorder="1" applyAlignment="1" applyProtection="1">
      <alignment horizontal="center" vertical="center"/>
      <protection locked="0"/>
    </xf>
    <xf numFmtId="0" fontId="92" fillId="2" borderId="252" xfId="0" applyFont="1" applyFill="1" applyBorder="1" applyAlignment="1" applyProtection="1">
      <alignment horizontal="left" vertical="center" shrinkToFit="1"/>
      <protection locked="0"/>
    </xf>
    <xf numFmtId="166" fontId="92" fillId="2" borderId="252" xfId="0" applyNumberFormat="1" applyFont="1" applyFill="1" applyBorder="1" applyAlignment="1" applyProtection="1">
      <alignment horizontal="center" vertical="center"/>
      <protection locked="0"/>
    </xf>
    <xf numFmtId="0" fontId="92" fillId="2" borderId="271" xfId="0" applyFont="1" applyFill="1" applyBorder="1" applyAlignment="1" applyProtection="1">
      <alignment horizontal="left" vertical="center" shrinkToFit="1"/>
      <protection locked="0"/>
    </xf>
    <xf numFmtId="0" fontId="92" fillId="2" borderId="271" xfId="0" applyFont="1" applyFill="1" applyBorder="1" applyAlignment="1" applyProtection="1">
      <alignment vertical="center"/>
      <protection locked="0"/>
    </xf>
    <xf numFmtId="2" fontId="92" fillId="2" borderId="271" xfId="0" applyNumberFormat="1" applyFont="1" applyFill="1" applyBorder="1" applyAlignment="1" applyProtection="1">
      <alignment horizontal="center" vertical="center"/>
      <protection locked="0"/>
    </xf>
    <xf numFmtId="0" fontId="93" fillId="2" borderId="256" xfId="0" applyFont="1" applyFill="1" applyBorder="1" applyAlignment="1" applyProtection="1">
      <alignment vertical="center"/>
      <protection locked="0"/>
    </xf>
    <xf numFmtId="0" fontId="92" fillId="2" borderId="252" xfId="0" applyFont="1" applyFill="1" applyBorder="1" applyAlignment="1" applyProtection="1">
      <alignment vertical="center" shrinkToFit="1"/>
      <protection locked="0"/>
    </xf>
    <xf numFmtId="166" fontId="93" fillId="2" borderId="252" xfId="0" applyNumberFormat="1" applyFont="1" applyFill="1" applyBorder="1" applyAlignment="1" applyProtection="1">
      <alignment vertical="center"/>
      <protection locked="0"/>
    </xf>
    <xf numFmtId="166" fontId="93" fillId="2" borderId="256" xfId="0" applyNumberFormat="1" applyFont="1" applyFill="1" applyBorder="1" applyAlignment="1" applyProtection="1">
      <alignment vertical="center"/>
      <protection locked="0"/>
    </xf>
    <xf numFmtId="166" fontId="93" fillId="2" borderId="260" xfId="0" applyNumberFormat="1" applyFont="1" applyFill="1" applyBorder="1" applyAlignment="1" applyProtection="1">
      <alignment vertical="center"/>
      <protection locked="0"/>
    </xf>
    <xf numFmtId="166" fontId="96" fillId="2" borderId="260" xfId="0" applyNumberFormat="1" applyFont="1" applyFill="1" applyBorder="1" applyAlignment="1" applyProtection="1">
      <alignment vertical="center"/>
      <protection locked="0"/>
    </xf>
    <xf numFmtId="0" fontId="94" fillId="2" borderId="260" xfId="0" applyFont="1" applyFill="1" applyBorder="1" applyAlignment="1" applyProtection="1">
      <alignment horizontal="left" vertical="center"/>
    </xf>
    <xf numFmtId="0" fontId="93" fillId="2" borderId="275" xfId="0" applyFont="1" applyFill="1" applyBorder="1" applyAlignment="1" applyProtection="1">
      <alignment horizontal="left" vertical="center"/>
    </xf>
    <xf numFmtId="0" fontId="92" fillId="2" borderId="263" xfId="0" applyFont="1" applyFill="1" applyBorder="1" applyProtection="1"/>
    <xf numFmtId="0" fontId="92" fillId="2" borderId="264" xfId="0" applyFont="1" applyFill="1" applyBorder="1" applyProtection="1"/>
    <xf numFmtId="0" fontId="94" fillId="2" borderId="0" xfId="0" applyFont="1" applyFill="1" applyAlignment="1" applyProtection="1">
      <alignment horizontal="center" vertical="center" wrapText="1"/>
    </xf>
    <xf numFmtId="0" fontId="92" fillId="2" borderId="275" xfId="0" applyFont="1" applyFill="1" applyBorder="1" applyProtection="1"/>
    <xf numFmtId="0" fontId="93" fillId="2" borderId="263" xfId="0" applyFont="1" applyFill="1" applyBorder="1" applyProtection="1"/>
    <xf numFmtId="0" fontId="93" fillId="2" borderId="264" xfId="0" applyFont="1" applyFill="1" applyBorder="1" applyProtection="1"/>
    <xf numFmtId="0" fontId="96" fillId="2" borderId="263" xfId="0" applyFont="1" applyFill="1" applyBorder="1" applyAlignment="1" applyProtection="1">
      <alignment horizontal="left" vertical="center"/>
    </xf>
    <xf numFmtId="0" fontId="93" fillId="2" borderId="263" xfId="0" applyFont="1" applyFill="1" applyBorder="1" applyAlignment="1" applyProtection="1">
      <alignment horizontal="left" vertical="center"/>
    </xf>
    <xf numFmtId="0" fontId="94" fillId="2" borderId="263" xfId="0" applyFont="1" applyFill="1" applyBorder="1" applyAlignment="1" applyProtection="1">
      <alignment vertical="center"/>
    </xf>
    <xf numFmtId="0" fontId="94" fillId="2" borderId="264" xfId="0" applyFont="1" applyFill="1" applyBorder="1" applyAlignment="1" applyProtection="1">
      <alignment vertical="center"/>
    </xf>
    <xf numFmtId="0" fontId="103" fillId="2" borderId="0" xfId="0" applyFont="1" applyFill="1" applyAlignment="1" applyProtection="1">
      <alignment horizontal="left"/>
    </xf>
    <xf numFmtId="0" fontId="99" fillId="2" borderId="0" xfId="0" applyFont="1" applyFill="1" applyProtection="1"/>
    <xf numFmtId="0" fontId="93" fillId="2" borderId="263" xfId="0" applyFont="1" applyFill="1" applyBorder="1" applyAlignment="1" applyProtection="1">
      <alignment horizontal="center" vertical="center"/>
      <protection locked="0"/>
    </xf>
    <xf numFmtId="0" fontId="92" fillId="2" borderId="264" xfId="0" applyFont="1" applyFill="1" applyBorder="1" applyProtection="1">
      <protection locked="0"/>
    </xf>
    <xf numFmtId="0" fontId="92" fillId="2" borderId="275" xfId="0" applyFont="1" applyFill="1" applyBorder="1" applyProtection="1">
      <protection locked="0"/>
    </xf>
    <xf numFmtId="0" fontId="96" fillId="2" borderId="263" xfId="0" applyFont="1" applyFill="1" applyBorder="1" applyAlignment="1" applyProtection="1">
      <alignment vertical="center"/>
      <protection locked="0"/>
    </xf>
    <xf numFmtId="0" fontId="93" fillId="2" borderId="263" xfId="0" applyFont="1" applyFill="1" applyBorder="1" applyProtection="1">
      <protection locked="0"/>
    </xf>
    <xf numFmtId="0" fontId="93" fillId="2" borderId="263" xfId="0" applyFont="1" applyFill="1" applyBorder="1" applyAlignment="1" applyProtection="1">
      <alignment vertical="center"/>
      <protection locked="0"/>
    </xf>
    <xf numFmtId="0" fontId="93" fillId="2" borderId="264" xfId="0" applyFont="1" applyFill="1" applyBorder="1" applyProtection="1">
      <protection locked="0"/>
    </xf>
    <xf numFmtId="49" fontId="96" fillId="2" borderId="263" xfId="0" applyNumberFormat="1" applyFont="1" applyFill="1" applyBorder="1" applyAlignment="1" applyProtection="1">
      <alignment horizontal="left" vertical="center"/>
      <protection locked="0"/>
    </xf>
    <xf numFmtId="49" fontId="93" fillId="2" borderId="263" xfId="0" applyNumberFormat="1" applyFont="1" applyFill="1" applyBorder="1" applyAlignment="1" applyProtection="1">
      <alignment horizontal="center" vertical="center"/>
      <protection locked="0"/>
    </xf>
    <xf numFmtId="0" fontId="96" fillId="2" borderId="263" xfId="0" applyFont="1" applyFill="1" applyBorder="1" applyAlignment="1" applyProtection="1">
      <alignment horizontal="center" vertical="center"/>
      <protection locked="0"/>
    </xf>
    <xf numFmtId="0" fontId="96" fillId="2" borderId="263" xfId="0" applyFont="1" applyFill="1" applyBorder="1" applyAlignment="1" applyProtection="1">
      <alignment horizontal="left" vertical="center"/>
      <protection locked="0"/>
    </xf>
    <xf numFmtId="0" fontId="93" fillId="2" borderId="263" xfId="0" applyFont="1" applyFill="1" applyBorder="1" applyAlignment="1" applyProtection="1">
      <alignment horizontal="left" vertical="center"/>
      <protection locked="0"/>
    </xf>
    <xf numFmtId="3" fontId="94" fillId="2" borderId="263" xfId="0" applyNumberFormat="1" applyFont="1" applyFill="1" applyBorder="1" applyAlignment="1" applyProtection="1">
      <alignment horizontal="left" vertical="center"/>
      <protection locked="0"/>
    </xf>
    <xf numFmtId="3" fontId="104" fillId="2" borderId="263" xfId="0" applyNumberFormat="1" applyFont="1" applyFill="1" applyBorder="1" applyProtection="1">
      <protection locked="0"/>
    </xf>
    <xf numFmtId="4" fontId="104" fillId="2" borderId="263" xfId="0" applyNumberFormat="1" applyFont="1" applyFill="1" applyBorder="1" applyProtection="1">
      <protection locked="0"/>
    </xf>
    <xf numFmtId="0" fontId="92" fillId="9" borderId="0" xfId="0" applyFont="1" applyFill="1" applyProtection="1"/>
    <xf numFmtId="0" fontId="0" fillId="0" borderId="0" xfId="0" applyProtection="1"/>
    <xf numFmtId="0" fontId="94" fillId="2" borderId="248" xfId="0" applyFont="1" applyFill="1" applyBorder="1" applyAlignment="1" applyProtection="1">
      <alignment horizontal="left" vertical="center"/>
    </xf>
    <xf numFmtId="0" fontId="94" fillId="2" borderId="252" xfId="0" applyFont="1" applyFill="1" applyBorder="1" applyAlignment="1" applyProtection="1">
      <alignment horizontal="left" vertical="center"/>
    </xf>
    <xf numFmtId="0" fontId="94" fillId="2" borderId="256" xfId="0" applyFont="1" applyFill="1" applyBorder="1" applyAlignment="1" applyProtection="1">
      <alignment horizontal="left" vertical="center"/>
    </xf>
    <xf numFmtId="0" fontId="97" fillId="2" borderId="0" xfId="0" applyFont="1" applyFill="1" applyAlignment="1" applyProtection="1">
      <alignment vertical="center"/>
    </xf>
    <xf numFmtId="0" fontId="93" fillId="2" borderId="261" xfId="0" applyFont="1" applyFill="1" applyBorder="1" applyAlignment="1" applyProtection="1">
      <alignment horizontal="right" vertical="center"/>
    </xf>
    <xf numFmtId="174" fontId="93" fillId="2" borderId="0" xfId="0" applyNumberFormat="1" applyFont="1" applyFill="1" applyAlignment="1" applyProtection="1">
      <alignment horizontal="center" vertical="center"/>
    </xf>
    <xf numFmtId="0" fontId="93" fillId="2" borderId="261" xfId="0" applyFont="1" applyFill="1" applyBorder="1" applyAlignment="1" applyProtection="1">
      <alignment horizontal="left" vertical="center"/>
    </xf>
    <xf numFmtId="0" fontId="100" fillId="2" borderId="0" xfId="0" applyFont="1" applyFill="1" applyAlignment="1" applyProtection="1">
      <alignment vertical="center"/>
    </xf>
    <xf numFmtId="0" fontId="101" fillId="2" borderId="265" xfId="0" applyFont="1" applyFill="1" applyBorder="1" applyAlignment="1" applyProtection="1">
      <alignment horizontal="center"/>
    </xf>
    <xf numFmtId="0" fontId="101" fillId="2" borderId="262" xfId="0" applyFont="1" applyFill="1" applyBorder="1" applyAlignment="1" applyProtection="1">
      <alignment horizontal="center"/>
    </xf>
    <xf numFmtId="0" fontId="101" fillId="2" borderId="262" xfId="0" applyFont="1" applyFill="1" applyBorder="1" applyAlignment="1" applyProtection="1">
      <alignment horizontal="center" vertical="center" wrapText="1"/>
    </xf>
    <xf numFmtId="0" fontId="101" fillId="2" borderId="261" xfId="0" applyFont="1" applyFill="1" applyBorder="1" applyAlignment="1" applyProtection="1">
      <alignment horizontal="center"/>
    </xf>
    <xf numFmtId="0" fontId="101" fillId="2" borderId="266" xfId="0" applyFont="1" applyFill="1" applyBorder="1" applyAlignment="1" applyProtection="1">
      <alignment horizontal="center" vertical="center"/>
    </xf>
    <xf numFmtId="0" fontId="101" fillId="2" borderId="269" xfId="0" applyFont="1" applyFill="1" applyBorder="1" applyAlignment="1" applyProtection="1">
      <alignment horizontal="center" vertical="top"/>
    </xf>
    <xf numFmtId="0" fontId="101" fillId="2" borderId="268" xfId="0" applyFont="1" applyFill="1" applyBorder="1" applyAlignment="1" applyProtection="1">
      <alignment horizontal="center" vertical="center" wrapText="1"/>
    </xf>
    <xf numFmtId="0" fontId="93" fillId="2" borderId="268" xfId="0" applyFont="1" applyFill="1" applyBorder="1" applyAlignment="1" applyProtection="1">
      <alignment horizontal="center" vertical="center"/>
    </xf>
    <xf numFmtId="0" fontId="101" fillId="2" borderId="269" xfId="0" applyFont="1" applyFill="1" applyBorder="1" applyAlignment="1" applyProtection="1">
      <alignment vertical="center" wrapText="1"/>
    </xf>
    <xf numFmtId="0" fontId="101" fillId="2" borderId="268" xfId="0" applyFont="1" applyFill="1" applyBorder="1" applyAlignment="1" applyProtection="1">
      <alignment vertical="center"/>
    </xf>
    <xf numFmtId="169" fontId="94" fillId="2" borderId="272" xfId="0" applyNumberFormat="1" applyFont="1" applyFill="1" applyBorder="1" applyAlignment="1" applyProtection="1">
      <alignment vertical="center"/>
    </xf>
    <xf numFmtId="3" fontId="94" fillId="2" borderId="272" xfId="0" applyNumberFormat="1" applyFont="1" applyFill="1" applyBorder="1" applyAlignment="1" applyProtection="1">
      <alignment vertical="center"/>
    </xf>
    <xf numFmtId="169" fontId="92" fillId="2" borderId="272" xfId="0" applyNumberFormat="1" applyFont="1" applyFill="1" applyBorder="1" applyAlignment="1" applyProtection="1">
      <alignment vertical="center"/>
    </xf>
    <xf numFmtId="169" fontId="92" fillId="2" borderId="269" xfId="0" applyNumberFormat="1" applyFont="1" applyFill="1" applyBorder="1" applyAlignment="1" applyProtection="1">
      <alignment vertical="center"/>
    </xf>
    <xf numFmtId="3" fontId="103" fillId="2" borderId="260" xfId="0" applyNumberFormat="1" applyFont="1" applyFill="1" applyBorder="1" applyAlignment="1" applyProtection="1">
      <alignment horizontal="right" vertical="center"/>
    </xf>
    <xf numFmtId="3" fontId="103" fillId="2" borderId="276" xfId="0" applyNumberFormat="1" applyFont="1" applyFill="1" applyBorder="1" applyAlignment="1" applyProtection="1">
      <alignment horizontal="right" vertical="center"/>
    </xf>
    <xf numFmtId="2" fontId="103" fillId="2" borderId="277" xfId="0" applyNumberFormat="1" applyFont="1" applyFill="1" applyBorder="1" applyAlignment="1" applyProtection="1">
      <alignment horizontal="center" vertical="center"/>
    </xf>
    <xf numFmtId="3" fontId="103" fillId="2" borderId="264" xfId="0" applyNumberFormat="1" applyFont="1" applyFill="1" applyBorder="1" applyAlignment="1" applyProtection="1">
      <alignment horizontal="right" vertical="center"/>
    </xf>
    <xf numFmtId="0" fontId="103" fillId="2" borderId="264" xfId="0" applyFont="1" applyFill="1" applyBorder="1" applyAlignment="1" applyProtection="1">
      <alignment horizontal="right" vertical="center"/>
    </xf>
    <xf numFmtId="0" fontId="93" fillId="2" borderId="0" xfId="0" applyFont="1" applyFill="1" applyAlignment="1" applyProtection="1">
      <alignment horizontal="center" vertical="center" wrapText="1"/>
    </xf>
    <xf numFmtId="0" fontId="101" fillId="2" borderId="0" xfId="0" applyFont="1" applyFill="1" applyAlignment="1" applyProtection="1">
      <alignment vertical="center"/>
    </xf>
    <xf numFmtId="0" fontId="101" fillId="2" borderId="0" xfId="0" applyFont="1" applyFill="1" applyAlignment="1" applyProtection="1">
      <alignment horizontal="left" vertical="center"/>
    </xf>
    <xf numFmtId="0" fontId="94" fillId="2" borderId="278" xfId="0" applyFont="1" applyFill="1" applyBorder="1" applyAlignment="1" applyProtection="1">
      <alignment horizontal="center"/>
    </xf>
    <xf numFmtId="0" fontId="92" fillId="2" borderId="0" xfId="0" applyFont="1" applyFill="1" applyAlignment="1" applyProtection="1">
      <alignment horizontal="center"/>
    </xf>
    <xf numFmtId="0" fontId="93" fillId="2" borderId="275" xfId="0" applyFont="1" applyFill="1" applyBorder="1" applyProtection="1"/>
    <xf numFmtId="10" fontId="92" fillId="2" borderId="278" xfId="0" applyNumberFormat="1" applyFont="1" applyFill="1" applyBorder="1" applyAlignment="1" applyProtection="1">
      <alignment horizontal="center"/>
    </xf>
    <xf numFmtId="3" fontId="104" fillId="2" borderId="0" xfId="0" applyNumberFormat="1" applyFont="1" applyFill="1" applyAlignment="1" applyProtection="1">
      <alignment horizontal="center"/>
    </xf>
    <xf numFmtId="169" fontId="104" fillId="2" borderId="0" xfId="0" applyNumberFormat="1" applyFont="1" applyFill="1" applyAlignment="1" applyProtection="1">
      <alignment horizontal="center"/>
    </xf>
    <xf numFmtId="169" fontId="104" fillId="9" borderId="0" xfId="0" applyNumberFormat="1" applyFont="1" applyFill="1" applyProtection="1"/>
    <xf numFmtId="169" fontId="104" fillId="2" borderId="0" xfId="0" applyNumberFormat="1" applyFont="1" applyFill="1" applyAlignment="1" applyProtection="1">
      <alignment horizontal="right"/>
    </xf>
    <xf numFmtId="169" fontId="104" fillId="2" borderId="0" xfId="0" applyNumberFormat="1" applyFont="1" applyFill="1" applyAlignment="1" applyProtection="1">
      <alignment vertical="center"/>
    </xf>
    <xf numFmtId="0" fontId="101" fillId="2" borderId="0" xfId="0" applyFont="1" applyFill="1" applyAlignment="1" applyProtection="1">
      <alignment horizontal="right"/>
    </xf>
    <xf numFmtId="173" fontId="93" fillId="2" borderId="260" xfId="0" applyNumberFormat="1" applyFont="1" applyFill="1" applyBorder="1" applyAlignment="1" applyProtection="1">
      <alignment vertical="center"/>
      <protection locked="0"/>
    </xf>
    <xf numFmtId="174" fontId="93" fillId="2" borderId="260" xfId="0" applyNumberFormat="1" applyFont="1" applyFill="1" applyBorder="1" applyAlignment="1" applyProtection="1">
      <alignment horizontal="center" vertical="center"/>
      <protection locked="0"/>
    </xf>
    <xf numFmtId="167" fontId="93" fillId="2" borderId="260" xfId="0" applyNumberFormat="1" applyFont="1" applyFill="1" applyBorder="1" applyAlignment="1" applyProtection="1">
      <alignment horizontal="center" vertical="center"/>
      <protection locked="0"/>
    </xf>
    <xf numFmtId="0" fontId="94" fillId="2" borderId="271" xfId="0" applyFont="1" applyFill="1" applyBorder="1" applyAlignment="1" applyProtection="1">
      <alignment horizontal="center" vertical="center"/>
      <protection locked="0"/>
    </xf>
    <xf numFmtId="168" fontId="94" fillId="2" borderId="272" xfId="0" applyNumberFormat="1" applyFont="1" applyFill="1" applyBorder="1" applyAlignment="1" applyProtection="1">
      <alignment horizontal="center" vertical="center"/>
      <protection locked="0"/>
    </xf>
    <xf numFmtId="168" fontId="94" fillId="2" borderId="248" xfId="0" applyNumberFormat="1" applyFont="1" applyFill="1" applyBorder="1" applyAlignment="1" applyProtection="1">
      <alignment horizontal="center" vertical="center"/>
      <protection locked="0"/>
    </xf>
    <xf numFmtId="169" fontId="94" fillId="2" borderId="272" xfId="0" applyNumberFormat="1" applyFont="1" applyFill="1" applyBorder="1" applyAlignment="1" applyProtection="1">
      <alignment vertical="center"/>
      <protection locked="0"/>
    </xf>
    <xf numFmtId="0" fontId="94" fillId="2" borderId="272" xfId="0" applyFont="1" applyFill="1" applyBorder="1" applyAlignment="1" applyProtection="1">
      <alignment horizontal="center" vertical="center"/>
      <protection locked="0"/>
    </xf>
    <xf numFmtId="168" fontId="94" fillId="2" borderId="255" xfId="0" applyNumberFormat="1" applyFont="1" applyFill="1" applyBorder="1" applyAlignment="1" applyProtection="1">
      <alignment horizontal="center" vertical="center"/>
      <protection locked="0"/>
    </xf>
    <xf numFmtId="168" fontId="94" fillId="2" borderId="271" xfId="0" applyNumberFormat="1" applyFont="1" applyFill="1" applyBorder="1" applyAlignment="1" applyProtection="1">
      <alignment horizontal="center" vertical="center"/>
      <protection locked="0"/>
    </xf>
    <xf numFmtId="3" fontId="94" fillId="2" borderId="272" xfId="0" applyNumberFormat="1" applyFont="1" applyFill="1" applyBorder="1" applyAlignment="1" applyProtection="1">
      <alignment vertical="center"/>
      <protection locked="0"/>
    </xf>
    <xf numFmtId="3" fontId="94" fillId="2" borderId="274" xfId="0" applyNumberFormat="1" applyFont="1" applyFill="1" applyBorder="1" applyAlignment="1" applyProtection="1">
      <alignment vertical="center"/>
      <protection locked="0"/>
    </xf>
    <xf numFmtId="0" fontId="101" fillId="2" borderId="252" xfId="0" applyFont="1" applyFill="1" applyBorder="1" applyAlignment="1" applyProtection="1">
      <alignment horizontal="center" vertical="center"/>
      <protection locked="0"/>
    </xf>
    <xf numFmtId="168" fontId="101" fillId="2" borderId="255" xfId="0" applyNumberFormat="1" applyFont="1" applyFill="1" applyBorder="1" applyAlignment="1" applyProtection="1">
      <alignment horizontal="center" vertical="center" wrapText="1"/>
      <protection locked="0"/>
    </xf>
    <xf numFmtId="168" fontId="101" fillId="2" borderId="253" xfId="0" applyNumberFormat="1" applyFont="1" applyFill="1" applyBorder="1" applyAlignment="1" applyProtection="1">
      <alignment horizontal="center" vertical="center" wrapText="1"/>
      <protection locked="0"/>
    </xf>
    <xf numFmtId="169" fontId="101" fillId="2" borderId="252" xfId="0" applyNumberFormat="1" applyFont="1" applyFill="1" applyBorder="1" applyAlignment="1" applyProtection="1">
      <alignment horizontal="center" vertical="center"/>
      <protection locked="0"/>
    </xf>
    <xf numFmtId="0" fontId="101" fillId="2" borderId="255" xfId="0" applyFont="1" applyFill="1" applyBorder="1" applyAlignment="1" applyProtection="1">
      <alignment horizontal="center" vertical="center"/>
      <protection locked="0"/>
    </xf>
    <xf numFmtId="168" fontId="101" fillId="2" borderId="255" xfId="0" applyNumberFormat="1" applyFont="1" applyFill="1" applyBorder="1" applyAlignment="1" applyProtection="1">
      <alignment horizontal="center" vertical="center"/>
      <protection locked="0"/>
    </xf>
    <xf numFmtId="168" fontId="101" fillId="2" borderId="253" xfId="0" applyNumberFormat="1" applyFont="1" applyFill="1" applyBorder="1" applyAlignment="1" applyProtection="1">
      <alignment horizontal="center" vertical="center"/>
      <protection locked="0"/>
    </xf>
    <xf numFmtId="169" fontId="101" fillId="2" borderId="252" xfId="0" applyNumberFormat="1" applyFont="1" applyFill="1" applyBorder="1" applyAlignment="1" applyProtection="1">
      <alignment vertical="center"/>
      <protection locked="0"/>
    </xf>
    <xf numFmtId="0" fontId="101" fillId="2" borderId="256" xfId="0" applyFont="1" applyFill="1" applyBorder="1" applyAlignment="1" applyProtection="1">
      <alignment horizontal="center" vertical="center"/>
      <protection locked="0"/>
    </xf>
    <xf numFmtId="168" fontId="101" fillId="2" borderId="259" xfId="0" applyNumberFormat="1" applyFont="1" applyFill="1" applyBorder="1" applyAlignment="1" applyProtection="1">
      <alignment horizontal="center" vertical="center"/>
      <protection locked="0"/>
    </xf>
    <xf numFmtId="168" fontId="101" fillId="2" borderId="257" xfId="0" applyNumberFormat="1" applyFont="1" applyFill="1" applyBorder="1" applyAlignment="1" applyProtection="1">
      <alignment horizontal="center" vertical="center"/>
      <protection locked="0"/>
    </xf>
    <xf numFmtId="169" fontId="101" fillId="2" borderId="256" xfId="0" applyNumberFormat="1" applyFont="1" applyFill="1" applyBorder="1" applyAlignment="1" applyProtection="1">
      <alignment vertical="center"/>
      <protection locked="0"/>
    </xf>
    <xf numFmtId="0" fontId="101" fillId="2" borderId="259" xfId="0" applyFont="1" applyFill="1" applyBorder="1" applyAlignment="1" applyProtection="1">
      <alignment horizontal="center" vertical="center"/>
      <protection locked="0"/>
    </xf>
    <xf numFmtId="175" fontId="94" fillId="2" borderId="272" xfId="0" applyNumberFormat="1" applyFont="1" applyFill="1" applyBorder="1" applyAlignment="1" applyProtection="1">
      <alignment horizontal="center" vertical="center"/>
      <protection locked="0"/>
    </xf>
    <xf numFmtId="175" fontId="94" fillId="2" borderId="273" xfId="0" applyNumberFormat="1" applyFont="1" applyFill="1" applyBorder="1" applyAlignment="1" applyProtection="1">
      <alignment horizontal="center" vertical="center"/>
      <protection locked="0"/>
    </xf>
    <xf numFmtId="168" fontId="94" fillId="2" borderId="252" xfId="0" applyNumberFormat="1" applyFont="1" applyFill="1" applyBorder="1" applyAlignment="1" applyProtection="1">
      <alignment horizontal="center" vertical="center"/>
      <protection locked="0"/>
    </xf>
    <xf numFmtId="0" fontId="101" fillId="2" borderId="252" xfId="0" applyFont="1" applyFill="1" applyBorder="1" applyAlignment="1" applyProtection="1">
      <alignment horizontal="center" vertical="center" wrapText="1"/>
      <protection locked="0"/>
    </xf>
    <xf numFmtId="169" fontId="101" fillId="2" borderId="253" xfId="0" applyNumberFormat="1" applyFont="1" applyFill="1" applyBorder="1" applyAlignment="1" applyProtection="1">
      <alignment vertical="center"/>
      <protection locked="0"/>
    </xf>
    <xf numFmtId="2" fontId="101" fillId="2" borderId="252" xfId="0" applyNumberFormat="1" applyFont="1" applyFill="1" applyBorder="1" applyAlignment="1" applyProtection="1">
      <alignment vertical="center"/>
      <protection locked="0"/>
    </xf>
    <xf numFmtId="169" fontId="101" fillId="2" borderId="257" xfId="0" applyNumberFormat="1" applyFont="1" applyFill="1" applyBorder="1" applyAlignment="1" applyProtection="1">
      <alignment vertical="center"/>
      <protection locked="0"/>
    </xf>
    <xf numFmtId="2" fontId="101" fillId="2" borderId="256" xfId="0" applyNumberFormat="1" applyFont="1" applyFill="1" applyBorder="1" applyAlignment="1" applyProtection="1">
      <alignment vertical="center"/>
      <protection locked="0"/>
    </xf>
    <xf numFmtId="0" fontId="0" fillId="6" borderId="0" xfId="0" applyFill="1" applyProtection="1"/>
    <xf numFmtId="0" fontId="20" fillId="11" borderId="0" xfId="0" applyFont="1" applyFill="1" applyProtection="1"/>
    <xf numFmtId="0" fontId="0" fillId="11" borderId="0" xfId="0" applyFill="1" applyProtection="1"/>
    <xf numFmtId="0" fontId="117" fillId="11" borderId="0" xfId="0" applyFont="1" applyFill="1" applyProtection="1"/>
    <xf numFmtId="0" fontId="8" fillId="11" borderId="0" xfId="0" applyFont="1" applyFill="1" applyProtection="1"/>
    <xf numFmtId="0" fontId="118" fillId="11" borderId="0" xfId="0" applyFont="1" applyFill="1" applyAlignment="1" applyProtection="1">
      <alignment horizontal="left"/>
    </xf>
    <xf numFmtId="0" fontId="0" fillId="11" borderId="1" xfId="0" applyFill="1" applyBorder="1" applyProtection="1"/>
    <xf numFmtId="0" fontId="118" fillId="11" borderId="0" xfId="0" applyFont="1" applyFill="1" applyAlignment="1" applyProtection="1">
      <alignment horizontal="left" vertical="center"/>
    </xf>
    <xf numFmtId="0" fontId="3" fillId="0" borderId="1" xfId="0" applyFont="1" applyBorder="1" applyProtection="1"/>
    <xf numFmtId="167" fontId="0" fillId="11" borderId="0" xfId="0" applyNumberFormat="1" applyFill="1" applyProtection="1"/>
    <xf numFmtId="0" fontId="120" fillId="11" borderId="40" xfId="0" applyFont="1" applyFill="1" applyBorder="1" applyAlignment="1" applyProtection="1">
      <alignment vertical="center"/>
    </xf>
    <xf numFmtId="0" fontId="121" fillId="11" borderId="0" xfId="0" applyFont="1" applyFill="1" applyAlignment="1" applyProtection="1">
      <alignment horizontal="center"/>
    </xf>
    <xf numFmtId="180" fontId="0" fillId="11" borderId="0" xfId="0" applyNumberFormat="1" applyFill="1" applyProtection="1"/>
    <xf numFmtId="0" fontId="0" fillId="11" borderId="5" xfId="0" applyFill="1" applyBorder="1" applyProtection="1"/>
    <xf numFmtId="0" fontId="0" fillId="11" borderId="18" xfId="0" applyFill="1" applyBorder="1" applyProtection="1"/>
    <xf numFmtId="0" fontId="4" fillId="11" borderId="18" xfId="0" applyFont="1" applyFill="1" applyBorder="1" applyProtection="1"/>
    <xf numFmtId="0" fontId="117" fillId="11" borderId="5" xfId="0" applyFont="1" applyFill="1" applyBorder="1" applyProtection="1"/>
    <xf numFmtId="0" fontId="3" fillId="11" borderId="18" xfId="0" applyFont="1" applyFill="1" applyBorder="1" applyProtection="1"/>
    <xf numFmtId="166" fontId="0" fillId="11" borderId="18" xfId="0" applyNumberFormat="1" applyFill="1" applyBorder="1" applyProtection="1"/>
    <xf numFmtId="0" fontId="90" fillId="11" borderId="5" xfId="0" applyFont="1" applyFill="1" applyBorder="1" applyProtection="1"/>
    <xf numFmtId="0" fontId="0" fillId="11" borderId="5" xfId="0" applyFill="1" applyBorder="1" applyAlignment="1" applyProtection="1">
      <alignment horizontal="center"/>
    </xf>
    <xf numFmtId="0" fontId="3" fillId="6" borderId="2" xfId="0" applyFont="1" applyFill="1" applyBorder="1" applyProtection="1"/>
    <xf numFmtId="0" fontId="3" fillId="6" borderId="3" xfId="0" applyFont="1" applyFill="1" applyBorder="1" applyProtection="1"/>
    <xf numFmtId="0" fontId="3" fillId="6" borderId="4" xfId="0" applyFont="1" applyFill="1" applyBorder="1" applyProtection="1"/>
    <xf numFmtId="0" fontId="0" fillId="11" borderId="197" xfId="0" applyFill="1" applyBorder="1" applyProtection="1"/>
    <xf numFmtId="0" fontId="0" fillId="11" borderId="20" xfId="0" applyFill="1" applyBorder="1" applyProtection="1"/>
    <xf numFmtId="0" fontId="4" fillId="11" borderId="20" xfId="0" applyFont="1" applyFill="1" applyBorder="1" applyProtection="1"/>
    <xf numFmtId="0" fontId="117" fillId="11" borderId="197" xfId="0" applyFont="1" applyFill="1" applyBorder="1" applyProtection="1"/>
    <xf numFmtId="0" fontId="3" fillId="11" borderId="20" xfId="0" applyFont="1" applyFill="1" applyBorder="1" applyProtection="1"/>
    <xf numFmtId="166" fontId="0" fillId="11" borderId="20" xfId="0" applyNumberFormat="1" applyFill="1" applyBorder="1" applyProtection="1"/>
    <xf numFmtId="0" fontId="90" fillId="11" borderId="197" xfId="0" applyFont="1" applyFill="1" applyBorder="1" applyProtection="1"/>
    <xf numFmtId="0" fontId="0" fillId="11" borderId="197" xfId="0" applyFill="1" applyBorder="1" applyAlignment="1" applyProtection="1">
      <alignment horizontal="center"/>
    </xf>
    <xf numFmtId="0" fontId="3" fillId="6" borderId="1" xfId="0" applyFont="1" applyFill="1" applyBorder="1" applyProtection="1"/>
    <xf numFmtId="1" fontId="0" fillId="11" borderId="1" xfId="0" applyNumberFormat="1" applyFill="1" applyBorder="1" applyProtection="1"/>
    <xf numFmtId="1" fontId="0" fillId="0" borderId="1" xfId="0" applyNumberFormat="1" applyBorder="1" applyProtection="1"/>
    <xf numFmtId="1" fontId="3" fillId="6" borderId="1" xfId="0" applyNumberFormat="1" applyFont="1" applyFill="1" applyBorder="1" applyProtection="1"/>
    <xf numFmtId="0" fontId="3" fillId="11" borderId="3" xfId="0" applyFont="1" applyFill="1" applyBorder="1" applyProtection="1"/>
    <xf numFmtId="1" fontId="0" fillId="11" borderId="3" xfId="0" applyNumberFormat="1" applyFill="1" applyBorder="1" applyProtection="1"/>
    <xf numFmtId="180" fontId="3" fillId="11" borderId="3" xfId="0" applyNumberFormat="1" applyFont="1" applyFill="1" applyBorder="1" applyProtection="1"/>
    <xf numFmtId="2" fontId="0" fillId="11" borderId="3" xfId="0" applyNumberFormat="1" applyFill="1" applyBorder="1" applyProtection="1"/>
    <xf numFmtId="166" fontId="0" fillId="11" borderId="3" xfId="0" applyNumberFormat="1" applyFill="1" applyBorder="1" applyProtection="1"/>
    <xf numFmtId="1" fontId="3" fillId="6" borderId="1" xfId="0" applyNumberFormat="1" applyFont="1" applyFill="1" applyBorder="1" applyAlignment="1" applyProtection="1">
      <alignment shrinkToFit="1"/>
    </xf>
    <xf numFmtId="0" fontId="0" fillId="11" borderId="2" xfId="0" applyFill="1" applyBorder="1" applyProtection="1"/>
    <xf numFmtId="0" fontId="0" fillId="11" borderId="3" xfId="0" applyFill="1" applyBorder="1" applyProtection="1"/>
    <xf numFmtId="0" fontId="0" fillId="11" borderId="4" xfId="0" applyFill="1" applyBorder="1" applyProtection="1"/>
    <xf numFmtId="0" fontId="3" fillId="11" borderId="2" xfId="0" applyFont="1" applyFill="1" applyBorder="1" applyProtection="1"/>
    <xf numFmtId="2" fontId="0" fillId="11" borderId="4" xfId="0" applyNumberFormat="1" applyFill="1" applyBorder="1" applyProtection="1"/>
    <xf numFmtId="1" fontId="0" fillId="11" borderId="40" xfId="0" applyNumberFormat="1" applyFill="1" applyBorder="1" applyProtection="1"/>
    <xf numFmtId="0" fontId="12" fillId="11" borderId="22" xfId="0" applyFont="1" applyFill="1" applyBorder="1" applyProtection="1"/>
    <xf numFmtId="0" fontId="12" fillId="0" borderId="22" xfId="0" applyFont="1" applyBorder="1" applyProtection="1"/>
    <xf numFmtId="0" fontId="8" fillId="0" borderId="0" xfId="0" applyFont="1" applyProtection="1"/>
    <xf numFmtId="180" fontId="0" fillId="0" borderId="0" xfId="0" applyNumberFormat="1" applyProtection="1"/>
    <xf numFmtId="0" fontId="0" fillId="3" borderId="0" xfId="0" applyFill="1" applyProtection="1"/>
    <xf numFmtId="0" fontId="8" fillId="3" borderId="0" xfId="0" applyFont="1" applyFill="1" applyProtection="1"/>
    <xf numFmtId="180" fontId="0" fillId="3" borderId="0" xfId="0" applyNumberFormat="1" applyFill="1" applyProtection="1"/>
    <xf numFmtId="0" fontId="3" fillId="12" borderId="1" xfId="0" applyFont="1" applyFill="1" applyBorder="1" applyAlignment="1" applyProtection="1">
      <alignment horizontal="left"/>
      <protection locked="0"/>
    </xf>
    <xf numFmtId="0" fontId="3" fillId="12" borderId="5" xfId="0" applyFont="1" applyFill="1" applyBorder="1" applyAlignment="1" applyProtection="1">
      <alignment horizontal="center"/>
      <protection locked="0"/>
    </xf>
    <xf numFmtId="166" fontId="0" fillId="12" borderId="1" xfId="0" applyNumberFormat="1" applyFill="1" applyBorder="1" applyAlignment="1" applyProtection="1">
      <alignment horizontal="center"/>
      <protection locked="0"/>
    </xf>
    <xf numFmtId="166" fontId="3" fillId="12" borderId="4" xfId="0" applyNumberFormat="1" applyFont="1" applyFill="1" applyBorder="1" applyAlignment="1" applyProtection="1">
      <alignment horizontal="center"/>
      <protection locked="0"/>
    </xf>
    <xf numFmtId="1" fontId="0" fillId="12" borderId="1" xfId="0" applyNumberFormat="1" applyFill="1" applyBorder="1" applyProtection="1">
      <protection locked="0"/>
    </xf>
    <xf numFmtId="166" fontId="3" fillId="12" borderId="4" xfId="0" applyNumberFormat="1" applyFont="1" applyFill="1" applyBorder="1" applyProtection="1"/>
    <xf numFmtId="166" fontId="0" fillId="12" borderId="1" xfId="0" applyNumberFormat="1" applyFill="1" applyBorder="1" applyProtection="1">
      <protection locked="0"/>
    </xf>
    <xf numFmtId="0" fontId="3" fillId="12" borderId="1" xfId="0" applyFont="1" applyFill="1" applyBorder="1" applyAlignment="1" applyProtection="1">
      <alignment horizontal="center"/>
      <protection locked="0"/>
    </xf>
    <xf numFmtId="2" fontId="116" fillId="12" borderId="1" xfId="0" applyNumberFormat="1" applyFont="1" applyFill="1" applyBorder="1" applyProtection="1">
      <protection locked="0"/>
    </xf>
    <xf numFmtId="0" fontId="94" fillId="2" borderId="272" xfId="0" applyFont="1" applyFill="1" applyBorder="1" applyAlignment="1" applyProtection="1">
      <alignment horizontal="center" vertical="center"/>
      <protection hidden="1"/>
    </xf>
    <xf numFmtId="4" fontId="94" fillId="2" borderId="272" xfId="0" applyNumberFormat="1" applyFont="1" applyFill="1" applyBorder="1" applyAlignment="1" applyProtection="1">
      <alignment vertical="center"/>
      <protection hidden="1"/>
    </xf>
    <xf numFmtId="167" fontId="94" fillId="2" borderId="272" xfId="0" applyNumberFormat="1" applyFont="1" applyFill="1" applyBorder="1" applyAlignment="1" applyProtection="1">
      <alignment horizontal="center" vertical="center"/>
      <protection hidden="1"/>
    </xf>
    <xf numFmtId="3" fontId="94" fillId="2" borderId="272" xfId="0" applyNumberFormat="1" applyFont="1" applyFill="1" applyBorder="1" applyAlignment="1" applyProtection="1">
      <alignment horizontal="right" vertical="center"/>
      <protection hidden="1"/>
    </xf>
    <xf numFmtId="0" fontId="92" fillId="9" borderId="260" xfId="0" applyFont="1" applyFill="1" applyBorder="1" applyProtection="1"/>
    <xf numFmtId="1" fontId="92" fillId="9" borderId="260" xfId="0" applyNumberFormat="1" applyFont="1" applyFill="1" applyBorder="1" applyProtection="1"/>
    <xf numFmtId="168" fontId="92" fillId="9" borderId="260" xfId="0" applyNumberFormat="1" applyFont="1" applyFill="1" applyBorder="1" applyProtection="1"/>
    <xf numFmtId="4" fontId="92" fillId="9" borderId="0" xfId="0" applyNumberFormat="1" applyFont="1" applyFill="1" applyProtection="1"/>
    <xf numFmtId="10" fontId="92" fillId="9" borderId="0" xfId="0" applyNumberFormat="1" applyFont="1" applyFill="1" applyProtection="1"/>
    <xf numFmtId="1" fontId="27" fillId="3" borderId="146" xfId="0" applyNumberFormat="1" applyFont="1" applyFill="1" applyBorder="1" applyAlignment="1">
      <alignment horizontal="center" vertical="center"/>
    </xf>
    <xf numFmtId="0" fontId="0" fillId="2" borderId="0" xfId="0" applyFill="1" applyProtection="1"/>
    <xf numFmtId="0" fontId="93" fillId="2" borderId="0" xfId="0" applyFont="1" applyFill="1" applyAlignment="1" applyProtection="1">
      <alignment horizontal="left" vertical="center"/>
    </xf>
    <xf numFmtId="0" fontId="93" fillId="2" borderId="0" xfId="0" applyFont="1" applyFill="1" applyAlignment="1" applyProtection="1">
      <alignment horizontal="center" vertical="center"/>
    </xf>
    <xf numFmtId="0" fontId="101" fillId="2" borderId="262" xfId="0" applyFont="1" applyFill="1" applyBorder="1" applyAlignment="1" applyProtection="1">
      <alignment horizontal="center" vertical="center" wrapText="1"/>
    </xf>
    <xf numFmtId="0" fontId="94" fillId="2" borderId="275" xfId="0" applyFont="1" applyFill="1" applyBorder="1" applyAlignment="1" applyProtection="1">
      <alignment horizontal="center"/>
    </xf>
    <xf numFmtId="169" fontId="104" fillId="2" borderId="275" xfId="0" applyNumberFormat="1" applyFont="1" applyFill="1" applyBorder="1" applyAlignment="1" applyProtection="1">
      <alignment horizontal="center"/>
    </xf>
    <xf numFmtId="3" fontId="104" fillId="2" borderId="275" xfId="0" applyNumberFormat="1" applyFont="1" applyFill="1" applyBorder="1" applyAlignment="1" applyProtection="1">
      <alignment horizontal="center"/>
    </xf>
    <xf numFmtId="0" fontId="0" fillId="3" borderId="0" xfId="0" applyFill="1"/>
    <xf numFmtId="166" fontId="122" fillId="12" borderId="4" xfId="0" applyNumberFormat="1" applyFont="1" applyFill="1" applyBorder="1" applyProtection="1"/>
    <xf numFmtId="1" fontId="123" fillId="12" borderId="1" xfId="0" applyNumberFormat="1" applyFont="1" applyFill="1" applyBorder="1" applyProtection="1"/>
    <xf numFmtId="166" fontId="12" fillId="2" borderId="1" xfId="6" applyNumberFormat="1" applyFont="1" applyFill="1" applyBorder="1" applyAlignment="1">
      <alignment horizontal="center" wrapText="1"/>
    </xf>
    <xf numFmtId="166" fontId="93" fillId="2" borderId="271" xfId="0" applyNumberFormat="1" applyFont="1" applyFill="1" applyBorder="1" applyAlignment="1" applyProtection="1">
      <alignment horizontal="center" vertical="center"/>
      <protection locked="0"/>
    </xf>
    <xf numFmtId="168" fontId="93" fillId="2" borderId="255" xfId="0" applyNumberFormat="1" applyFont="1" applyFill="1" applyBorder="1" applyAlignment="1" applyProtection="1">
      <alignment horizontal="center" vertical="center"/>
      <protection locked="0"/>
    </xf>
    <xf numFmtId="168" fontId="93" fillId="2" borderId="271" xfId="0" applyNumberFormat="1" applyFont="1" applyFill="1" applyBorder="1" applyAlignment="1" applyProtection="1">
      <alignment horizontal="center" vertical="center"/>
      <protection locked="0"/>
    </xf>
    <xf numFmtId="168" fontId="93" fillId="2" borderId="255" xfId="0" applyNumberFormat="1" applyFont="1" applyFill="1" applyBorder="1" applyAlignment="1" applyProtection="1">
      <alignment horizontal="center" vertical="center" wrapText="1"/>
      <protection locked="0"/>
    </xf>
    <xf numFmtId="168" fontId="93" fillId="2" borderId="253" xfId="0" applyNumberFormat="1" applyFont="1" applyFill="1" applyBorder="1" applyAlignment="1" applyProtection="1">
      <alignment horizontal="center" vertical="center" wrapText="1"/>
      <protection locked="0"/>
    </xf>
    <xf numFmtId="168" fontId="93" fillId="2" borderId="253" xfId="0" applyNumberFormat="1" applyFont="1" applyFill="1" applyBorder="1" applyAlignment="1" applyProtection="1">
      <alignment horizontal="center" vertical="center"/>
      <protection locked="0"/>
    </xf>
    <xf numFmtId="177" fontId="94" fillId="2" borderId="272" xfId="0" applyNumberFormat="1" applyFont="1" applyFill="1" applyBorder="1" applyAlignment="1" applyProtection="1">
      <alignment horizontal="center" vertical="center"/>
      <protection hidden="1"/>
    </xf>
    <xf numFmtId="0" fontId="3" fillId="2" borderId="0" xfId="7" applyFill="1"/>
    <xf numFmtId="9" fontId="124" fillId="2" borderId="0" xfId="7" applyNumberFormat="1" applyFont="1" applyFill="1" applyAlignment="1">
      <alignment horizontal="center"/>
    </xf>
    <xf numFmtId="0" fontId="3" fillId="2" borderId="0" xfId="7" applyFill="1" applyAlignment="1">
      <alignment vertical="center"/>
    </xf>
    <xf numFmtId="0" fontId="12" fillId="2" borderId="0" xfId="7" applyFont="1" applyFill="1" applyAlignment="1">
      <alignment horizontal="right"/>
    </xf>
    <xf numFmtId="0" fontId="12" fillId="2" borderId="0" xfId="7" applyFont="1" applyFill="1" applyAlignment="1">
      <alignment horizontal="center" vertical="center"/>
    </xf>
    <xf numFmtId="0" fontId="11" fillId="2" borderId="0" xfId="7" applyFont="1" applyFill="1"/>
    <xf numFmtId="0" fontId="124" fillId="2" borderId="0" xfId="7" applyFont="1" applyFill="1" applyAlignment="1">
      <alignment horizontal="center"/>
    </xf>
    <xf numFmtId="0" fontId="125" fillId="2" borderId="0" xfId="7" applyFont="1" applyFill="1"/>
    <xf numFmtId="0" fontId="3" fillId="2" borderId="0" xfId="7" applyFill="1" applyAlignment="1">
      <alignment horizontal="center"/>
    </xf>
    <xf numFmtId="0" fontId="3" fillId="2" borderId="283" xfId="7" applyFill="1" applyBorder="1"/>
    <xf numFmtId="0" fontId="3" fillId="2" borderId="0" xfId="7" quotePrefix="1" applyFill="1"/>
    <xf numFmtId="0" fontId="4" fillId="2" borderId="284" xfId="7" applyFont="1" applyFill="1" applyBorder="1"/>
    <xf numFmtId="0" fontId="3" fillId="2" borderId="285" xfId="7" applyFill="1" applyBorder="1"/>
    <xf numFmtId="0" fontId="4" fillId="2" borderId="285" xfId="7" applyFont="1" applyFill="1" applyBorder="1"/>
    <xf numFmtId="0" fontId="4" fillId="2" borderId="287" xfId="7" applyFont="1" applyFill="1" applyBorder="1"/>
    <xf numFmtId="0" fontId="4" fillId="2" borderId="289" xfId="7" applyFont="1" applyFill="1" applyBorder="1"/>
    <xf numFmtId="0" fontId="4" fillId="2" borderId="291" xfId="7" applyFont="1" applyFill="1" applyBorder="1"/>
    <xf numFmtId="0" fontId="4" fillId="2" borderId="283" xfId="7" applyFont="1" applyFill="1" applyBorder="1"/>
    <xf numFmtId="0" fontId="127" fillId="2" borderId="283" xfId="7" applyFont="1" applyFill="1" applyBorder="1"/>
    <xf numFmtId="0" fontId="3" fillId="2" borderId="40" xfId="7" applyFill="1" applyBorder="1"/>
    <xf numFmtId="0" fontId="3" fillId="2" borderId="20" xfId="7" applyFill="1" applyBorder="1"/>
    <xf numFmtId="0" fontId="4" fillId="2" borderId="40" xfId="7" applyFont="1" applyFill="1" applyBorder="1"/>
    <xf numFmtId="0" fontId="4" fillId="2" borderId="295" xfId="7" applyFont="1" applyFill="1" applyBorder="1"/>
    <xf numFmtId="0" fontId="4" fillId="2" borderId="294" xfId="7" applyFont="1" applyFill="1" applyBorder="1"/>
    <xf numFmtId="0" fontId="3" fillId="2" borderId="298" xfId="7" applyFill="1" applyBorder="1"/>
    <xf numFmtId="0" fontId="3" fillId="2" borderId="299" xfId="7" applyFill="1" applyBorder="1"/>
    <xf numFmtId="0" fontId="4" fillId="2" borderId="298" xfId="7" applyFont="1" applyFill="1" applyBorder="1"/>
    <xf numFmtId="0" fontId="3" fillId="2" borderId="292" xfId="7" applyFill="1" applyBorder="1"/>
    <xf numFmtId="0" fontId="3" fillId="2" borderId="284" xfId="7" applyFill="1" applyBorder="1"/>
    <xf numFmtId="0" fontId="3" fillId="2" borderId="286" xfId="7" applyFill="1" applyBorder="1"/>
    <xf numFmtId="0" fontId="3" fillId="2" borderId="289" xfId="7" applyFill="1" applyBorder="1"/>
    <xf numFmtId="0" fontId="3" fillId="2" borderId="290" xfId="7" applyFill="1" applyBorder="1"/>
    <xf numFmtId="0" fontId="4" fillId="2" borderId="291" xfId="7" applyFont="1" applyFill="1" applyBorder="1" applyAlignment="1">
      <alignment horizontal="center"/>
    </xf>
    <xf numFmtId="0" fontId="4" fillId="2" borderId="303" xfId="7" applyFont="1" applyFill="1" applyBorder="1"/>
    <xf numFmtId="0" fontId="2" fillId="2" borderId="304" xfId="7" applyFont="1" applyFill="1" applyBorder="1"/>
    <xf numFmtId="0" fontId="2" fillId="2" borderId="294" xfId="7" applyFont="1" applyFill="1" applyBorder="1"/>
    <xf numFmtId="0" fontId="2" fillId="2" borderId="305" xfId="7" applyFont="1" applyFill="1" applyBorder="1"/>
    <xf numFmtId="0" fontId="128" fillId="2" borderId="295" xfId="7" applyFont="1" applyFill="1" applyBorder="1" applyAlignment="1" applyProtection="1">
      <alignment horizontal="center"/>
      <protection locked="0"/>
    </xf>
    <xf numFmtId="0" fontId="128" fillId="2" borderId="306" xfId="7" applyFont="1" applyFill="1" applyBorder="1" applyAlignment="1" applyProtection="1">
      <alignment horizontal="center"/>
      <protection locked="0"/>
    </xf>
    <xf numFmtId="0" fontId="2" fillId="2" borderId="307" xfId="7" applyFont="1" applyFill="1" applyBorder="1"/>
    <xf numFmtId="0" fontId="2" fillId="2" borderId="3" xfId="7" applyFont="1" applyFill="1" applyBorder="1"/>
    <xf numFmtId="0" fontId="2" fillId="2" borderId="4" xfId="7" applyFont="1" applyFill="1" applyBorder="1"/>
    <xf numFmtId="2" fontId="128" fillId="2" borderId="2" xfId="7" applyNumberFormat="1" applyFont="1" applyFill="1" applyBorder="1" applyAlignment="1" applyProtection="1">
      <alignment horizontal="center"/>
      <protection locked="0"/>
    </xf>
    <xf numFmtId="2" fontId="128" fillId="2" borderId="1" xfId="7" applyNumberFormat="1" applyFont="1" applyFill="1" applyBorder="1" applyAlignment="1" applyProtection="1">
      <alignment horizontal="center"/>
      <protection locked="0"/>
    </xf>
    <xf numFmtId="0" fontId="129" fillId="2" borderId="0" xfId="7" applyFont="1" applyFill="1" applyAlignment="1">
      <alignment horizontal="center"/>
    </xf>
    <xf numFmtId="0" fontId="130" fillId="2" borderId="0" xfId="7" applyFont="1" applyFill="1" applyAlignment="1">
      <alignment horizontal="center"/>
    </xf>
    <xf numFmtId="3" fontId="4" fillId="2" borderId="1" xfId="7" applyNumberFormat="1" applyFont="1" applyFill="1" applyBorder="1" applyAlignment="1">
      <alignment horizontal="center"/>
    </xf>
    <xf numFmtId="168" fontId="131" fillId="2" borderId="0" xfId="7" applyNumberFormat="1" applyFont="1" applyFill="1" applyAlignment="1">
      <alignment horizontal="center" vertical="center"/>
    </xf>
    <xf numFmtId="0" fontId="3" fillId="2" borderId="2" xfId="7" applyFill="1" applyBorder="1" applyAlignment="1">
      <alignment horizontal="center"/>
    </xf>
    <xf numFmtId="0" fontId="3" fillId="2" borderId="1" xfId="7" applyFill="1" applyBorder="1" applyAlignment="1">
      <alignment horizontal="center"/>
    </xf>
    <xf numFmtId="0" fontId="129" fillId="2" borderId="0" xfId="7" applyFont="1" applyFill="1"/>
    <xf numFmtId="1" fontId="3" fillId="2" borderId="2" xfId="7" applyNumberFormat="1" applyFill="1" applyBorder="1" applyAlignment="1">
      <alignment horizontal="center"/>
    </xf>
    <xf numFmtId="1" fontId="3" fillId="2" borderId="1" xfId="7" applyNumberFormat="1" applyFill="1" applyBorder="1" applyAlignment="1">
      <alignment horizontal="center"/>
    </xf>
    <xf numFmtId="167" fontId="3" fillId="2" borderId="0" xfId="7" applyNumberFormat="1" applyFill="1"/>
    <xf numFmtId="1" fontId="124" fillId="2" borderId="2" xfId="7" applyNumberFormat="1" applyFont="1" applyFill="1" applyBorder="1" applyAlignment="1">
      <alignment horizontal="center"/>
    </xf>
    <xf numFmtId="1" fontId="124" fillId="2" borderId="1" xfId="7" applyNumberFormat="1" applyFont="1" applyFill="1" applyBorder="1" applyAlignment="1">
      <alignment horizontal="center"/>
    </xf>
    <xf numFmtId="3" fontId="124" fillId="2" borderId="2" xfId="7" applyNumberFormat="1" applyFont="1" applyFill="1" applyBorder="1" applyAlignment="1">
      <alignment horizontal="center"/>
    </xf>
    <xf numFmtId="3" fontId="124" fillId="2" borderId="1" xfId="7" applyNumberFormat="1" applyFont="1" applyFill="1" applyBorder="1" applyAlignment="1">
      <alignment horizontal="center"/>
    </xf>
    <xf numFmtId="0" fontId="132" fillId="2" borderId="0" xfId="7" applyFont="1" applyFill="1"/>
    <xf numFmtId="169" fontId="3" fillId="2" borderId="2" xfId="7" applyNumberFormat="1" applyFill="1" applyBorder="1" applyAlignment="1">
      <alignment horizontal="right"/>
    </xf>
    <xf numFmtId="169" fontId="3" fillId="2" borderId="1" xfId="7" applyNumberFormat="1" applyFill="1" applyBorder="1" applyAlignment="1">
      <alignment horizontal="right"/>
    </xf>
    <xf numFmtId="0" fontId="3" fillId="2" borderId="17" xfId="7" applyFill="1" applyBorder="1"/>
    <xf numFmtId="181" fontId="131" fillId="2" borderId="22" xfId="7" applyNumberFormat="1" applyFont="1" applyFill="1" applyBorder="1" applyAlignment="1">
      <alignment horizontal="center" vertical="center"/>
    </xf>
    <xf numFmtId="168" fontId="131" fillId="2" borderId="18" xfId="7" applyNumberFormat="1" applyFont="1" applyFill="1" applyBorder="1" applyAlignment="1">
      <alignment horizontal="center" vertical="center"/>
    </xf>
    <xf numFmtId="179" fontId="3" fillId="2" borderId="2" xfId="7" applyNumberFormat="1" applyFill="1" applyBorder="1" applyAlignment="1">
      <alignment horizontal="right"/>
    </xf>
    <xf numFmtId="179" fontId="3" fillId="2" borderId="1" xfId="7" applyNumberFormat="1" applyFill="1" applyBorder="1" applyAlignment="1">
      <alignment horizontal="right"/>
    </xf>
    <xf numFmtId="0" fontId="3" fillId="2" borderId="31" xfId="7" applyFill="1" applyBorder="1" applyAlignment="1">
      <alignment horizontal="right"/>
    </xf>
    <xf numFmtId="168" fontId="129" fillId="2" borderId="0" xfId="7" applyNumberFormat="1" applyFont="1" applyFill="1"/>
    <xf numFmtId="0" fontId="129" fillId="2" borderId="32" xfId="7" applyFont="1" applyFill="1" applyBorder="1"/>
    <xf numFmtId="169" fontId="124" fillId="2" borderId="2" xfId="7" applyNumberFormat="1" applyFont="1" applyFill="1" applyBorder="1" applyAlignment="1">
      <alignment horizontal="right"/>
    </xf>
    <xf numFmtId="169" fontId="124" fillId="2" borderId="1" xfId="7" applyNumberFormat="1" applyFont="1" applyFill="1" applyBorder="1" applyAlignment="1">
      <alignment horizontal="right"/>
    </xf>
    <xf numFmtId="168" fontId="3" fillId="2" borderId="0" xfId="7" applyNumberFormat="1" applyFill="1"/>
    <xf numFmtId="177" fontId="129" fillId="2" borderId="32" xfId="7" applyNumberFormat="1" applyFont="1" applyFill="1" applyBorder="1"/>
    <xf numFmtId="168" fontId="3" fillId="2" borderId="0" xfId="7" applyNumberFormat="1" applyFill="1" applyAlignment="1">
      <alignment horizontal="center" vertical="center"/>
    </xf>
    <xf numFmtId="167" fontId="132" fillId="2" borderId="2" xfId="7" applyNumberFormat="1" applyFont="1" applyFill="1" applyBorder="1" applyAlignment="1">
      <alignment horizontal="right"/>
    </xf>
    <xf numFmtId="167" fontId="132" fillId="2" borderId="1" xfId="7" applyNumberFormat="1" applyFont="1" applyFill="1" applyBorder="1" applyAlignment="1">
      <alignment horizontal="right"/>
    </xf>
    <xf numFmtId="0" fontId="3" fillId="2" borderId="31" xfId="7" applyFill="1" applyBorder="1"/>
    <xf numFmtId="0" fontId="3" fillId="2" borderId="32" xfId="7" applyFill="1" applyBorder="1"/>
    <xf numFmtId="0" fontId="3" fillId="2" borderId="19" xfId="7" applyFill="1" applyBorder="1" applyAlignment="1">
      <alignment horizontal="right"/>
    </xf>
    <xf numFmtId="179" fontId="3" fillId="2" borderId="20" xfId="7" applyNumberFormat="1" applyFill="1" applyBorder="1"/>
    <xf numFmtId="169" fontId="133" fillId="2" borderId="2" xfId="7" applyNumberFormat="1" applyFont="1" applyFill="1" applyBorder="1" applyAlignment="1">
      <alignment horizontal="right"/>
    </xf>
    <xf numFmtId="169" fontId="133" fillId="2" borderId="1" xfId="7" applyNumberFormat="1" applyFont="1" applyFill="1" applyBorder="1" applyAlignment="1">
      <alignment horizontal="right"/>
    </xf>
    <xf numFmtId="166" fontId="124" fillId="2" borderId="2" xfId="7" applyNumberFormat="1" applyFont="1" applyFill="1" applyBorder="1" applyAlignment="1">
      <alignment horizontal="right"/>
    </xf>
    <xf numFmtId="0" fontId="124" fillId="2" borderId="1" xfId="7" applyFont="1" applyFill="1" applyBorder="1" applyAlignment="1">
      <alignment horizontal="right"/>
    </xf>
    <xf numFmtId="166" fontId="124" fillId="2" borderId="1" xfId="7" applyNumberFormat="1" applyFont="1" applyFill="1" applyBorder="1" applyAlignment="1">
      <alignment horizontal="right"/>
    </xf>
    <xf numFmtId="179" fontId="129" fillId="2" borderId="32" xfId="7" applyNumberFormat="1" applyFont="1" applyFill="1" applyBorder="1"/>
    <xf numFmtId="179" fontId="132" fillId="2" borderId="2" xfId="7" applyNumberFormat="1" applyFont="1" applyFill="1" applyBorder="1" applyAlignment="1">
      <alignment horizontal="right"/>
    </xf>
    <xf numFmtId="179" fontId="132" fillId="2" borderId="1" xfId="7" applyNumberFormat="1" applyFont="1" applyFill="1" applyBorder="1" applyAlignment="1">
      <alignment horizontal="right"/>
    </xf>
    <xf numFmtId="0" fontId="2" fillId="2" borderId="297" xfId="7" applyFont="1" applyFill="1" applyBorder="1"/>
    <xf numFmtId="0" fontId="2" fillId="2" borderId="298" xfId="7" applyFont="1" applyFill="1" applyBorder="1"/>
    <xf numFmtId="0" fontId="2" fillId="2" borderId="299" xfId="7" applyFont="1" applyFill="1" applyBorder="1"/>
    <xf numFmtId="0" fontId="2" fillId="2" borderId="284" xfId="7" applyFont="1" applyFill="1" applyBorder="1"/>
    <xf numFmtId="0" fontId="2" fillId="2" borderId="285" xfId="7" applyFont="1" applyFill="1" applyBorder="1"/>
    <xf numFmtId="0" fontId="2" fillId="2" borderId="286" xfId="7" applyFont="1" applyFill="1" applyBorder="1"/>
    <xf numFmtId="0" fontId="3" fillId="2" borderId="31" xfId="7" applyFill="1" applyBorder="1" applyAlignment="1">
      <alignment horizontal="center"/>
    </xf>
    <xf numFmtId="0" fontId="2" fillId="2" borderId="58" xfId="7" applyFont="1" applyFill="1" applyBorder="1"/>
    <xf numFmtId="0" fontId="2" fillId="2" borderId="43" xfId="7" applyFont="1" applyFill="1" applyBorder="1"/>
    <xf numFmtId="0" fontId="2" fillId="2" borderId="95" xfId="7" applyFont="1" applyFill="1" applyBorder="1"/>
    <xf numFmtId="0" fontId="4" fillId="2" borderId="43" xfId="7" applyFont="1" applyFill="1" applyBorder="1"/>
    <xf numFmtId="0" fontId="4" fillId="2" borderId="95" xfId="7" applyFont="1" applyFill="1" applyBorder="1"/>
    <xf numFmtId="169" fontId="108" fillId="2" borderId="43" xfId="7" applyNumberFormat="1" applyFont="1" applyFill="1" applyBorder="1" applyAlignment="1">
      <alignment horizontal="right"/>
    </xf>
    <xf numFmtId="0" fontId="4" fillId="2" borderId="309" xfId="7" applyFont="1" applyFill="1" applyBorder="1" applyAlignment="1">
      <alignment horizontal="left"/>
    </xf>
    <xf numFmtId="0" fontId="2" fillId="2" borderId="310" xfId="7" applyFont="1" applyFill="1" applyBorder="1"/>
    <xf numFmtId="0" fontId="4" fillId="2" borderId="3" xfId="7" applyFont="1" applyFill="1" applyBorder="1"/>
    <xf numFmtId="0" fontId="4" fillId="2" borderId="4" xfId="7" applyFont="1" applyFill="1" applyBorder="1"/>
    <xf numFmtId="169" fontId="108" fillId="2" borderId="22" xfId="7" applyNumberFormat="1" applyFont="1" applyFill="1" applyBorder="1" applyAlignment="1">
      <alignment horizontal="right"/>
    </xf>
    <xf numFmtId="0" fontId="4" fillId="2" borderId="132" xfId="7" applyFont="1" applyFill="1" applyBorder="1" applyAlignment="1">
      <alignment horizontal="left"/>
    </xf>
    <xf numFmtId="0" fontId="2" fillId="2" borderId="33" xfId="7" applyFont="1" applyFill="1" applyBorder="1"/>
    <xf numFmtId="0" fontId="2" fillId="2" borderId="60" xfId="7" applyFont="1" applyFill="1" applyBorder="1"/>
    <xf numFmtId="0" fontId="2" fillId="2" borderId="118" xfId="7" applyFont="1" applyFill="1" applyBorder="1"/>
    <xf numFmtId="166" fontId="3" fillId="2" borderId="0" xfId="7" applyNumberFormat="1" applyFill="1"/>
    <xf numFmtId="0" fontId="2" fillId="2" borderId="0" xfId="7" applyFont="1" applyFill="1"/>
    <xf numFmtId="0" fontId="135" fillId="2" borderId="284" xfId="7" applyFont="1" applyFill="1" applyBorder="1" applyAlignment="1" applyProtection="1">
      <alignment horizontal="center"/>
      <protection locked="0"/>
    </xf>
    <xf numFmtId="0" fontId="135" fillId="2" borderId="285" xfId="7" applyFont="1" applyFill="1" applyBorder="1" applyAlignment="1" applyProtection="1">
      <alignment horizontal="center"/>
      <protection locked="0"/>
    </xf>
    <xf numFmtId="0" fontId="128" fillId="2" borderId="2" xfId="7" applyFont="1" applyFill="1" applyBorder="1" applyAlignment="1" applyProtection="1">
      <alignment horizontal="center"/>
      <protection locked="0"/>
    </xf>
    <xf numFmtId="0" fontId="128" fillId="2" borderId="1" xfId="7" applyFont="1" applyFill="1" applyBorder="1" applyAlignment="1" applyProtection="1">
      <alignment horizontal="center"/>
      <protection locked="0"/>
    </xf>
    <xf numFmtId="181" fontId="131" fillId="2" borderId="0" xfId="7" applyNumberFormat="1" applyFont="1" applyFill="1" applyAlignment="1">
      <alignment horizontal="center" vertical="center"/>
    </xf>
    <xf numFmtId="166" fontId="3" fillId="2" borderId="2" xfId="7" applyNumberFormat="1" applyFill="1" applyBorder="1" applyAlignment="1">
      <alignment horizontal="center"/>
    </xf>
    <xf numFmtId="166" fontId="3" fillId="2" borderId="1" xfId="7" applyNumberFormat="1" applyFill="1" applyBorder="1"/>
    <xf numFmtId="166" fontId="124" fillId="2" borderId="2" xfId="7" applyNumberFormat="1" applyFont="1" applyFill="1" applyBorder="1" applyAlignment="1">
      <alignment horizontal="center"/>
    </xf>
    <xf numFmtId="166" fontId="124" fillId="2" borderId="306" xfId="7" applyNumberFormat="1" applyFont="1" applyFill="1" applyBorder="1"/>
    <xf numFmtId="167" fontId="132" fillId="2" borderId="2" xfId="7" applyNumberFormat="1" applyFont="1" applyFill="1" applyBorder="1"/>
    <xf numFmtId="167" fontId="132" fillId="2" borderId="1" xfId="7" applyNumberFormat="1" applyFont="1" applyFill="1" applyBorder="1"/>
    <xf numFmtId="166" fontId="124" fillId="2" borderId="1" xfId="7" applyNumberFormat="1" applyFont="1" applyFill="1" applyBorder="1"/>
    <xf numFmtId="0" fontId="133" fillId="2" borderId="2" xfId="7" applyFont="1" applyFill="1" applyBorder="1" applyAlignment="1">
      <alignment horizontal="center"/>
    </xf>
    <xf numFmtId="0" fontId="133" fillId="2" borderId="1" xfId="7" applyFont="1" applyFill="1" applyBorder="1"/>
    <xf numFmtId="181" fontId="131" fillId="2" borderId="17" xfId="7" applyNumberFormat="1" applyFont="1" applyFill="1" applyBorder="1" applyAlignment="1">
      <alignment horizontal="center" vertical="center"/>
    </xf>
    <xf numFmtId="169" fontId="124" fillId="2" borderId="2" xfId="7" applyNumberFormat="1" applyFont="1" applyFill="1" applyBorder="1" applyAlignment="1">
      <alignment horizontal="center"/>
    </xf>
    <xf numFmtId="169" fontId="124" fillId="2" borderId="1" xfId="7" applyNumberFormat="1" applyFont="1" applyFill="1" applyBorder="1"/>
    <xf numFmtId="168" fontId="3" fillId="2" borderId="31" xfId="7" applyNumberFormat="1" applyFill="1" applyBorder="1"/>
    <xf numFmtId="0" fontId="3" fillId="2" borderId="19" xfId="7" applyFill="1" applyBorder="1"/>
    <xf numFmtId="166" fontId="108" fillId="2" borderId="59" xfId="7" applyNumberFormat="1" applyFont="1" applyFill="1" applyBorder="1" applyAlignment="1">
      <alignment horizontal="right"/>
    </xf>
    <xf numFmtId="166" fontId="108" fillId="2" borderId="17" xfId="7" applyNumberFormat="1" applyFont="1" applyFill="1" applyBorder="1" applyAlignment="1">
      <alignment horizontal="right"/>
    </xf>
    <xf numFmtId="0" fontId="4" fillId="2" borderId="0" xfId="7" applyFont="1" applyFill="1"/>
    <xf numFmtId="0" fontId="136" fillId="2" borderId="0" xfId="8" applyFill="1"/>
    <xf numFmtId="0" fontId="137" fillId="2" borderId="0" xfId="8" applyFont="1" applyFill="1"/>
    <xf numFmtId="0" fontId="138" fillId="2" borderId="0" xfId="8" applyFont="1" applyFill="1"/>
    <xf numFmtId="2" fontId="138" fillId="13" borderId="1" xfId="8" applyNumberFormat="1" applyFont="1" applyFill="1" applyBorder="1" applyAlignment="1">
      <alignment horizontal="center"/>
    </xf>
    <xf numFmtId="167" fontId="138" fillId="14" borderId="1" xfId="8" applyNumberFormat="1" applyFont="1" applyFill="1" applyBorder="1" applyAlignment="1">
      <alignment horizontal="center"/>
    </xf>
    <xf numFmtId="0" fontId="0" fillId="13" borderId="0" xfId="0" applyFill="1"/>
    <xf numFmtId="0" fontId="0" fillId="15" borderId="0" xfId="0" applyFill="1"/>
    <xf numFmtId="2" fontId="136" fillId="2" borderId="0" xfId="8" applyNumberFormat="1" applyFill="1"/>
    <xf numFmtId="167" fontId="136" fillId="2" borderId="0" xfId="8" applyNumberFormat="1" applyFill="1"/>
    <xf numFmtId="177" fontId="136" fillId="2" borderId="0" xfId="8" applyNumberFormat="1" applyFill="1"/>
    <xf numFmtId="2" fontId="138" fillId="2" borderId="1" xfId="8" applyNumberFormat="1" applyFont="1" applyFill="1" applyBorder="1" applyAlignment="1">
      <alignment horizontal="center" vertical="center"/>
    </xf>
    <xf numFmtId="167" fontId="138" fillId="2" borderId="1" xfId="8" applyNumberFormat="1" applyFont="1" applyFill="1" applyBorder="1" applyAlignment="1">
      <alignment horizontal="center" vertical="center"/>
    </xf>
    <xf numFmtId="0" fontId="0" fillId="16" borderId="0" xfId="0" applyFill="1" applyProtection="1"/>
    <xf numFmtId="0" fontId="99" fillId="2" borderId="0" xfId="0" applyFont="1" applyFill="1" applyBorder="1" applyProtection="1"/>
    <xf numFmtId="0" fontId="92" fillId="2" borderId="0" xfId="0" applyFont="1" applyFill="1" applyBorder="1" applyProtection="1"/>
    <xf numFmtId="0" fontId="0" fillId="2" borderId="0" xfId="0" applyFill="1" applyBorder="1" applyProtection="1"/>
    <xf numFmtId="14" fontId="0" fillId="16" borderId="0" xfId="0" applyNumberFormat="1" applyFill="1" applyProtection="1"/>
    <xf numFmtId="166" fontId="85" fillId="4" borderId="224" xfId="0" applyNumberFormat="1" applyFont="1" applyFill="1" applyBorder="1" applyAlignment="1" applyProtection="1">
      <alignment horizontal="center"/>
      <protection locked="0"/>
    </xf>
    <xf numFmtId="166" fontId="85" fillId="4" borderId="225" xfId="0" applyNumberFormat="1" applyFont="1" applyFill="1" applyBorder="1" applyAlignment="1" applyProtection="1">
      <alignment horizontal="center"/>
      <protection locked="0"/>
    </xf>
    <xf numFmtId="166" fontId="33" fillId="3" borderId="170" xfId="0" applyNumberFormat="1" applyFont="1" applyFill="1" applyBorder="1" applyAlignment="1" applyProtection="1">
      <alignment horizontal="right"/>
      <protection locked="0"/>
    </xf>
    <xf numFmtId="166" fontId="33" fillId="3" borderId="172" xfId="0" applyNumberFormat="1" applyFont="1" applyFill="1" applyBorder="1" applyAlignment="1" applyProtection="1">
      <alignment horizontal="right"/>
      <protection locked="0"/>
    </xf>
    <xf numFmtId="0" fontId="3" fillId="3" borderId="0" xfId="0" applyFont="1" applyFill="1" applyAlignment="1">
      <alignment horizontal="center"/>
    </xf>
    <xf numFmtId="4" fontId="90" fillId="3" borderId="19" xfId="0" applyNumberFormat="1" applyFont="1" applyFill="1" applyBorder="1" applyAlignment="1" applyProtection="1">
      <alignment horizontal="center"/>
      <protection hidden="1"/>
    </xf>
    <xf numFmtId="0" fontId="90" fillId="3" borderId="20" xfId="0" applyFont="1" applyFill="1" applyBorder="1" applyAlignment="1" applyProtection="1">
      <alignment horizontal="center"/>
      <protection hidden="1"/>
    </xf>
    <xf numFmtId="0" fontId="3" fillId="3" borderId="17" xfId="0" applyFont="1" applyFill="1" applyBorder="1" applyAlignment="1" applyProtection="1">
      <alignment horizontal="center"/>
      <protection hidden="1"/>
    </xf>
    <xf numFmtId="0" fontId="3" fillId="3" borderId="18" xfId="0" applyFont="1" applyFill="1" applyBorder="1" applyAlignment="1" applyProtection="1">
      <alignment horizontal="center"/>
      <protection hidden="1"/>
    </xf>
    <xf numFmtId="0" fontId="26" fillId="3" borderId="17" xfId="0" applyFont="1" applyFill="1" applyBorder="1" applyAlignment="1">
      <alignment horizontal="right"/>
    </xf>
    <xf numFmtId="0" fontId="26" fillId="3" borderId="22" xfId="0" applyFont="1" applyFill="1" applyBorder="1" applyAlignment="1">
      <alignment horizontal="right"/>
    </xf>
    <xf numFmtId="4" fontId="27" fillId="3" borderId="40" xfId="0" applyNumberFormat="1" applyFont="1" applyFill="1" applyBorder="1" applyAlignment="1">
      <alignment horizontal="center"/>
    </xf>
    <xf numFmtId="4" fontId="27" fillId="3" borderId="22" xfId="0" applyNumberFormat="1" applyFont="1" applyFill="1" applyBorder="1" applyAlignment="1">
      <alignment horizontal="center"/>
    </xf>
    <xf numFmtId="0" fontId="28" fillId="3" borderId="0" xfId="0" applyFont="1" applyFill="1" applyBorder="1" applyAlignment="1">
      <alignment horizontal="center"/>
    </xf>
    <xf numFmtId="0" fontId="28" fillId="3" borderId="0" xfId="0" applyFont="1" applyFill="1" applyAlignment="1">
      <alignment horizontal="center"/>
    </xf>
    <xf numFmtId="0" fontId="28" fillId="3" borderId="179" xfId="0" applyFont="1" applyFill="1" applyBorder="1" applyAlignment="1">
      <alignment horizontal="left"/>
    </xf>
    <xf numFmtId="0" fontId="28" fillId="3" borderId="180" xfId="0" applyFont="1" applyFill="1" applyBorder="1" applyAlignment="1">
      <alignment horizontal="left"/>
    </xf>
    <xf numFmtId="0" fontId="83" fillId="3" borderId="0" xfId="0" applyFont="1" applyFill="1" applyAlignment="1">
      <alignment horizontal="left"/>
    </xf>
    <xf numFmtId="4" fontId="84" fillId="3" borderId="0" xfId="0" applyNumberFormat="1" applyFont="1" applyFill="1" applyAlignment="1">
      <alignment horizontal="center"/>
    </xf>
    <xf numFmtId="0" fontId="84" fillId="3" borderId="0" xfId="0" applyFont="1" applyFill="1" applyAlignment="1">
      <alignment horizontal="center"/>
    </xf>
    <xf numFmtId="0" fontId="83" fillId="3" borderId="5" xfId="0" applyFont="1" applyFill="1" applyBorder="1" applyAlignment="1">
      <alignment horizontal="center"/>
    </xf>
    <xf numFmtId="166" fontId="90" fillId="3" borderId="2" xfId="0" applyNumberFormat="1" applyFont="1" applyFill="1" applyBorder="1" applyAlignment="1" applyProtection="1">
      <alignment horizontal="center"/>
      <protection hidden="1"/>
    </xf>
    <xf numFmtId="166" fontId="90" fillId="3" borderId="4" xfId="0" applyNumberFormat="1" applyFont="1" applyFill="1" applyBorder="1" applyAlignment="1" applyProtection="1">
      <alignment horizontal="center"/>
      <protection hidden="1"/>
    </xf>
    <xf numFmtId="170" fontId="28" fillId="3" borderId="190" xfId="0" applyNumberFormat="1" applyFont="1" applyFill="1" applyBorder="1" applyAlignment="1" applyProtection="1">
      <alignment horizontal="center"/>
      <protection locked="0"/>
    </xf>
    <xf numFmtId="170" fontId="28" fillId="3" borderId="191" xfId="0" applyNumberFormat="1" applyFont="1" applyFill="1" applyBorder="1" applyAlignment="1" applyProtection="1">
      <alignment horizontal="center"/>
      <protection locked="0"/>
    </xf>
    <xf numFmtId="169" fontId="65" fillId="3" borderId="229" xfId="0" applyNumberFormat="1" applyFont="1" applyFill="1" applyBorder="1" applyAlignment="1">
      <alignment horizontal="right" shrinkToFit="1"/>
    </xf>
    <xf numFmtId="169" fontId="65" fillId="3" borderId="230" xfId="0" applyNumberFormat="1" applyFont="1" applyFill="1" applyBorder="1" applyAlignment="1">
      <alignment horizontal="right" shrinkToFit="1"/>
    </xf>
    <xf numFmtId="0" fontId="83" fillId="3" borderId="1" xfId="0" applyFont="1" applyFill="1" applyBorder="1" applyAlignment="1">
      <alignment horizontal="left"/>
    </xf>
    <xf numFmtId="0" fontId="83" fillId="3" borderId="2" xfId="0" applyFont="1" applyFill="1" applyBorder="1" applyAlignment="1">
      <alignment horizontal="left"/>
    </xf>
    <xf numFmtId="2" fontId="86" fillId="4" borderId="154" xfId="0" applyNumberFormat="1" applyFont="1" applyFill="1" applyBorder="1" applyAlignment="1" applyProtection="1">
      <alignment horizontal="center"/>
      <protection locked="0"/>
    </xf>
    <xf numFmtId="2" fontId="86" fillId="4" borderId="152" xfId="0" applyNumberFormat="1" applyFont="1" applyFill="1" applyBorder="1" applyAlignment="1" applyProtection="1">
      <alignment horizontal="center"/>
      <protection locked="0"/>
    </xf>
    <xf numFmtId="169" fontId="33" fillId="3" borderId="170" xfId="0" applyNumberFormat="1" applyFont="1" applyFill="1" applyBorder="1" applyAlignment="1" applyProtection="1">
      <alignment horizontal="left" vertical="center"/>
      <protection locked="0"/>
    </xf>
    <xf numFmtId="169" fontId="33" fillId="3" borderId="171" xfId="0" applyNumberFormat="1" applyFont="1" applyFill="1" applyBorder="1" applyAlignment="1" applyProtection="1">
      <alignment horizontal="left" vertical="center"/>
      <protection locked="0"/>
    </xf>
    <xf numFmtId="169" fontId="33" fillId="3" borderId="172" xfId="0" applyNumberFormat="1" applyFont="1" applyFill="1" applyBorder="1" applyAlignment="1" applyProtection="1">
      <alignment horizontal="left" vertical="center"/>
      <protection locked="0"/>
    </xf>
    <xf numFmtId="0" fontId="42" fillId="3" borderId="172" xfId="0" applyFont="1" applyFill="1" applyBorder="1" applyAlignment="1" applyProtection="1">
      <alignment horizontal="right"/>
      <protection locked="0"/>
    </xf>
    <xf numFmtId="0" fontId="28" fillId="3" borderId="31" xfId="0" applyFont="1" applyFill="1" applyBorder="1" applyAlignment="1">
      <alignment horizontal="right"/>
    </xf>
    <xf numFmtId="0" fontId="28" fillId="3" borderId="0" xfId="0" applyFont="1" applyFill="1" applyAlignment="1">
      <alignment horizontal="right"/>
    </xf>
    <xf numFmtId="2" fontId="41" fillId="3" borderId="170" xfId="0" applyNumberFormat="1" applyFont="1" applyFill="1" applyBorder="1" applyAlignment="1" applyProtection="1">
      <alignment horizontal="right"/>
      <protection locked="0"/>
    </xf>
    <xf numFmtId="2" fontId="41" fillId="3" borderId="172" xfId="0" applyNumberFormat="1" applyFont="1" applyFill="1" applyBorder="1" applyAlignment="1" applyProtection="1">
      <alignment horizontal="right"/>
      <protection locked="0"/>
    </xf>
    <xf numFmtId="0" fontId="27" fillId="3" borderId="0" xfId="0" applyFont="1" applyFill="1" applyAlignment="1">
      <alignment horizontal="right"/>
    </xf>
    <xf numFmtId="0" fontId="26" fillId="3" borderId="0" xfId="0" applyFont="1" applyFill="1" applyAlignment="1">
      <alignment horizontal="right"/>
    </xf>
    <xf numFmtId="0" fontId="26" fillId="3" borderId="19" xfId="0" applyFont="1" applyFill="1" applyBorder="1" applyAlignment="1">
      <alignment horizontal="right"/>
    </xf>
    <xf numFmtId="0" fontId="26" fillId="3" borderId="40" xfId="0" applyFont="1" applyFill="1" applyBorder="1" applyAlignment="1">
      <alignment horizontal="right"/>
    </xf>
    <xf numFmtId="4" fontId="41" fillId="3" borderId="179" xfId="0" applyNumberFormat="1" applyFont="1" applyFill="1" applyBorder="1" applyAlignment="1" applyProtection="1">
      <alignment horizontal="right"/>
      <protection locked="0"/>
    </xf>
    <xf numFmtId="4" fontId="41" fillId="3" borderId="180" xfId="0" applyNumberFormat="1" applyFont="1" applyFill="1" applyBorder="1" applyAlignment="1" applyProtection="1">
      <alignment horizontal="right"/>
      <protection locked="0"/>
    </xf>
    <xf numFmtId="2" fontId="41" fillId="3" borderId="170" xfId="0" applyNumberFormat="1" applyFont="1" applyFill="1" applyBorder="1" applyAlignment="1" applyProtection="1">
      <alignment horizontal="right" vertical="center"/>
      <protection locked="0"/>
    </xf>
    <xf numFmtId="2" fontId="41" fillId="3" borderId="172" xfId="0" applyNumberFormat="1" applyFont="1" applyFill="1" applyBorder="1" applyAlignment="1" applyProtection="1">
      <alignment horizontal="right" vertical="center"/>
      <protection locked="0"/>
    </xf>
    <xf numFmtId="0" fontId="46" fillId="3" borderId="31" xfId="0" applyFont="1" applyFill="1" applyBorder="1" applyAlignment="1">
      <alignment horizontal="left" wrapText="1"/>
    </xf>
    <xf numFmtId="0" fontId="46" fillId="3" borderId="0" xfId="0" applyFont="1" applyFill="1" applyAlignment="1">
      <alignment horizontal="left" wrapText="1"/>
    </xf>
    <xf numFmtId="166" fontId="33" fillId="3" borderId="170" xfId="0" applyNumberFormat="1" applyFont="1" applyFill="1" applyBorder="1" applyAlignment="1" applyProtection="1">
      <alignment horizontal="left" vertical="center"/>
      <protection locked="0"/>
    </xf>
    <xf numFmtId="166" fontId="33" fillId="3" borderId="171" xfId="0" applyNumberFormat="1" applyFont="1" applyFill="1" applyBorder="1" applyAlignment="1" applyProtection="1">
      <alignment horizontal="left" vertical="center"/>
      <protection locked="0"/>
    </xf>
    <xf numFmtId="166" fontId="33" fillId="3" borderId="172" xfId="0" applyNumberFormat="1" applyFont="1" applyFill="1" applyBorder="1" applyAlignment="1" applyProtection="1">
      <alignment horizontal="left" vertical="center"/>
      <protection locked="0"/>
    </xf>
    <xf numFmtId="0" fontId="44" fillId="3" borderId="6" xfId="0" applyFont="1" applyFill="1" applyBorder="1" applyAlignment="1">
      <alignment horizontal="center"/>
    </xf>
    <xf numFmtId="0" fontId="44" fillId="3" borderId="46" xfId="0" applyFont="1" applyFill="1" applyBorder="1" applyAlignment="1">
      <alignment horizontal="center"/>
    </xf>
    <xf numFmtId="0" fontId="44" fillId="3" borderId="164" xfId="0" applyFont="1" applyFill="1" applyBorder="1" applyAlignment="1">
      <alignment horizontal="center"/>
    </xf>
    <xf numFmtId="0" fontId="44" fillId="3" borderId="56" xfId="0" applyFont="1" applyFill="1" applyBorder="1" applyAlignment="1">
      <alignment horizontal="center"/>
    </xf>
    <xf numFmtId="0" fontId="44" fillId="3" borderId="47" xfId="0" applyFont="1" applyFill="1" applyBorder="1" applyAlignment="1">
      <alignment horizontal="center"/>
    </xf>
    <xf numFmtId="0" fontId="33" fillId="3" borderId="170" xfId="0" applyFont="1" applyFill="1" applyBorder="1" applyAlignment="1" applyProtection="1">
      <alignment horizontal="left" vertical="center" shrinkToFit="1"/>
      <protection locked="0"/>
    </xf>
    <xf numFmtId="0" fontId="33" fillId="3" borderId="171" xfId="0" applyFont="1" applyFill="1" applyBorder="1" applyAlignment="1" applyProtection="1">
      <alignment horizontal="left" vertical="center" shrinkToFit="1"/>
      <protection locked="0"/>
    </xf>
    <xf numFmtId="0" fontId="33" fillId="3" borderId="172" xfId="0" applyFont="1" applyFill="1" applyBorder="1" applyAlignment="1" applyProtection="1">
      <alignment horizontal="left" vertical="center" shrinkToFit="1"/>
      <protection locked="0"/>
    </xf>
    <xf numFmtId="14" fontId="33" fillId="3" borderId="170" xfId="0" applyNumberFormat="1" applyFont="1" applyFill="1" applyBorder="1" applyAlignment="1" applyProtection="1">
      <alignment horizontal="left"/>
      <protection locked="0"/>
    </xf>
    <xf numFmtId="14" fontId="33" fillId="3" borderId="171" xfId="0" applyNumberFormat="1" applyFont="1" applyFill="1" applyBorder="1" applyAlignment="1" applyProtection="1">
      <alignment horizontal="left"/>
      <protection locked="0"/>
    </xf>
    <xf numFmtId="14" fontId="33" fillId="3" borderId="172" xfId="0" applyNumberFormat="1" applyFont="1" applyFill="1" applyBorder="1" applyAlignment="1" applyProtection="1">
      <alignment horizontal="left"/>
      <protection locked="0"/>
    </xf>
    <xf numFmtId="49" fontId="33" fillId="3" borderId="170" xfId="0" applyNumberFormat="1" applyFont="1" applyFill="1" applyBorder="1" applyAlignment="1" applyProtection="1">
      <alignment horizontal="center"/>
      <protection locked="0"/>
    </xf>
    <xf numFmtId="49" fontId="33" fillId="3" borderId="172" xfId="0" applyNumberFormat="1" applyFont="1" applyFill="1" applyBorder="1" applyAlignment="1" applyProtection="1">
      <alignment horizontal="center"/>
      <protection locked="0"/>
    </xf>
    <xf numFmtId="14" fontId="33" fillId="3" borderId="170" xfId="0" applyNumberFormat="1" applyFont="1" applyFill="1" applyBorder="1" applyAlignment="1" applyProtection="1">
      <alignment horizontal="center"/>
      <protection locked="0"/>
    </xf>
    <xf numFmtId="14" fontId="33" fillId="3" borderId="171" xfId="0" applyNumberFormat="1" applyFont="1" applyFill="1" applyBorder="1" applyAlignment="1" applyProtection="1">
      <alignment horizontal="center"/>
      <protection locked="0"/>
    </xf>
    <xf numFmtId="14" fontId="33" fillId="3" borderId="172" xfId="0" applyNumberFormat="1" applyFont="1" applyFill="1" applyBorder="1" applyAlignment="1" applyProtection="1">
      <alignment horizontal="center"/>
      <protection locked="0"/>
    </xf>
    <xf numFmtId="169" fontId="33" fillId="3" borderId="170" xfId="0" applyNumberFormat="1" applyFont="1" applyFill="1" applyBorder="1" applyAlignment="1" applyProtection="1">
      <alignment horizontal="left" shrinkToFit="1"/>
      <protection locked="0"/>
    </xf>
    <xf numFmtId="169" fontId="33" fillId="3" borderId="171" xfId="0" applyNumberFormat="1" applyFont="1" applyFill="1" applyBorder="1" applyAlignment="1" applyProtection="1">
      <alignment horizontal="left" shrinkToFit="1"/>
      <protection locked="0"/>
    </xf>
    <xf numFmtId="169" fontId="33" fillId="3" borderId="172" xfId="0" applyNumberFormat="1" applyFont="1" applyFill="1" applyBorder="1" applyAlignment="1" applyProtection="1">
      <alignment horizontal="left" shrinkToFit="1"/>
      <protection locked="0"/>
    </xf>
    <xf numFmtId="0" fontId="33" fillId="3" borderId="174" xfId="0" applyFont="1" applyFill="1" applyBorder="1" applyAlignment="1" applyProtection="1">
      <alignment horizontal="left" vertical="center" shrinkToFit="1"/>
      <protection locked="0"/>
    </xf>
    <xf numFmtId="0" fontId="33" fillId="3" borderId="175" xfId="0" applyFont="1" applyFill="1" applyBorder="1" applyAlignment="1" applyProtection="1">
      <alignment horizontal="left" vertical="center" shrinkToFit="1"/>
      <protection locked="0"/>
    </xf>
    <xf numFmtId="0" fontId="33" fillId="3" borderId="173" xfId="0" applyFont="1" applyFill="1" applyBorder="1" applyAlignment="1" applyProtection="1">
      <alignment horizontal="left" vertical="center" shrinkToFit="1"/>
      <protection locked="0"/>
    </xf>
    <xf numFmtId="4" fontId="41" fillId="3" borderId="170" xfId="0" applyNumberFormat="1" applyFont="1" applyFill="1" applyBorder="1" applyAlignment="1" applyProtection="1">
      <alignment horizontal="right"/>
      <protection locked="0"/>
    </xf>
    <xf numFmtId="4" fontId="41" fillId="3" borderId="172" xfId="0" applyNumberFormat="1" applyFont="1" applyFill="1" applyBorder="1" applyAlignment="1" applyProtection="1">
      <alignment horizontal="right"/>
      <protection locked="0"/>
    </xf>
    <xf numFmtId="2" fontId="44" fillId="3" borderId="0" xfId="0" applyNumberFormat="1" applyFont="1" applyFill="1" applyBorder="1" applyAlignment="1" applyProtection="1">
      <alignment horizontal="center"/>
      <protection hidden="1"/>
    </xf>
    <xf numFmtId="169" fontId="54" fillId="3" borderId="0" xfId="0" applyNumberFormat="1" applyFont="1" applyFill="1" applyBorder="1" applyAlignment="1" applyProtection="1">
      <alignment horizontal="right" vertical="center"/>
      <protection hidden="1"/>
    </xf>
    <xf numFmtId="0" fontId="55" fillId="3" borderId="0" xfId="0" applyFont="1" applyFill="1" applyBorder="1" applyAlignment="1" applyProtection="1">
      <alignment horizontal="right" vertical="center"/>
      <protection hidden="1"/>
    </xf>
    <xf numFmtId="0" fontId="55" fillId="3" borderId="140" xfId="0" applyFont="1" applyFill="1" applyBorder="1" applyAlignment="1" applyProtection="1">
      <alignment horizontal="right" vertical="center"/>
      <protection hidden="1"/>
    </xf>
    <xf numFmtId="4" fontId="44" fillId="3" borderId="139" xfId="0" applyNumberFormat="1" applyFont="1" applyFill="1" applyBorder="1" applyAlignment="1" applyProtection="1">
      <alignment horizontal="center" vertical="center"/>
      <protection hidden="1"/>
    </xf>
    <xf numFmtId="4" fontId="44" fillId="3" borderId="0" xfId="0" applyNumberFormat="1" applyFont="1" applyFill="1" applyBorder="1" applyAlignment="1" applyProtection="1">
      <alignment horizontal="center" vertical="center"/>
      <protection hidden="1"/>
    </xf>
    <xf numFmtId="169" fontId="54" fillId="3" borderId="171" xfId="0" applyNumberFormat="1" applyFont="1" applyFill="1" applyBorder="1" applyAlignment="1" applyProtection="1">
      <alignment horizontal="right" vertical="center"/>
      <protection hidden="1"/>
    </xf>
    <xf numFmtId="169" fontId="54" fillId="3" borderId="172" xfId="0" applyNumberFormat="1" applyFont="1" applyFill="1" applyBorder="1" applyAlignment="1" applyProtection="1">
      <alignment horizontal="right" vertical="center"/>
      <protection hidden="1"/>
    </xf>
    <xf numFmtId="1" fontId="42" fillId="3" borderId="170" xfId="0" applyNumberFormat="1" applyFont="1" applyFill="1" applyBorder="1" applyAlignment="1" applyProtection="1">
      <alignment horizontal="center"/>
      <protection hidden="1"/>
    </xf>
    <xf numFmtId="1" fontId="42" fillId="3" borderId="172" xfId="0" applyNumberFormat="1" applyFont="1" applyFill="1" applyBorder="1" applyAlignment="1" applyProtection="1">
      <alignment horizontal="center"/>
      <protection hidden="1"/>
    </xf>
    <xf numFmtId="169" fontId="53" fillId="3" borderId="170" xfId="0" applyNumberFormat="1" applyFont="1" applyFill="1" applyBorder="1" applyAlignment="1" applyProtection="1">
      <alignment horizontal="right" vertical="center"/>
      <protection locked="0"/>
    </xf>
    <xf numFmtId="0" fontId="56" fillId="3" borderId="171" xfId="0" applyFont="1" applyFill="1" applyBorder="1" applyAlignment="1" applyProtection="1">
      <alignment horizontal="right" vertical="center"/>
      <protection locked="0"/>
    </xf>
    <xf numFmtId="0" fontId="56" fillId="3" borderId="172" xfId="0" applyFont="1" applyFill="1" applyBorder="1" applyAlignment="1" applyProtection="1">
      <alignment horizontal="right" vertical="center"/>
      <protection locked="0"/>
    </xf>
    <xf numFmtId="1" fontId="42" fillId="3" borderId="170" xfId="0" applyNumberFormat="1" applyFont="1" applyFill="1" applyBorder="1" applyAlignment="1" applyProtection="1">
      <alignment horizontal="center" vertical="center"/>
      <protection hidden="1"/>
    </xf>
    <xf numFmtId="1" fontId="42" fillId="3" borderId="171" xfId="0" applyNumberFormat="1" applyFont="1" applyFill="1" applyBorder="1" applyAlignment="1" applyProtection="1">
      <alignment horizontal="center" vertical="center"/>
      <protection hidden="1"/>
    </xf>
    <xf numFmtId="169" fontId="53" fillId="3" borderId="170" xfId="0" applyNumberFormat="1" applyFont="1" applyFill="1" applyBorder="1" applyAlignment="1" applyProtection="1">
      <alignment horizontal="right"/>
      <protection locked="0"/>
    </xf>
    <xf numFmtId="169" fontId="53" fillId="3" borderId="171" xfId="0" applyNumberFormat="1" applyFont="1" applyFill="1" applyBorder="1" applyAlignment="1" applyProtection="1">
      <alignment horizontal="right"/>
      <protection locked="0"/>
    </xf>
    <xf numFmtId="169" fontId="53" fillId="3" borderId="172" xfId="0" applyNumberFormat="1" applyFont="1" applyFill="1" applyBorder="1" applyAlignment="1" applyProtection="1">
      <alignment horizontal="right"/>
      <protection locked="0"/>
    </xf>
    <xf numFmtId="0" fontId="28" fillId="3" borderId="0" xfId="0" applyFont="1" applyFill="1" applyBorder="1" applyAlignment="1">
      <alignment horizontal="right"/>
    </xf>
    <xf numFmtId="4" fontId="51" fillId="3" borderId="217" xfId="0" applyNumberFormat="1" applyFont="1" applyFill="1" applyBorder="1" applyAlignment="1" applyProtection="1">
      <alignment horizontal="right"/>
      <protection hidden="1"/>
    </xf>
    <xf numFmtId="4" fontId="51" fillId="3" borderId="218" xfId="0" applyNumberFormat="1" applyFont="1" applyFill="1" applyBorder="1" applyAlignment="1" applyProtection="1">
      <alignment horizontal="right"/>
      <protection hidden="1"/>
    </xf>
    <xf numFmtId="4" fontId="51" fillId="3" borderId="219" xfId="0" applyNumberFormat="1" applyFont="1" applyFill="1" applyBorder="1" applyAlignment="1" applyProtection="1">
      <alignment horizontal="right"/>
      <protection hidden="1"/>
    </xf>
    <xf numFmtId="4" fontId="51" fillId="3" borderId="216" xfId="0" applyNumberFormat="1" applyFont="1" applyFill="1" applyBorder="1" applyAlignment="1" applyProtection="1">
      <alignment horizontal="right"/>
      <protection hidden="1"/>
    </xf>
    <xf numFmtId="169" fontId="50" fillId="3" borderId="170" xfId="0" applyNumberFormat="1" applyFont="1" applyFill="1" applyBorder="1" applyAlignment="1" applyProtection="1">
      <alignment horizontal="left" vertical="center"/>
      <protection locked="0"/>
    </xf>
    <xf numFmtId="169" fontId="50" fillId="3" borderId="172" xfId="0" applyNumberFormat="1" applyFont="1" applyFill="1" applyBorder="1" applyAlignment="1" applyProtection="1">
      <alignment horizontal="left" vertical="center"/>
      <protection locked="0"/>
    </xf>
    <xf numFmtId="169" fontId="53" fillId="3" borderId="171" xfId="0" applyNumberFormat="1" applyFont="1" applyFill="1" applyBorder="1" applyAlignment="1" applyProtection="1">
      <alignment horizontal="right" vertical="center"/>
      <protection locked="0"/>
    </xf>
    <xf numFmtId="169" fontId="53" fillId="3" borderId="172" xfId="0" applyNumberFormat="1" applyFont="1" applyFill="1" applyBorder="1" applyAlignment="1" applyProtection="1">
      <alignment horizontal="right" vertical="center"/>
      <protection locked="0"/>
    </xf>
    <xf numFmtId="1" fontId="42" fillId="3" borderId="172" xfId="0" applyNumberFormat="1" applyFont="1" applyFill="1" applyBorder="1" applyAlignment="1" applyProtection="1">
      <alignment horizontal="center" vertical="center"/>
      <protection hidden="1"/>
    </xf>
    <xf numFmtId="0" fontId="45" fillId="3" borderId="2" xfId="0" applyFont="1" applyFill="1" applyBorder="1" applyAlignment="1">
      <alignment horizontal="left"/>
    </xf>
    <xf numFmtId="0" fontId="26" fillId="3" borderId="3" xfId="0" applyFont="1" applyFill="1" applyBorder="1" applyAlignment="1">
      <alignment horizontal="left"/>
    </xf>
    <xf numFmtId="0" fontId="26" fillId="3" borderId="4" xfId="0" applyFont="1" applyFill="1" applyBorder="1" applyAlignment="1">
      <alignment horizontal="left"/>
    </xf>
    <xf numFmtId="169" fontId="28" fillId="3" borderId="1" xfId="0" applyNumberFormat="1" applyFont="1" applyFill="1" applyBorder="1" applyAlignment="1" applyProtection="1">
      <alignment horizontal="center"/>
      <protection locked="0"/>
    </xf>
    <xf numFmtId="2" fontId="44" fillId="3" borderId="170" xfId="0" applyNumberFormat="1" applyFont="1" applyFill="1" applyBorder="1" applyAlignment="1" applyProtection="1">
      <alignment horizontal="center"/>
      <protection hidden="1"/>
    </xf>
    <xf numFmtId="2" fontId="44" fillId="3" borderId="172" xfId="0" applyNumberFormat="1" applyFont="1" applyFill="1" applyBorder="1" applyAlignment="1" applyProtection="1">
      <alignment horizontal="center"/>
      <protection hidden="1"/>
    </xf>
    <xf numFmtId="4" fontId="54" fillId="3" borderId="170" xfId="0" applyNumberFormat="1" applyFont="1" applyFill="1" applyBorder="1" applyAlignment="1">
      <alignment horizontal="right" vertical="center"/>
    </xf>
    <xf numFmtId="4" fontId="54" fillId="3" borderId="172" xfId="0" applyNumberFormat="1" applyFont="1" applyFill="1" applyBorder="1" applyAlignment="1">
      <alignment horizontal="right" vertical="center"/>
    </xf>
    <xf numFmtId="169" fontId="44" fillId="3" borderId="170" xfId="0" applyNumberFormat="1" applyFont="1" applyFill="1" applyBorder="1" applyAlignment="1">
      <alignment horizontal="center" vertical="center"/>
    </xf>
    <xf numFmtId="169" fontId="44" fillId="3" borderId="172" xfId="0" applyNumberFormat="1" applyFont="1" applyFill="1" applyBorder="1" applyAlignment="1">
      <alignment horizontal="center" vertical="center"/>
    </xf>
    <xf numFmtId="0" fontId="28" fillId="3" borderId="2" xfId="0" applyFont="1" applyFill="1" applyBorder="1" applyAlignment="1">
      <alignment horizontal="left"/>
    </xf>
    <xf numFmtId="0" fontId="28" fillId="3" borderId="3" xfId="0" applyFont="1" applyFill="1" applyBorder="1" applyAlignment="1">
      <alignment horizontal="left"/>
    </xf>
    <xf numFmtId="0" fontId="28" fillId="3" borderId="4" xfId="0" applyFont="1" applyFill="1" applyBorder="1" applyAlignment="1">
      <alignment horizontal="left"/>
    </xf>
    <xf numFmtId="166" fontId="28" fillId="3" borderId="1" xfId="0" applyNumberFormat="1" applyFont="1" applyFill="1" applyBorder="1" applyAlignment="1">
      <alignment horizontal="center"/>
    </xf>
    <xf numFmtId="1" fontId="42" fillId="3" borderId="0" xfId="0" applyNumberFormat="1" applyFont="1" applyFill="1" applyBorder="1" applyAlignment="1" applyProtection="1">
      <alignment horizontal="center"/>
      <protection hidden="1"/>
    </xf>
    <xf numFmtId="169" fontId="53" fillId="3" borderId="0" xfId="0" applyNumberFormat="1" applyFont="1" applyFill="1" applyBorder="1" applyAlignment="1" applyProtection="1">
      <alignment horizontal="right" vertical="center"/>
      <protection hidden="1"/>
    </xf>
    <xf numFmtId="0" fontId="58" fillId="3" borderId="140" xfId="0" applyFont="1" applyFill="1" applyBorder="1" applyAlignment="1" applyProtection="1">
      <alignment horizontal="right" vertical="center"/>
      <protection hidden="1"/>
    </xf>
    <xf numFmtId="1" fontId="42" fillId="3" borderId="139" xfId="0" applyNumberFormat="1" applyFont="1" applyFill="1" applyBorder="1" applyAlignment="1" applyProtection="1">
      <alignment horizontal="center" vertical="center"/>
      <protection hidden="1"/>
    </xf>
    <xf numFmtId="1" fontId="42" fillId="3" borderId="0" xfId="0" applyNumberFormat="1" applyFont="1" applyFill="1" applyBorder="1" applyAlignment="1" applyProtection="1">
      <alignment horizontal="center" vertical="center"/>
      <protection hidden="1"/>
    </xf>
    <xf numFmtId="169" fontId="53" fillId="3" borderId="140" xfId="0" applyNumberFormat="1" applyFont="1" applyFill="1" applyBorder="1" applyAlignment="1" applyProtection="1">
      <alignment horizontal="right" vertical="center"/>
      <protection hidden="1"/>
    </xf>
    <xf numFmtId="4" fontId="53" fillId="3" borderId="0" xfId="0" applyNumberFormat="1" applyFont="1" applyFill="1" applyBorder="1" applyAlignment="1" applyProtection="1">
      <alignment horizontal="right" vertical="center"/>
      <protection hidden="1"/>
    </xf>
    <xf numFmtId="4" fontId="59" fillId="3" borderId="140" xfId="0" applyNumberFormat="1" applyFont="1" applyFill="1" applyBorder="1" applyAlignment="1" applyProtection="1">
      <alignment horizontal="right" vertical="center"/>
      <protection hidden="1"/>
    </xf>
    <xf numFmtId="4" fontId="53" fillId="3" borderId="140" xfId="0" applyNumberFormat="1" applyFont="1" applyFill="1" applyBorder="1" applyAlignment="1" applyProtection="1">
      <alignment horizontal="right" vertical="center"/>
      <protection hidden="1"/>
    </xf>
    <xf numFmtId="1" fontId="42" fillId="3" borderId="135" xfId="0" applyNumberFormat="1" applyFont="1" applyFill="1" applyBorder="1" applyAlignment="1" applyProtection="1">
      <alignment horizontal="center"/>
      <protection hidden="1"/>
    </xf>
    <xf numFmtId="169" fontId="53" fillId="3" borderId="135" xfId="0" applyNumberFormat="1" applyFont="1" applyFill="1" applyBorder="1" applyAlignment="1" applyProtection="1">
      <alignment horizontal="right" vertical="center"/>
      <protection hidden="1"/>
    </xf>
    <xf numFmtId="169" fontId="53" fillId="3" borderId="136" xfId="0" applyNumberFormat="1" applyFont="1" applyFill="1" applyBorder="1" applyAlignment="1" applyProtection="1">
      <alignment horizontal="right" vertical="center"/>
      <protection hidden="1"/>
    </xf>
    <xf numFmtId="1" fontId="42" fillId="3" borderId="134" xfId="0" applyNumberFormat="1" applyFont="1" applyFill="1" applyBorder="1" applyAlignment="1" applyProtection="1">
      <alignment horizontal="center" vertical="center"/>
      <protection hidden="1"/>
    </xf>
    <xf numFmtId="1" fontId="42" fillId="3" borderId="135" xfId="0" applyNumberFormat="1" applyFont="1" applyFill="1" applyBorder="1" applyAlignment="1" applyProtection="1">
      <alignment horizontal="center" vertical="center"/>
      <protection hidden="1"/>
    </xf>
    <xf numFmtId="4" fontId="44" fillId="3" borderId="170" xfId="0" applyNumberFormat="1" applyFont="1" applyFill="1" applyBorder="1" applyAlignment="1" applyProtection="1">
      <alignment horizontal="center"/>
      <protection hidden="1"/>
    </xf>
    <xf numFmtId="4" fontId="44" fillId="3" borderId="172" xfId="0" applyNumberFormat="1" applyFont="1" applyFill="1" applyBorder="1" applyAlignment="1" applyProtection="1">
      <alignment horizontal="center"/>
      <protection hidden="1"/>
    </xf>
    <xf numFmtId="169" fontId="54" fillId="3" borderId="170" xfId="0" applyNumberFormat="1" applyFont="1" applyFill="1" applyBorder="1" applyAlignment="1">
      <alignment horizontal="right" vertical="center"/>
    </xf>
    <xf numFmtId="169" fontId="54" fillId="3" borderId="172" xfId="0" applyNumberFormat="1" applyFont="1" applyFill="1" applyBorder="1" applyAlignment="1">
      <alignment horizontal="right" vertical="center"/>
    </xf>
    <xf numFmtId="169" fontId="44" fillId="3" borderId="170" xfId="0" applyNumberFormat="1" applyFont="1" applyFill="1" applyBorder="1" applyAlignment="1" applyProtection="1">
      <alignment horizontal="center" vertical="center"/>
      <protection hidden="1"/>
    </xf>
    <xf numFmtId="169" fontId="44" fillId="3" borderId="172" xfId="0" applyNumberFormat="1" applyFont="1" applyFill="1" applyBorder="1" applyAlignment="1" applyProtection="1">
      <alignment horizontal="center" vertical="center"/>
      <protection hidden="1"/>
    </xf>
    <xf numFmtId="1" fontId="42" fillId="3" borderId="0" xfId="0" applyNumberFormat="1" applyFont="1" applyFill="1" applyBorder="1" applyAlignment="1" applyProtection="1">
      <alignment horizontal="center"/>
      <protection locked="0"/>
    </xf>
    <xf numFmtId="169" fontId="53" fillId="3" borderId="0" xfId="0" applyNumberFormat="1" applyFont="1" applyFill="1" applyBorder="1" applyAlignment="1" applyProtection="1">
      <alignment horizontal="right" vertical="center"/>
      <protection locked="0"/>
    </xf>
    <xf numFmtId="0" fontId="59" fillId="3" borderId="140" xfId="0" applyFont="1" applyFill="1" applyBorder="1" applyAlignment="1" applyProtection="1">
      <alignment horizontal="right" vertical="center"/>
      <protection locked="0"/>
    </xf>
    <xf numFmtId="1" fontId="42" fillId="3" borderId="139" xfId="0" applyNumberFormat="1" applyFont="1" applyFill="1" applyBorder="1" applyAlignment="1" applyProtection="1">
      <alignment horizontal="center"/>
      <protection locked="0"/>
    </xf>
    <xf numFmtId="169" fontId="53" fillId="3" borderId="140" xfId="0" applyNumberFormat="1" applyFont="1" applyFill="1" applyBorder="1" applyAlignment="1" applyProtection="1">
      <alignment horizontal="right" vertical="center"/>
      <protection locked="0"/>
    </xf>
    <xf numFmtId="169" fontId="62" fillId="3" borderId="143" xfId="0" applyNumberFormat="1" applyFont="1" applyFill="1" applyBorder="1" applyAlignment="1">
      <alignment horizontal="right" vertical="center"/>
    </xf>
    <xf numFmtId="0" fontId="63" fillId="3" borderId="144" xfId="0" applyFont="1" applyFill="1" applyBorder="1" applyAlignment="1">
      <alignment horizontal="right" vertical="center"/>
    </xf>
    <xf numFmtId="166" fontId="44" fillId="3" borderId="1" xfId="0" applyNumberFormat="1" applyFont="1" applyFill="1" applyBorder="1" applyAlignment="1">
      <alignment horizontal="center"/>
    </xf>
    <xf numFmtId="2" fontId="60" fillId="3" borderId="1" xfId="0" applyNumberFormat="1" applyFont="1" applyFill="1" applyBorder="1" applyAlignment="1">
      <alignment horizontal="center"/>
    </xf>
    <xf numFmtId="1" fontId="42" fillId="3" borderId="135" xfId="0" applyNumberFormat="1" applyFont="1" applyFill="1" applyBorder="1" applyAlignment="1" applyProtection="1">
      <alignment horizontal="center"/>
      <protection locked="0"/>
    </xf>
    <xf numFmtId="169" fontId="53" fillId="3" borderId="135" xfId="0" applyNumberFormat="1" applyFont="1" applyFill="1" applyBorder="1" applyAlignment="1" applyProtection="1">
      <alignment horizontal="right" vertical="center"/>
      <protection locked="0"/>
    </xf>
    <xf numFmtId="0" fontId="59" fillId="3" borderId="136" xfId="0" applyFont="1" applyFill="1" applyBorder="1" applyAlignment="1" applyProtection="1">
      <alignment horizontal="right" vertical="center"/>
      <protection locked="0"/>
    </xf>
    <xf numFmtId="1" fontId="42" fillId="3" borderId="134" xfId="0" applyNumberFormat="1" applyFont="1" applyFill="1" applyBorder="1" applyAlignment="1" applyProtection="1">
      <alignment horizontal="center"/>
      <protection locked="0"/>
    </xf>
    <xf numFmtId="169" fontId="53" fillId="3" borderId="136" xfId="0" applyNumberFormat="1" applyFont="1" applyFill="1" applyBorder="1" applyAlignment="1" applyProtection="1">
      <alignment horizontal="right" vertical="center"/>
      <protection locked="0"/>
    </xf>
    <xf numFmtId="1" fontId="42" fillId="3" borderId="143" xfId="0" applyNumberFormat="1" applyFont="1" applyFill="1" applyBorder="1" applyAlignment="1" applyProtection="1">
      <alignment horizontal="center"/>
      <protection hidden="1"/>
    </xf>
    <xf numFmtId="4" fontId="53" fillId="3" borderId="143" xfId="0" applyNumberFormat="1" applyFont="1" applyFill="1" applyBorder="1" applyAlignment="1" applyProtection="1">
      <alignment horizontal="right" vertical="center"/>
      <protection hidden="1"/>
    </xf>
    <xf numFmtId="4" fontId="59" fillId="3" borderId="144" xfId="0" applyNumberFormat="1" applyFont="1" applyFill="1" applyBorder="1" applyAlignment="1" applyProtection="1">
      <alignment horizontal="right" vertical="center"/>
      <protection hidden="1"/>
    </xf>
    <xf numFmtId="1" fontId="42" fillId="3" borderId="142" xfId="0" applyNumberFormat="1" applyFont="1" applyFill="1" applyBorder="1" applyAlignment="1" applyProtection="1">
      <alignment horizontal="center" vertical="center"/>
      <protection hidden="1"/>
    </xf>
    <xf numFmtId="1" fontId="42" fillId="3" borderId="143" xfId="0" applyNumberFormat="1" applyFont="1" applyFill="1" applyBorder="1" applyAlignment="1" applyProtection="1">
      <alignment horizontal="center" vertical="center"/>
      <protection hidden="1"/>
    </xf>
    <xf numFmtId="4" fontId="53" fillId="3" borderId="144" xfId="0" applyNumberFormat="1" applyFont="1" applyFill="1" applyBorder="1" applyAlignment="1" applyProtection="1">
      <alignment horizontal="right" vertical="center"/>
      <protection hidden="1"/>
    </xf>
    <xf numFmtId="4" fontId="29" fillId="3" borderId="0" xfId="0" applyNumberFormat="1" applyFont="1" applyFill="1" applyBorder="1" applyAlignment="1" applyProtection="1">
      <alignment horizontal="right"/>
      <protection hidden="1"/>
    </xf>
    <xf numFmtId="0" fontId="26" fillId="3" borderId="0" xfId="0" applyFont="1" applyFill="1" applyBorder="1" applyAlignment="1" applyProtection="1">
      <alignment horizontal="right"/>
      <protection hidden="1"/>
    </xf>
    <xf numFmtId="0" fontId="26" fillId="3" borderId="140" xfId="0" applyFont="1" applyFill="1" applyBorder="1" applyAlignment="1" applyProtection="1">
      <alignment horizontal="right"/>
      <protection hidden="1"/>
    </xf>
    <xf numFmtId="0" fontId="27" fillId="3" borderId="0" xfId="0" applyFont="1" applyFill="1" applyBorder="1" applyAlignment="1" applyProtection="1">
      <alignment horizontal="right"/>
      <protection hidden="1"/>
    </xf>
    <xf numFmtId="0" fontId="27" fillId="3" borderId="140" xfId="0" applyFont="1" applyFill="1" applyBorder="1" applyAlignment="1" applyProtection="1">
      <alignment horizontal="right"/>
      <protection hidden="1"/>
    </xf>
    <xf numFmtId="0" fontId="44" fillId="3" borderId="18" xfId="0" applyFont="1" applyFill="1" applyBorder="1" applyAlignment="1" applyProtection="1">
      <alignment horizontal="center"/>
      <protection locked="0"/>
    </xf>
    <xf numFmtId="0" fontId="44" fillId="3" borderId="17" xfId="0" applyFont="1" applyFill="1" applyBorder="1" applyAlignment="1" applyProtection="1">
      <alignment horizontal="center"/>
      <protection locked="0"/>
    </xf>
    <xf numFmtId="169" fontId="29" fillId="3" borderId="0" xfId="0" applyNumberFormat="1" applyFont="1" applyFill="1" applyBorder="1" applyAlignment="1" applyProtection="1">
      <alignment horizontal="right"/>
      <protection hidden="1"/>
    </xf>
    <xf numFmtId="0" fontId="42" fillId="3" borderId="20" xfId="0" applyFont="1" applyFill="1" applyBorder="1" applyAlignment="1">
      <alignment horizontal="center"/>
    </xf>
    <xf numFmtId="0" fontId="42" fillId="3" borderId="19" xfId="0" applyFont="1" applyFill="1" applyBorder="1" applyAlignment="1">
      <alignment horizontal="center"/>
    </xf>
    <xf numFmtId="166" fontId="28" fillId="3" borderId="4" xfId="0" applyNumberFormat="1" applyFont="1" applyFill="1" applyBorder="1" applyAlignment="1">
      <alignment horizontal="center"/>
    </xf>
    <xf numFmtId="0" fontId="28" fillId="3" borderId="2" xfId="0" applyFont="1" applyFill="1" applyBorder="1" applyAlignment="1">
      <alignment horizontal="center"/>
    </xf>
    <xf numFmtId="4" fontId="29" fillId="3" borderId="135" xfId="0" applyNumberFormat="1" applyFont="1" applyFill="1" applyBorder="1" applyAlignment="1" applyProtection="1">
      <alignment horizontal="right"/>
      <protection hidden="1"/>
    </xf>
    <xf numFmtId="4" fontId="29" fillId="3" borderId="136" xfId="0" applyNumberFormat="1" applyFont="1" applyFill="1" applyBorder="1" applyAlignment="1" applyProtection="1">
      <alignment horizontal="right"/>
      <protection hidden="1"/>
    </xf>
    <xf numFmtId="0" fontId="44" fillId="3" borderId="4" xfId="0" applyFont="1" applyFill="1" applyBorder="1" applyAlignment="1" applyProtection="1">
      <alignment horizontal="center"/>
      <protection locked="0"/>
    </xf>
    <xf numFmtId="0" fontId="44" fillId="3" borderId="2" xfId="0" applyFont="1" applyFill="1" applyBorder="1" applyAlignment="1" applyProtection="1">
      <alignment horizontal="center"/>
      <protection locked="0"/>
    </xf>
    <xf numFmtId="4" fontId="54" fillId="3" borderId="0" xfId="0" applyNumberFormat="1" applyFont="1" applyFill="1" applyBorder="1" applyAlignment="1" applyProtection="1">
      <alignment horizontal="right"/>
      <protection hidden="1"/>
    </xf>
    <xf numFmtId="0" fontId="55" fillId="3" borderId="0" xfId="0" applyFont="1" applyFill="1" applyBorder="1" applyAlignment="1" applyProtection="1">
      <alignment horizontal="right"/>
      <protection hidden="1"/>
    </xf>
    <xf numFmtId="0" fontId="64" fillId="3" borderId="0" xfId="0" applyFont="1" applyFill="1" applyBorder="1" applyAlignment="1" applyProtection="1">
      <alignment horizontal="right"/>
      <protection hidden="1"/>
    </xf>
    <xf numFmtId="4" fontId="54" fillId="3" borderId="143" xfId="0" applyNumberFormat="1" applyFont="1" applyFill="1" applyBorder="1" applyAlignment="1" applyProtection="1">
      <alignment horizontal="right"/>
      <protection hidden="1"/>
    </xf>
    <xf numFmtId="0" fontId="55" fillId="3" borderId="143" xfId="0" applyFont="1" applyFill="1" applyBorder="1" applyAlignment="1" applyProtection="1">
      <alignment horizontal="right"/>
      <protection hidden="1"/>
    </xf>
    <xf numFmtId="0" fontId="55" fillId="3" borderId="144" xfId="0" applyFont="1" applyFill="1" applyBorder="1" applyAlignment="1" applyProtection="1">
      <alignment horizontal="right"/>
      <protection hidden="1"/>
    </xf>
    <xf numFmtId="0" fontId="64" fillId="3" borderId="143" xfId="0" applyFont="1" applyFill="1" applyBorder="1" applyAlignment="1" applyProtection="1">
      <alignment horizontal="right"/>
      <protection hidden="1"/>
    </xf>
    <xf numFmtId="0" fontId="28" fillId="3" borderId="200" xfId="0" applyFont="1" applyFill="1" applyBorder="1" applyAlignment="1">
      <alignment horizontal="left"/>
    </xf>
    <xf numFmtId="0" fontId="27" fillId="3" borderId="71" xfId="0" applyFont="1" applyFill="1" applyBorder="1" applyAlignment="1" applyProtection="1">
      <alignment horizontal="left"/>
      <protection locked="0"/>
    </xf>
    <xf numFmtId="0" fontId="27" fillId="3" borderId="10" xfId="0" applyFont="1" applyFill="1" applyBorder="1" applyAlignment="1" applyProtection="1">
      <alignment horizontal="left"/>
      <protection locked="0"/>
    </xf>
    <xf numFmtId="2" fontId="28" fillId="3" borderId="184" xfId="0" applyNumberFormat="1" applyFont="1" applyFill="1" applyBorder="1" applyAlignment="1" applyProtection="1">
      <alignment horizontal="center"/>
      <protection locked="0"/>
    </xf>
    <xf numFmtId="0" fontId="26" fillId="3" borderId="185" xfId="0" applyFont="1" applyFill="1" applyBorder="1" applyAlignment="1" applyProtection="1">
      <alignment horizontal="center"/>
      <protection locked="0"/>
    </xf>
    <xf numFmtId="169" fontId="28" fillId="3" borderId="198" xfId="0" applyNumberFormat="1" applyFont="1" applyFill="1" applyBorder="1" applyAlignment="1" applyProtection="1">
      <alignment horizontal="center" shrinkToFit="1"/>
      <protection locked="0"/>
    </xf>
    <xf numFmtId="169" fontId="28" fillId="3" borderId="231" xfId="0" applyNumberFormat="1" applyFont="1" applyFill="1" applyBorder="1" applyAlignment="1" applyProtection="1">
      <alignment horizontal="center" shrinkToFit="1"/>
      <protection locked="0"/>
    </xf>
    <xf numFmtId="170" fontId="28" fillId="3" borderId="32" xfId="0" applyNumberFormat="1" applyFont="1" applyFill="1" applyBorder="1" applyAlignment="1" applyProtection="1">
      <alignment horizontal="center"/>
      <protection locked="0"/>
    </xf>
    <xf numFmtId="170" fontId="28" fillId="3" borderId="31" xfId="0" applyNumberFormat="1" applyFont="1" applyFill="1" applyBorder="1" applyAlignment="1" applyProtection="1">
      <alignment horizontal="center"/>
      <protection locked="0"/>
    </xf>
    <xf numFmtId="169" fontId="65" fillId="3" borderId="184" xfId="0" applyNumberFormat="1" applyFont="1" applyFill="1" applyBorder="1" applyAlignment="1">
      <alignment horizontal="right" shrinkToFit="1"/>
    </xf>
    <xf numFmtId="169" fontId="65" fillId="3" borderId="185" xfId="0" applyNumberFormat="1" applyFont="1" applyFill="1" applyBorder="1" applyAlignment="1">
      <alignment horizontal="right" shrinkToFit="1"/>
    </xf>
    <xf numFmtId="2" fontId="28" fillId="3" borderId="179" xfId="0" applyNumberFormat="1" applyFont="1" applyFill="1" applyBorder="1" applyAlignment="1" applyProtection="1">
      <alignment horizontal="center"/>
      <protection locked="0"/>
    </xf>
    <xf numFmtId="0" fontId="26" fillId="3" borderId="180" xfId="0" applyFont="1" applyFill="1" applyBorder="1" applyAlignment="1" applyProtection="1">
      <alignment horizontal="center"/>
      <protection locked="0"/>
    </xf>
    <xf numFmtId="169" fontId="28" fillId="3" borderId="44" xfId="0" applyNumberFormat="1" applyFont="1" applyFill="1" applyBorder="1" applyAlignment="1" applyProtection="1">
      <alignment horizontal="center" shrinkToFit="1"/>
      <protection locked="0"/>
    </xf>
    <xf numFmtId="169" fontId="26" fillId="3" borderId="44" xfId="0" applyNumberFormat="1" applyFont="1" applyFill="1" applyBorder="1" applyAlignment="1" applyProtection="1">
      <alignment horizontal="center" shrinkToFit="1"/>
      <protection locked="0"/>
    </xf>
    <xf numFmtId="170" fontId="28" fillId="3" borderId="184" xfId="0" applyNumberFormat="1" applyFont="1" applyFill="1" applyBorder="1" applyAlignment="1" applyProtection="1">
      <alignment horizontal="center"/>
      <protection locked="0"/>
    </xf>
    <xf numFmtId="170" fontId="28" fillId="3" borderId="185" xfId="0" applyNumberFormat="1" applyFont="1" applyFill="1" applyBorder="1" applyAlignment="1" applyProtection="1">
      <alignment horizontal="center"/>
      <protection locked="0"/>
    </xf>
    <xf numFmtId="169" fontId="65" fillId="3" borderId="198" xfId="0" applyNumberFormat="1" applyFont="1" applyFill="1" applyBorder="1" applyAlignment="1">
      <alignment horizontal="right" shrinkToFit="1"/>
    </xf>
    <xf numFmtId="169" fontId="65" fillId="3" borderId="231" xfId="0" applyNumberFormat="1" applyFont="1" applyFill="1" applyBorder="1" applyAlignment="1">
      <alignment horizontal="right" shrinkToFit="1"/>
    </xf>
    <xf numFmtId="2" fontId="28" fillId="3" borderId="186" xfId="0" applyNumberFormat="1" applyFont="1" applyFill="1" applyBorder="1" applyAlignment="1" applyProtection="1">
      <alignment horizontal="center"/>
      <protection locked="0"/>
    </xf>
    <xf numFmtId="0" fontId="26" fillId="3" borderId="187" xfId="0" applyFont="1" applyFill="1" applyBorder="1" applyAlignment="1" applyProtection="1">
      <alignment horizontal="center"/>
      <protection locked="0"/>
    </xf>
    <xf numFmtId="2" fontId="28" fillId="3" borderId="71" xfId="0" applyNumberFormat="1" applyFont="1" applyFill="1" applyBorder="1" applyAlignment="1" applyProtection="1">
      <alignment horizontal="center"/>
      <protection locked="0"/>
    </xf>
    <xf numFmtId="0" fontId="26" fillId="3" borderId="10" xfId="0" applyFont="1" applyFill="1" applyBorder="1" applyAlignment="1" applyProtection="1">
      <alignment horizontal="center"/>
      <protection locked="0"/>
    </xf>
    <xf numFmtId="170" fontId="28" fillId="3" borderId="198" xfId="0" applyNumberFormat="1" applyFont="1" applyFill="1" applyBorder="1" applyAlignment="1" applyProtection="1">
      <alignment horizontal="center"/>
      <protection locked="0"/>
    </xf>
    <xf numFmtId="170" fontId="28" fillId="3" borderId="199" xfId="0" applyNumberFormat="1" applyFont="1" applyFill="1" applyBorder="1" applyAlignment="1" applyProtection="1">
      <alignment horizontal="center"/>
      <protection locked="0"/>
    </xf>
    <xf numFmtId="2" fontId="28" fillId="3" borderId="193" xfId="0" applyNumberFormat="1" applyFont="1" applyFill="1" applyBorder="1" applyAlignment="1" applyProtection="1">
      <alignment horizontal="center"/>
      <protection locked="0"/>
    </xf>
    <xf numFmtId="169" fontId="28" fillId="3" borderId="21" xfId="0" applyNumberFormat="1" applyFont="1" applyFill="1" applyBorder="1" applyAlignment="1" applyProtection="1">
      <alignment horizontal="center"/>
      <protection locked="0"/>
    </xf>
    <xf numFmtId="169" fontId="28" fillId="3" borderId="191" xfId="0" applyNumberFormat="1" applyFont="1" applyFill="1" applyBorder="1" applyAlignment="1" applyProtection="1">
      <alignment horizontal="center"/>
      <protection locked="0"/>
    </xf>
    <xf numFmtId="2" fontId="28" fillId="3" borderId="188" xfId="0" applyNumberFormat="1" applyFont="1" applyFill="1" applyBorder="1" applyAlignment="1" applyProtection="1">
      <alignment horizontal="center"/>
      <protection locked="0"/>
    </xf>
    <xf numFmtId="0" fontId="26" fillId="3" borderId="189" xfId="0" applyFont="1" applyFill="1" applyBorder="1" applyAlignment="1" applyProtection="1">
      <alignment horizontal="center"/>
      <protection locked="0"/>
    </xf>
    <xf numFmtId="2" fontId="28" fillId="3" borderId="13" xfId="0" applyNumberFormat="1" applyFont="1" applyFill="1" applyBorder="1" applyAlignment="1" applyProtection="1">
      <alignment horizontal="center"/>
      <protection locked="0"/>
    </xf>
    <xf numFmtId="0" fontId="26" fillId="3" borderId="12" xfId="0" applyFont="1" applyFill="1" applyBorder="1" applyAlignment="1" applyProtection="1">
      <alignment horizontal="center"/>
      <protection locked="0"/>
    </xf>
    <xf numFmtId="0" fontId="83" fillId="3" borderId="16" xfId="0" applyFont="1" applyFill="1" applyBorder="1" applyAlignment="1">
      <alignment horizontal="center"/>
    </xf>
    <xf numFmtId="168" fontId="85" fillId="4" borderId="167" xfId="0" applyNumberFormat="1" applyFont="1" applyFill="1" applyBorder="1" applyAlignment="1" applyProtection="1">
      <alignment horizontal="center"/>
      <protection locked="0"/>
    </xf>
    <xf numFmtId="168" fontId="85" fillId="4" borderId="165" xfId="0" applyNumberFormat="1" applyFont="1" applyFill="1" applyBorder="1" applyAlignment="1" applyProtection="1">
      <alignment horizontal="center"/>
      <protection locked="0"/>
    </xf>
    <xf numFmtId="168" fontId="85" fillId="4" borderId="223" xfId="0" applyNumberFormat="1" applyFont="1" applyFill="1" applyBorder="1" applyAlignment="1" applyProtection="1">
      <alignment horizontal="center"/>
      <protection locked="0"/>
    </xf>
    <xf numFmtId="166" fontId="85" fillId="4" borderId="167" xfId="0" applyNumberFormat="1" applyFont="1" applyFill="1" applyBorder="1" applyAlignment="1" applyProtection="1">
      <alignment horizontal="center"/>
      <protection locked="0"/>
    </xf>
    <xf numFmtId="166" fontId="85" fillId="4" borderId="165" xfId="0" applyNumberFormat="1" applyFont="1" applyFill="1" applyBorder="1" applyAlignment="1" applyProtection="1">
      <alignment horizontal="center"/>
      <protection locked="0"/>
    </xf>
    <xf numFmtId="0" fontId="83" fillId="3" borderId="160" xfId="0" applyFont="1" applyFill="1" applyBorder="1" applyAlignment="1">
      <alignment horizontal="left"/>
    </xf>
    <xf numFmtId="4" fontId="86" fillId="4" borderId="154" xfId="0" applyNumberFormat="1" applyFont="1" applyFill="1" applyBorder="1" applyAlignment="1" applyProtection="1">
      <alignment horizontal="center"/>
      <protection locked="0"/>
    </xf>
    <xf numFmtId="0" fontId="86" fillId="4" borderId="152" xfId="0" applyFont="1" applyFill="1" applyBorder="1" applyAlignment="1" applyProtection="1">
      <alignment horizontal="center"/>
      <protection locked="0"/>
    </xf>
    <xf numFmtId="166" fontId="87" fillId="5" borderId="154" xfId="0" applyNumberFormat="1" applyFont="1" applyFill="1" applyBorder="1" applyAlignment="1">
      <alignment horizontal="center"/>
    </xf>
    <xf numFmtId="166" fontId="87" fillId="5" borderId="152" xfId="0" applyNumberFormat="1" applyFont="1" applyFill="1" applyBorder="1" applyAlignment="1">
      <alignment horizontal="center"/>
    </xf>
    <xf numFmtId="170" fontId="28" fillId="3" borderId="186" xfId="0" applyNumberFormat="1" applyFont="1" applyFill="1" applyBorder="1" applyAlignment="1" applyProtection="1">
      <alignment horizontal="center"/>
      <protection locked="0"/>
    </xf>
    <xf numFmtId="170" fontId="28" fillId="3" borderId="187" xfId="0" applyNumberFormat="1" applyFont="1" applyFill="1" applyBorder="1" applyAlignment="1" applyProtection="1">
      <alignment horizontal="center"/>
      <protection locked="0"/>
    </xf>
    <xf numFmtId="4" fontId="3" fillId="3" borderId="0" xfId="0" applyNumberFormat="1" applyFont="1" applyFill="1" applyAlignment="1">
      <alignment horizontal="center"/>
    </xf>
    <xf numFmtId="169" fontId="28" fillId="3" borderId="21" xfId="0" applyNumberFormat="1" applyFont="1" applyFill="1" applyBorder="1" applyAlignment="1" applyProtection="1">
      <alignment horizontal="center" vertical="center" shrinkToFit="1"/>
      <protection locked="0"/>
    </xf>
    <xf numFmtId="169" fontId="28" fillId="3" borderId="21" xfId="0" applyNumberFormat="1" applyFont="1" applyFill="1" applyBorder="1" applyAlignment="1" applyProtection="1">
      <alignment horizontal="center" shrinkToFit="1"/>
      <protection locked="0"/>
    </xf>
    <xf numFmtId="169" fontId="26" fillId="3" borderId="191" xfId="0" applyNumberFormat="1" applyFont="1" applyFill="1" applyBorder="1" applyAlignment="1" applyProtection="1">
      <alignment horizontal="center" shrinkToFit="1"/>
      <protection locked="0"/>
    </xf>
    <xf numFmtId="169" fontId="65" fillId="3" borderId="190" xfId="0" applyNumberFormat="1" applyFont="1" applyFill="1" applyBorder="1" applyAlignment="1">
      <alignment horizontal="right" shrinkToFit="1"/>
    </xf>
    <xf numFmtId="169" fontId="65" fillId="3" borderId="228" xfId="0" applyNumberFormat="1" applyFont="1" applyFill="1" applyBorder="1" applyAlignment="1">
      <alignment horizontal="right" shrinkToFit="1"/>
    </xf>
    <xf numFmtId="0" fontId="26" fillId="3" borderId="21" xfId="0" applyFont="1" applyFill="1" applyBorder="1" applyAlignment="1" applyProtection="1">
      <alignment horizontal="center" vertical="center" shrinkToFit="1"/>
      <protection locked="0"/>
    </xf>
    <xf numFmtId="0" fontId="83" fillId="3" borderId="17" xfId="0" applyFont="1" applyFill="1" applyBorder="1" applyAlignment="1">
      <alignment horizontal="center"/>
    </xf>
    <xf numFmtId="0" fontId="83" fillId="3" borderId="226" xfId="0" applyFont="1" applyFill="1" applyBorder="1" applyAlignment="1">
      <alignment horizontal="center"/>
    </xf>
    <xf numFmtId="0" fontId="83" fillId="3" borderId="32" xfId="0" applyFont="1" applyFill="1" applyBorder="1" applyAlignment="1">
      <alignment horizontal="center"/>
    </xf>
    <xf numFmtId="0" fontId="83" fillId="3" borderId="31" xfId="0" applyFont="1" applyFill="1" applyBorder="1" applyAlignment="1">
      <alignment horizontal="center"/>
    </xf>
    <xf numFmtId="0" fontId="27" fillId="3" borderId="13" xfId="0" applyFont="1" applyFill="1" applyBorder="1" applyAlignment="1" applyProtection="1">
      <alignment horizontal="left"/>
      <protection locked="0"/>
    </xf>
    <xf numFmtId="0" fontId="27" fillId="3" borderId="12" xfId="0" applyFont="1" applyFill="1" applyBorder="1" applyAlignment="1" applyProtection="1">
      <alignment horizontal="left"/>
      <protection locked="0"/>
    </xf>
    <xf numFmtId="2" fontId="86" fillId="4" borderId="153" xfId="0" applyNumberFormat="1" applyFont="1" applyFill="1" applyBorder="1" applyAlignment="1" applyProtection="1">
      <alignment horizontal="center"/>
      <protection locked="0"/>
    </xf>
    <xf numFmtId="0" fontId="85" fillId="4" borderId="167" xfId="0" applyFont="1" applyFill="1" applyBorder="1" applyAlignment="1" applyProtection="1">
      <alignment horizontal="center"/>
      <protection locked="0"/>
    </xf>
    <xf numFmtId="0" fontId="85" fillId="4" borderId="165" xfId="0" applyFont="1" applyFill="1" applyBorder="1" applyAlignment="1" applyProtection="1">
      <alignment horizontal="center"/>
      <protection locked="0"/>
    </xf>
    <xf numFmtId="0" fontId="85" fillId="4" borderId="227" xfId="0" applyFont="1" applyFill="1" applyBorder="1" applyAlignment="1" applyProtection="1">
      <alignment horizontal="center"/>
      <protection locked="0"/>
    </xf>
    <xf numFmtId="1" fontId="87" fillId="5" borderId="154" xfId="0" applyNumberFormat="1" applyFont="1" applyFill="1" applyBorder="1" applyAlignment="1">
      <alignment horizontal="center"/>
    </xf>
    <xf numFmtId="1" fontId="87" fillId="5" borderId="152" xfId="0" applyNumberFormat="1" applyFont="1" applyFill="1" applyBorder="1" applyAlignment="1">
      <alignment horizontal="center"/>
    </xf>
    <xf numFmtId="2" fontId="28" fillId="3" borderId="21" xfId="0" applyNumberFormat="1" applyFont="1" applyFill="1" applyBorder="1" applyAlignment="1" applyProtection="1">
      <alignment horizontal="center"/>
      <protection locked="0"/>
    </xf>
    <xf numFmtId="0" fontId="26" fillId="3" borderId="191" xfId="0" applyFont="1" applyFill="1" applyBorder="1" applyAlignment="1" applyProtection="1">
      <alignment horizontal="center"/>
      <protection locked="0"/>
    </xf>
    <xf numFmtId="169" fontId="26" fillId="3" borderId="191" xfId="0" applyNumberFormat="1" applyFont="1" applyFill="1" applyBorder="1" applyAlignment="1" applyProtection="1">
      <alignment horizontal="center"/>
      <protection locked="0"/>
    </xf>
    <xf numFmtId="0" fontId="26" fillId="3" borderId="21" xfId="0" applyFont="1" applyFill="1" applyBorder="1" applyAlignment="1" applyProtection="1">
      <alignment horizontal="center" shrinkToFit="1"/>
      <protection locked="0"/>
    </xf>
    <xf numFmtId="2" fontId="28" fillId="3" borderId="195" xfId="0" applyNumberFormat="1" applyFont="1" applyFill="1" applyBorder="1" applyAlignment="1" applyProtection="1">
      <alignment horizontal="center"/>
      <protection locked="0"/>
    </xf>
    <xf numFmtId="0" fontId="26" fillId="3" borderId="196" xfId="0" applyFont="1" applyFill="1" applyBorder="1" applyAlignment="1" applyProtection="1">
      <alignment horizontal="center"/>
      <protection locked="0"/>
    </xf>
    <xf numFmtId="169" fontId="28" fillId="3" borderId="45" xfId="0" applyNumberFormat="1" applyFont="1" applyFill="1" applyBorder="1" applyAlignment="1" applyProtection="1">
      <alignment horizontal="center" shrinkToFit="1"/>
      <protection locked="0"/>
    </xf>
    <xf numFmtId="0" fontId="26" fillId="3" borderId="45" xfId="0" applyFont="1" applyFill="1" applyBorder="1" applyAlignment="1" applyProtection="1">
      <alignment horizontal="center" shrinkToFit="1"/>
      <protection locked="0"/>
    </xf>
    <xf numFmtId="170" fontId="28" fillId="3" borderId="195" xfId="0" applyNumberFormat="1" applyFont="1" applyFill="1" applyBorder="1" applyAlignment="1" applyProtection="1">
      <alignment horizontal="center"/>
      <protection locked="0"/>
    </xf>
    <xf numFmtId="170" fontId="28" fillId="3" borderId="196" xfId="0" applyNumberFormat="1" applyFont="1" applyFill="1" applyBorder="1" applyAlignment="1" applyProtection="1">
      <alignment horizontal="center"/>
      <protection locked="0"/>
    </xf>
    <xf numFmtId="2" fontId="28" fillId="3" borderId="194" xfId="0" applyNumberFormat="1" applyFont="1" applyFill="1" applyBorder="1" applyAlignment="1" applyProtection="1">
      <alignment horizontal="center"/>
      <protection locked="0"/>
    </xf>
    <xf numFmtId="0" fontId="26" fillId="3" borderId="192" xfId="0" applyFont="1" applyFill="1" applyBorder="1" applyAlignment="1" applyProtection="1">
      <alignment horizontal="center"/>
      <protection locked="0"/>
    </xf>
    <xf numFmtId="169" fontId="26" fillId="3" borderId="210" xfId="0" applyNumberFormat="1" applyFont="1" applyFill="1" applyBorder="1" applyAlignment="1" applyProtection="1">
      <alignment horizontal="center" shrinkToFit="1"/>
      <protection locked="0"/>
    </xf>
    <xf numFmtId="169" fontId="65" fillId="3" borderId="44" xfId="0" applyNumberFormat="1" applyFont="1" applyFill="1" applyBorder="1" applyAlignment="1">
      <alignment horizontal="right" shrinkToFit="1"/>
    </xf>
    <xf numFmtId="169" fontId="65" fillId="3" borderId="11" xfId="0" applyNumberFormat="1" applyFont="1" applyFill="1" applyBorder="1" applyAlignment="1">
      <alignment horizontal="right" shrinkToFit="1"/>
    </xf>
    <xf numFmtId="169" fontId="44" fillId="3" borderId="214" xfId="0" applyNumberFormat="1" applyFont="1" applyFill="1" applyBorder="1" applyAlignment="1" applyProtection="1">
      <alignment horizontal="right" shrinkToFit="1"/>
      <protection hidden="1"/>
    </xf>
    <xf numFmtId="169" fontId="44" fillId="3" borderId="215" xfId="0" applyNumberFormat="1" applyFont="1" applyFill="1" applyBorder="1" applyAlignment="1" applyProtection="1">
      <alignment horizontal="right" shrinkToFit="1"/>
      <protection hidden="1"/>
    </xf>
    <xf numFmtId="169" fontId="44" fillId="3" borderId="170" xfId="0" applyNumberFormat="1" applyFont="1" applyFill="1" applyBorder="1" applyAlignment="1" applyProtection="1">
      <alignment horizontal="right" shrinkToFit="1"/>
      <protection hidden="1"/>
    </xf>
    <xf numFmtId="169" fontId="44" fillId="3" borderId="172" xfId="0" applyNumberFormat="1" applyFont="1" applyFill="1" applyBorder="1" applyAlignment="1" applyProtection="1">
      <alignment horizontal="right" shrinkToFit="1"/>
      <protection hidden="1"/>
    </xf>
    <xf numFmtId="169" fontId="44" fillId="3" borderId="177" xfId="0" applyNumberFormat="1" applyFont="1" applyFill="1" applyBorder="1" applyAlignment="1" applyProtection="1">
      <alignment horizontal="right" shrinkToFit="1"/>
      <protection hidden="1"/>
    </xf>
    <xf numFmtId="169" fontId="44" fillId="3" borderId="178" xfId="0" applyNumberFormat="1" applyFont="1" applyFill="1" applyBorder="1" applyAlignment="1" applyProtection="1">
      <alignment horizontal="right" shrinkToFit="1"/>
      <protection hidden="1"/>
    </xf>
    <xf numFmtId="169" fontId="28" fillId="3" borderId="0" xfId="0" applyNumberFormat="1" applyFont="1" applyFill="1" applyBorder="1" applyAlignment="1" applyProtection="1">
      <alignment horizontal="center"/>
    </xf>
    <xf numFmtId="0" fontId="27" fillId="3" borderId="23" xfId="0" applyFont="1" applyFill="1" applyBorder="1" applyAlignment="1" applyProtection="1">
      <alignment horizontal="left"/>
      <protection locked="0"/>
    </xf>
    <xf numFmtId="2" fontId="28" fillId="3" borderId="197" xfId="0" applyNumberFormat="1" applyFont="1" applyFill="1" applyBorder="1" applyAlignment="1" applyProtection="1">
      <alignment horizontal="center"/>
      <protection locked="0"/>
    </xf>
    <xf numFmtId="0" fontId="26" fillId="3" borderId="19" xfId="0" applyFont="1" applyFill="1" applyBorder="1" applyAlignment="1" applyProtection="1">
      <alignment horizontal="center"/>
      <protection locked="0"/>
    </xf>
    <xf numFmtId="169" fontId="28" fillId="3" borderId="183" xfId="0" applyNumberFormat="1" applyFont="1" applyFill="1" applyBorder="1" applyAlignment="1" applyProtection="1">
      <alignment horizontal="right" shrinkToFit="1"/>
      <protection locked="0"/>
    </xf>
    <xf numFmtId="169" fontId="26" fillId="3" borderId="213" xfId="0" applyNumberFormat="1" applyFont="1" applyFill="1" applyBorder="1" applyAlignment="1" applyProtection="1">
      <alignment horizontal="right" shrinkToFit="1"/>
      <protection locked="0"/>
    </xf>
    <xf numFmtId="170" fontId="28" fillId="3" borderId="20" xfId="0" applyNumberFormat="1" applyFont="1" applyFill="1" applyBorder="1" applyAlignment="1" applyProtection="1">
      <alignment horizontal="center"/>
      <protection locked="0"/>
    </xf>
    <xf numFmtId="170" fontId="28" fillId="3" borderId="19" xfId="0" applyNumberFormat="1" applyFont="1" applyFill="1" applyBorder="1" applyAlignment="1" applyProtection="1">
      <alignment horizontal="center"/>
      <protection locked="0"/>
    </xf>
    <xf numFmtId="169" fontId="65" fillId="3" borderId="195" xfId="0" applyNumberFormat="1" applyFont="1" applyFill="1" applyBorder="1" applyAlignment="1">
      <alignment horizontal="right" shrinkToFit="1"/>
    </xf>
    <xf numFmtId="169" fontId="66" fillId="3" borderId="196" xfId="0" applyNumberFormat="1" applyFont="1" applyFill="1" applyBorder="1" applyAlignment="1">
      <alignment horizontal="right" shrinkToFit="1"/>
    </xf>
    <xf numFmtId="2" fontId="28" fillId="3" borderId="54" xfId="0" applyNumberFormat="1" applyFont="1" applyFill="1" applyBorder="1" applyAlignment="1" applyProtection="1">
      <alignment horizontal="center"/>
      <protection locked="0"/>
    </xf>
    <xf numFmtId="0" fontId="26" fillId="3" borderId="54" xfId="0" applyFont="1" applyFill="1" applyBorder="1" applyAlignment="1" applyProtection="1">
      <alignment horizontal="center"/>
      <protection locked="0"/>
    </xf>
    <xf numFmtId="169" fontId="28" fillId="3" borderId="211" xfId="0" applyNumberFormat="1" applyFont="1" applyFill="1" applyBorder="1" applyAlignment="1" applyProtection="1">
      <alignment horizontal="right" shrinkToFit="1"/>
      <protection locked="0"/>
    </xf>
    <xf numFmtId="169" fontId="26" fillId="3" borderId="212" xfId="0" applyNumberFormat="1" applyFont="1" applyFill="1" applyBorder="1" applyAlignment="1" applyProtection="1">
      <alignment horizontal="right" shrinkToFit="1"/>
      <protection locked="0"/>
    </xf>
    <xf numFmtId="170" fontId="28" fillId="3" borderId="27" xfId="0" applyNumberFormat="1" applyFont="1" applyFill="1" applyBorder="1" applyAlignment="1" applyProtection="1">
      <alignment horizontal="center"/>
      <protection locked="0"/>
    </xf>
    <xf numFmtId="0" fontId="27" fillId="3" borderId="151" xfId="0" applyFont="1" applyFill="1" applyBorder="1" applyAlignment="1" applyProtection="1">
      <alignment horizontal="left"/>
      <protection locked="0"/>
    </xf>
    <xf numFmtId="0" fontId="27" fillId="3" borderId="201" xfId="0" applyFont="1" applyFill="1" applyBorder="1" applyAlignment="1" applyProtection="1">
      <alignment horizontal="left"/>
      <protection locked="0"/>
    </xf>
    <xf numFmtId="169" fontId="28" fillId="3" borderId="186" xfId="0" applyNumberFormat="1" applyFont="1" applyFill="1" applyBorder="1" applyAlignment="1" applyProtection="1">
      <alignment horizontal="right" shrinkToFit="1"/>
      <protection locked="0"/>
    </xf>
    <xf numFmtId="169" fontId="26" fillId="3" borderId="187" xfId="0" applyNumberFormat="1" applyFont="1" applyFill="1" applyBorder="1" applyAlignment="1" applyProtection="1">
      <alignment horizontal="right" shrinkToFit="1"/>
      <protection locked="0"/>
    </xf>
    <xf numFmtId="170" fontId="28" fillId="3" borderId="71" xfId="0" applyNumberFormat="1" applyFont="1" applyFill="1" applyBorder="1" applyAlignment="1">
      <alignment horizontal="center"/>
    </xf>
    <xf numFmtId="170" fontId="28" fillId="3" borderId="10" xfId="0" applyNumberFormat="1" applyFont="1" applyFill="1" applyBorder="1" applyAlignment="1">
      <alignment horizontal="center"/>
    </xf>
    <xf numFmtId="169" fontId="28" fillId="3" borderId="179" xfId="0" applyNumberFormat="1" applyFont="1" applyFill="1" applyBorder="1" applyAlignment="1">
      <alignment horizontal="right" shrinkToFit="1"/>
    </xf>
    <xf numFmtId="169" fontId="26" fillId="3" borderId="180" xfId="0" applyNumberFormat="1" applyFont="1" applyFill="1" applyBorder="1" applyAlignment="1">
      <alignment horizontal="right" shrinkToFit="1"/>
    </xf>
    <xf numFmtId="2" fontId="28" fillId="3" borderId="44" xfId="0" applyNumberFormat="1" applyFont="1" applyFill="1" applyBorder="1" applyAlignment="1" applyProtection="1">
      <alignment horizontal="center"/>
      <protection locked="0"/>
    </xf>
    <xf numFmtId="0" fontId="26" fillId="3" borderId="206" xfId="0" applyFont="1" applyFill="1" applyBorder="1" applyAlignment="1" applyProtection="1">
      <alignment horizontal="center"/>
      <protection locked="0"/>
    </xf>
    <xf numFmtId="169" fontId="28" fillId="3" borderId="44" xfId="0" applyNumberFormat="1" applyFont="1" applyFill="1" applyBorder="1" applyAlignment="1" applyProtection="1">
      <alignment horizontal="right" shrinkToFit="1"/>
      <protection locked="0"/>
    </xf>
    <xf numFmtId="169" fontId="26" fillId="3" borderId="206" xfId="0" applyNumberFormat="1" applyFont="1" applyFill="1" applyBorder="1" applyAlignment="1" applyProtection="1">
      <alignment horizontal="right" shrinkToFit="1"/>
      <protection locked="0"/>
    </xf>
    <xf numFmtId="0" fontId="28" fillId="3" borderId="181" xfId="0" applyFont="1" applyFill="1" applyBorder="1" applyAlignment="1">
      <alignment horizontal="left"/>
    </xf>
    <xf numFmtId="0" fontId="28" fillId="3" borderId="182" xfId="0" applyFont="1" applyFill="1" applyBorder="1" applyAlignment="1">
      <alignment horizontal="left"/>
    </xf>
    <xf numFmtId="170" fontId="28" fillId="3" borderId="193" xfId="0" applyNumberFormat="1" applyFont="1" applyFill="1" applyBorder="1" applyAlignment="1">
      <alignment horizontal="center"/>
    </xf>
    <xf numFmtId="170" fontId="28" fillId="3" borderId="185" xfId="0" applyNumberFormat="1" applyFont="1" applyFill="1" applyBorder="1" applyAlignment="1">
      <alignment horizontal="center"/>
    </xf>
    <xf numFmtId="169" fontId="28" fillId="3" borderId="198" xfId="0" applyNumberFormat="1" applyFont="1" applyFill="1" applyBorder="1" applyAlignment="1">
      <alignment horizontal="right"/>
    </xf>
    <xf numFmtId="0" fontId="26" fillId="3" borderId="199" xfId="0" applyFont="1" applyFill="1" applyBorder="1" applyAlignment="1">
      <alignment horizontal="right"/>
    </xf>
    <xf numFmtId="0" fontId="27" fillId="3" borderId="187" xfId="0" applyFont="1" applyFill="1" applyBorder="1" applyAlignment="1" applyProtection="1">
      <alignment horizontal="left"/>
      <protection locked="0"/>
    </xf>
    <xf numFmtId="169" fontId="28" fillId="3" borderId="188" xfId="0" applyNumberFormat="1" applyFont="1" applyFill="1" applyBorder="1" applyAlignment="1" applyProtection="1">
      <alignment horizontal="right" shrinkToFit="1"/>
      <protection locked="0"/>
    </xf>
    <xf numFmtId="169" fontId="26" fillId="3" borderId="189" xfId="0" applyNumberFormat="1" applyFont="1" applyFill="1" applyBorder="1" applyAlignment="1" applyProtection="1">
      <alignment horizontal="right" shrinkToFit="1"/>
      <protection locked="0"/>
    </xf>
    <xf numFmtId="170" fontId="28" fillId="3" borderId="202" xfId="0" applyNumberFormat="1" applyFont="1" applyFill="1" applyBorder="1" applyAlignment="1">
      <alignment horizontal="center"/>
    </xf>
    <xf numFmtId="170" fontId="28" fillId="3" borderId="203" xfId="0" applyNumberFormat="1" applyFont="1" applyFill="1" applyBorder="1" applyAlignment="1">
      <alignment horizontal="center"/>
    </xf>
    <xf numFmtId="169" fontId="28" fillId="3" borderId="71" xfId="0" applyNumberFormat="1" applyFont="1" applyFill="1" applyBorder="1" applyAlignment="1">
      <alignment horizontal="right" shrinkToFit="1"/>
    </xf>
    <xf numFmtId="169" fontId="26" fillId="3" borderId="161" xfId="0" applyNumberFormat="1" applyFont="1" applyFill="1" applyBorder="1" applyAlignment="1">
      <alignment horizontal="right" shrinkToFit="1"/>
    </xf>
    <xf numFmtId="169" fontId="28" fillId="3" borderId="21" xfId="0" applyNumberFormat="1" applyFont="1" applyFill="1" applyBorder="1" applyAlignment="1" applyProtection="1">
      <alignment horizontal="right" shrinkToFit="1"/>
      <protection locked="0"/>
    </xf>
    <xf numFmtId="169" fontId="26" fillId="3" borderId="191" xfId="0" applyNumberFormat="1" applyFont="1" applyFill="1" applyBorder="1" applyAlignment="1" applyProtection="1">
      <alignment horizontal="right" shrinkToFit="1"/>
      <protection locked="0"/>
    </xf>
    <xf numFmtId="170" fontId="28" fillId="3" borderId="13" xfId="0" applyNumberFormat="1" applyFont="1" applyFill="1" applyBorder="1" applyAlignment="1">
      <alignment horizontal="center"/>
    </xf>
    <xf numFmtId="170" fontId="28" fillId="3" borderId="189" xfId="0" applyNumberFormat="1" applyFont="1" applyFill="1" applyBorder="1" applyAlignment="1">
      <alignment horizontal="center"/>
    </xf>
    <xf numFmtId="169" fontId="28" fillId="3" borderId="190" xfId="0" applyNumberFormat="1" applyFont="1" applyFill="1" applyBorder="1" applyAlignment="1">
      <alignment horizontal="right"/>
    </xf>
    <xf numFmtId="0" fontId="26" fillId="3" borderId="191" xfId="0" applyFont="1" applyFill="1" applyBorder="1" applyAlignment="1">
      <alignment horizontal="right"/>
    </xf>
    <xf numFmtId="0" fontId="27" fillId="3" borderId="189" xfId="0" applyFont="1" applyFill="1" applyBorder="1" applyAlignment="1" applyProtection="1">
      <alignment horizontal="left"/>
      <protection locked="0"/>
    </xf>
    <xf numFmtId="169" fontId="26" fillId="3" borderId="12" xfId="0" applyNumberFormat="1" applyFont="1" applyFill="1" applyBorder="1" applyAlignment="1" applyProtection="1">
      <alignment horizontal="right" shrinkToFit="1"/>
      <protection locked="0"/>
    </xf>
    <xf numFmtId="170" fontId="28" fillId="3" borderId="184" xfId="0" applyNumberFormat="1" applyFont="1" applyFill="1" applyBorder="1" applyAlignment="1">
      <alignment horizontal="center"/>
    </xf>
    <xf numFmtId="169" fontId="28" fillId="3" borderId="13" xfId="0" applyNumberFormat="1" applyFont="1" applyFill="1" applyBorder="1" applyAlignment="1">
      <alignment horizontal="right" shrinkToFit="1"/>
    </xf>
    <xf numFmtId="169" fontId="26" fillId="3" borderId="162" xfId="0" applyNumberFormat="1" applyFont="1" applyFill="1" applyBorder="1" applyAlignment="1">
      <alignment horizontal="right" shrinkToFit="1"/>
    </xf>
    <xf numFmtId="170" fontId="28" fillId="3" borderId="92" xfId="0" applyNumberFormat="1" applyFont="1" applyFill="1" applyBorder="1" applyAlignment="1">
      <alignment horizontal="center"/>
    </xf>
    <xf numFmtId="169" fontId="28" fillId="3" borderId="204" xfId="0" applyNumberFormat="1" applyFont="1" applyFill="1" applyBorder="1" applyAlignment="1">
      <alignment horizontal="right"/>
    </xf>
    <xf numFmtId="0" fontId="26" fillId="3" borderId="205" xfId="0" applyFont="1" applyFill="1" applyBorder="1" applyAlignment="1">
      <alignment horizontal="right"/>
    </xf>
    <xf numFmtId="0" fontId="26" fillId="3" borderId="31" xfId="0" applyFont="1" applyFill="1" applyBorder="1" applyAlignment="1">
      <alignment horizontal="left"/>
    </xf>
    <xf numFmtId="0" fontId="26" fillId="3" borderId="0" xfId="0" applyFont="1" applyFill="1" applyBorder="1" applyAlignment="1">
      <alignment horizontal="left"/>
    </xf>
    <xf numFmtId="169" fontId="28" fillId="3" borderId="177" xfId="0" quotePrefix="1" applyNumberFormat="1" applyFont="1" applyFill="1" applyBorder="1" applyAlignment="1" applyProtection="1">
      <alignment horizontal="right" shrinkToFit="1"/>
      <protection locked="0"/>
    </xf>
    <xf numFmtId="169" fontId="26" fillId="3" borderId="168" xfId="0" applyNumberFormat="1" applyFont="1" applyFill="1" applyBorder="1" applyAlignment="1" applyProtection="1">
      <alignment horizontal="right" shrinkToFit="1"/>
      <protection locked="0"/>
    </xf>
    <xf numFmtId="169" fontId="26" fillId="3" borderId="178" xfId="0" applyNumberFormat="1" applyFont="1" applyFill="1" applyBorder="1" applyAlignment="1" applyProtection="1">
      <alignment horizontal="right" shrinkToFit="1"/>
      <protection locked="0"/>
    </xf>
    <xf numFmtId="169" fontId="28" fillId="3" borderId="170" xfId="0" applyNumberFormat="1" applyFont="1" applyFill="1" applyBorder="1" applyAlignment="1" applyProtection="1">
      <alignment horizontal="right" shrinkToFit="1"/>
      <protection locked="0"/>
    </xf>
    <xf numFmtId="169" fontId="26" fillId="3" borderId="171" xfId="0" applyNumberFormat="1" applyFont="1" applyFill="1" applyBorder="1" applyAlignment="1" applyProtection="1">
      <alignment horizontal="right" shrinkToFit="1"/>
      <protection locked="0"/>
    </xf>
    <xf numFmtId="169" fontId="26" fillId="3" borderId="172" xfId="0" applyNumberFormat="1" applyFont="1" applyFill="1" applyBorder="1" applyAlignment="1" applyProtection="1">
      <alignment horizontal="right" shrinkToFit="1"/>
      <protection locked="0"/>
    </xf>
    <xf numFmtId="169" fontId="28" fillId="3" borderId="177" xfId="0" applyNumberFormat="1" applyFont="1" applyFill="1" applyBorder="1" applyAlignment="1" applyProtection="1">
      <alignment horizontal="right" shrinkToFit="1"/>
      <protection locked="0"/>
    </xf>
    <xf numFmtId="169" fontId="28" fillId="3" borderId="24" xfId="0" applyNumberFormat="1" applyFont="1" applyFill="1" applyBorder="1" applyAlignment="1" applyProtection="1">
      <alignment horizontal="right" shrinkToFit="1"/>
      <protection locked="0"/>
    </xf>
    <xf numFmtId="169" fontId="26" fillId="3" borderId="41" xfId="0" applyNumberFormat="1" applyFont="1" applyFill="1" applyBorder="1" applyAlignment="1" applyProtection="1">
      <alignment horizontal="right" shrinkToFit="1"/>
      <protection locked="0"/>
    </xf>
    <xf numFmtId="170" fontId="28" fillId="3" borderId="179" xfId="0" applyNumberFormat="1" applyFont="1" applyFill="1" applyBorder="1" applyAlignment="1">
      <alignment horizontal="center"/>
    </xf>
    <xf numFmtId="170" fontId="28" fillId="3" borderId="180" xfId="0" applyNumberFormat="1" applyFont="1" applyFill="1" applyBorder="1" applyAlignment="1">
      <alignment horizontal="center"/>
    </xf>
    <xf numFmtId="169" fontId="28" fillId="3" borderId="135" xfId="0" applyNumberFormat="1" applyFont="1" applyFill="1" applyBorder="1" applyAlignment="1">
      <alignment horizontal="right"/>
    </xf>
    <xf numFmtId="0" fontId="26" fillId="3" borderId="136" xfId="0" applyFont="1" applyFill="1" applyBorder="1" applyAlignment="1">
      <alignment horizontal="right"/>
    </xf>
    <xf numFmtId="169" fontId="44" fillId="3" borderId="167" xfId="0" applyNumberFormat="1" applyFont="1" applyFill="1" applyBorder="1" applyAlignment="1" applyProtection="1">
      <alignment horizontal="right" shrinkToFit="1"/>
      <protection hidden="1"/>
    </xf>
    <xf numFmtId="169" fontId="55" fillId="3" borderId="165" xfId="0" applyNumberFormat="1" applyFont="1" applyFill="1" applyBorder="1" applyAlignment="1" applyProtection="1">
      <alignment horizontal="right" shrinkToFit="1"/>
      <protection hidden="1"/>
    </xf>
    <xf numFmtId="169" fontId="44" fillId="3" borderId="167" xfId="0" applyNumberFormat="1" applyFont="1" applyFill="1" applyBorder="1" applyAlignment="1" applyProtection="1">
      <alignment horizontal="right"/>
      <protection hidden="1"/>
    </xf>
    <xf numFmtId="0" fontId="55" fillId="3" borderId="165" xfId="0" applyFont="1" applyFill="1" applyBorder="1" applyAlignment="1" applyProtection="1">
      <alignment horizontal="right"/>
      <protection hidden="1"/>
    </xf>
    <xf numFmtId="2" fontId="28" fillId="3" borderId="23" xfId="0" applyNumberFormat="1" applyFont="1" applyFill="1" applyBorder="1" applyAlignment="1" applyProtection="1">
      <alignment horizontal="center"/>
      <protection locked="0"/>
    </xf>
    <xf numFmtId="0" fontId="26" fillId="3" borderId="23" xfId="0" applyFont="1" applyFill="1" applyBorder="1" applyAlignment="1" applyProtection="1">
      <alignment horizontal="center"/>
      <protection locked="0"/>
    </xf>
    <xf numFmtId="169" fontId="28" fillId="3" borderId="23" xfId="0" applyNumberFormat="1" applyFont="1" applyFill="1" applyBorder="1" applyAlignment="1" applyProtection="1">
      <alignment horizontal="right" shrinkToFit="1"/>
      <protection locked="0"/>
    </xf>
    <xf numFmtId="169" fontId="26" fillId="3" borderId="24" xfId="0" applyNumberFormat="1" applyFont="1" applyFill="1" applyBorder="1" applyAlignment="1" applyProtection="1">
      <alignment horizontal="right" shrinkToFit="1"/>
      <protection locked="0"/>
    </xf>
    <xf numFmtId="170" fontId="28" fillId="3" borderId="195" xfId="0" applyNumberFormat="1" applyFont="1" applyFill="1" applyBorder="1" applyAlignment="1">
      <alignment horizontal="center"/>
    </xf>
    <xf numFmtId="170" fontId="28" fillId="3" borderId="196" xfId="0" applyNumberFormat="1" applyFont="1" applyFill="1" applyBorder="1" applyAlignment="1">
      <alignment horizontal="center"/>
    </xf>
    <xf numFmtId="169" fontId="28" fillId="3" borderId="92" xfId="0" applyNumberFormat="1" applyFont="1" applyFill="1" applyBorder="1" applyAlignment="1">
      <alignment horizontal="right" shrinkToFit="1"/>
    </xf>
    <xf numFmtId="169" fontId="26" fillId="3" borderId="166" xfId="0" applyNumberFormat="1" applyFont="1" applyFill="1" applyBorder="1" applyAlignment="1">
      <alignment horizontal="right" shrinkToFit="1"/>
    </xf>
    <xf numFmtId="2" fontId="28" fillId="3" borderId="41" xfId="0" applyNumberFormat="1" applyFont="1" applyFill="1" applyBorder="1" applyAlignment="1" applyProtection="1">
      <alignment horizontal="center"/>
      <protection locked="0"/>
    </xf>
    <xf numFmtId="0" fontId="26" fillId="3" borderId="25" xfId="0" applyFont="1" applyFill="1" applyBorder="1" applyAlignment="1" applyProtection="1">
      <alignment horizontal="center"/>
      <protection locked="0"/>
    </xf>
    <xf numFmtId="0" fontId="28" fillId="3" borderId="149" xfId="0" applyFont="1" applyFill="1" applyBorder="1" applyAlignment="1">
      <alignment horizontal="left"/>
    </xf>
    <xf numFmtId="0" fontId="28" fillId="3" borderId="143" xfId="0" applyFont="1" applyFill="1" applyBorder="1" applyAlignment="1">
      <alignment horizontal="left"/>
    </xf>
    <xf numFmtId="0" fontId="28" fillId="3" borderId="143" xfId="0" applyFont="1" applyFill="1" applyBorder="1" applyAlignment="1" applyProtection="1">
      <alignment horizontal="left"/>
      <protection locked="0"/>
    </xf>
    <xf numFmtId="169" fontId="50" fillId="3" borderId="143" xfId="0" applyNumberFormat="1" applyFont="1" applyFill="1" applyBorder="1" applyAlignment="1" applyProtection="1">
      <alignment horizontal="right" shrinkToFit="1"/>
      <protection locked="0"/>
    </xf>
    <xf numFmtId="169" fontId="27" fillId="3" borderId="143" xfId="0" applyNumberFormat="1" applyFont="1" applyFill="1" applyBorder="1" applyAlignment="1" applyProtection="1">
      <alignment horizontal="right" shrinkToFit="1"/>
      <protection locked="0"/>
    </xf>
    <xf numFmtId="169" fontId="27" fillId="3" borderId="144" xfId="0" applyNumberFormat="1" applyFont="1" applyFill="1" applyBorder="1" applyAlignment="1" applyProtection="1">
      <alignment horizontal="right" shrinkToFit="1"/>
      <protection locked="0"/>
    </xf>
    <xf numFmtId="169" fontId="50" fillId="3" borderId="153" xfId="0" applyNumberFormat="1" applyFont="1" applyFill="1" applyBorder="1" applyAlignment="1" applyProtection="1">
      <alignment horizontal="right" shrinkToFit="1"/>
      <protection locked="0"/>
    </xf>
    <xf numFmtId="169" fontId="50" fillId="3" borderId="152" xfId="0" applyNumberFormat="1" applyFont="1" applyFill="1" applyBorder="1" applyAlignment="1" applyProtection="1">
      <alignment horizontal="right" shrinkToFit="1"/>
      <protection locked="0"/>
    </xf>
    <xf numFmtId="0" fontId="27" fillId="3" borderId="3" xfId="0" applyFont="1" applyFill="1" applyBorder="1" applyAlignment="1">
      <alignment horizontal="left"/>
    </xf>
    <xf numFmtId="169" fontId="54" fillId="3" borderId="154" xfId="0" applyNumberFormat="1" applyFont="1" applyFill="1" applyBorder="1" applyAlignment="1" applyProtection="1">
      <alignment horizontal="right"/>
      <protection hidden="1"/>
    </xf>
    <xf numFmtId="0" fontId="64" fillId="3" borderId="153" xfId="0" applyFont="1" applyFill="1" applyBorder="1" applyAlignment="1" applyProtection="1">
      <alignment horizontal="right"/>
      <protection hidden="1"/>
    </xf>
    <xf numFmtId="0" fontId="64" fillId="3" borderId="152" xfId="0" applyFont="1" applyFill="1" applyBorder="1" applyAlignment="1" applyProtection="1">
      <alignment horizontal="right"/>
      <protection hidden="1"/>
    </xf>
    <xf numFmtId="0" fontId="26" fillId="3" borderId="149" xfId="0" applyFont="1" applyFill="1" applyBorder="1" applyAlignment="1">
      <alignment horizontal="left"/>
    </xf>
    <xf numFmtId="0" fontId="26" fillId="3" borderId="143" xfId="0" applyFont="1" applyFill="1" applyBorder="1" applyAlignment="1">
      <alignment horizontal="left"/>
    </xf>
    <xf numFmtId="169" fontId="44" fillId="3" borderId="143" xfId="0" applyNumberFormat="1" applyFont="1" applyFill="1" applyBorder="1" applyAlignment="1" applyProtection="1">
      <alignment horizontal="right"/>
      <protection hidden="1"/>
    </xf>
    <xf numFmtId="169" fontId="44" fillId="3" borderId="144" xfId="0" applyNumberFormat="1" applyFont="1" applyFill="1" applyBorder="1" applyAlignment="1" applyProtection="1">
      <alignment horizontal="right"/>
      <protection hidden="1"/>
    </xf>
    <xf numFmtId="0" fontId="28" fillId="3" borderId="148" xfId="0" applyFont="1" applyFill="1" applyBorder="1" applyAlignment="1">
      <alignment horizontal="left"/>
    </xf>
    <xf numFmtId="0" fontId="27" fillId="3" borderId="135" xfId="0" applyFont="1" applyFill="1" applyBorder="1" applyAlignment="1">
      <alignment horizontal="left"/>
    </xf>
    <xf numFmtId="0" fontId="27" fillId="3" borderId="207" xfId="0" applyFont="1" applyFill="1" applyBorder="1" applyAlignment="1">
      <alignment horizontal="left"/>
    </xf>
    <xf numFmtId="169" fontId="27" fillId="3" borderId="153" xfId="0" applyNumberFormat="1" applyFont="1" applyFill="1" applyBorder="1" applyAlignment="1" applyProtection="1">
      <alignment horizontal="right" shrinkToFit="1"/>
      <protection locked="0"/>
    </xf>
    <xf numFmtId="169" fontId="27" fillId="3" borderId="152" xfId="0" applyNumberFormat="1" applyFont="1" applyFill="1" applyBorder="1" applyAlignment="1" applyProtection="1">
      <alignment horizontal="right" shrinkToFit="1"/>
      <protection locked="0"/>
    </xf>
    <xf numFmtId="169" fontId="50" fillId="3" borderId="135" xfId="0" applyNumberFormat="1" applyFont="1" applyFill="1" applyBorder="1" applyAlignment="1" applyProtection="1">
      <alignment horizontal="right" shrinkToFit="1"/>
      <protection locked="0"/>
    </xf>
    <xf numFmtId="169" fontId="50" fillId="3" borderId="136" xfId="0" applyNumberFormat="1" applyFont="1" applyFill="1" applyBorder="1" applyAlignment="1" applyProtection="1">
      <alignment horizontal="right" shrinkToFit="1"/>
      <protection locked="0"/>
    </xf>
    <xf numFmtId="0" fontId="26" fillId="3" borderId="31" xfId="0" applyFont="1" applyFill="1" applyBorder="1" applyAlignment="1">
      <alignment horizontal="right"/>
    </xf>
    <xf numFmtId="0" fontId="26" fillId="3" borderId="0" xfId="0" applyFont="1" applyFill="1" applyBorder="1" applyAlignment="1">
      <alignment horizontal="right"/>
    </xf>
    <xf numFmtId="0" fontId="26" fillId="3" borderId="32" xfId="0" applyFont="1" applyFill="1" applyBorder="1" applyAlignment="1">
      <alignment horizontal="right"/>
    </xf>
    <xf numFmtId="4" fontId="29" fillId="3" borderId="31" xfId="0" applyNumberFormat="1" applyFont="1" applyFill="1" applyBorder="1" applyAlignment="1" applyProtection="1">
      <alignment horizontal="right"/>
      <protection hidden="1"/>
    </xf>
    <xf numFmtId="0" fontId="26" fillId="3" borderId="149" xfId="0" applyFont="1" applyFill="1" applyBorder="1" applyAlignment="1">
      <alignment horizontal="right"/>
    </xf>
    <xf numFmtId="0" fontId="26" fillId="3" borderId="143" xfId="0" applyFont="1" applyFill="1" applyBorder="1" applyAlignment="1">
      <alignment horizontal="right"/>
    </xf>
    <xf numFmtId="0" fontId="26" fillId="3" borderId="151" xfId="0" applyFont="1" applyFill="1" applyBorder="1" applyAlignment="1">
      <alignment horizontal="right"/>
    </xf>
    <xf numFmtId="4" fontId="29" fillId="3" borderId="149" xfId="0" applyNumberFormat="1" applyFont="1" applyFill="1" applyBorder="1" applyAlignment="1" applyProtection="1">
      <alignment horizontal="right"/>
      <protection hidden="1"/>
    </xf>
    <xf numFmtId="0" fontId="26" fillId="3" borderId="143" xfId="0" applyFont="1" applyFill="1" applyBorder="1" applyAlignment="1" applyProtection="1">
      <alignment horizontal="right"/>
      <protection hidden="1"/>
    </xf>
    <xf numFmtId="4" fontId="29" fillId="3" borderId="143" xfId="0" applyNumberFormat="1" applyFont="1" applyFill="1" applyBorder="1" applyAlignment="1" applyProtection="1">
      <alignment horizontal="right"/>
      <protection hidden="1"/>
    </xf>
    <xf numFmtId="0" fontId="26" fillId="3" borderId="144" xfId="0" applyFont="1" applyFill="1" applyBorder="1" applyAlignment="1" applyProtection="1">
      <alignment horizontal="right"/>
      <protection hidden="1"/>
    </xf>
    <xf numFmtId="0" fontId="67" fillId="3" borderId="148" xfId="0" applyFont="1" applyFill="1" applyBorder="1" applyAlignment="1">
      <alignment horizontal="center" vertical="center" wrapText="1"/>
    </xf>
    <xf numFmtId="0" fontId="67" fillId="3" borderId="31" xfId="0" applyFont="1" applyFill="1" applyBorder="1" applyAlignment="1">
      <alignment horizontal="center" vertical="center" wrapText="1"/>
    </xf>
    <xf numFmtId="0" fontId="67" fillId="3" borderId="149" xfId="0" applyFont="1" applyFill="1" applyBorder="1" applyAlignment="1">
      <alignment horizontal="center" vertical="center" wrapText="1"/>
    </xf>
    <xf numFmtId="0" fontId="26" fillId="3" borderId="148" xfId="0" applyFont="1" applyFill="1" applyBorder="1" applyAlignment="1">
      <alignment horizontal="right"/>
    </xf>
    <xf numFmtId="0" fontId="26" fillId="3" borderId="135" xfId="0" applyFont="1" applyFill="1" applyBorder="1" applyAlignment="1">
      <alignment horizontal="right"/>
    </xf>
    <xf numFmtId="0" fontId="26" fillId="3" borderId="150" xfId="0" applyFont="1" applyFill="1" applyBorder="1" applyAlignment="1">
      <alignment horizontal="right"/>
    </xf>
    <xf numFmtId="4" fontId="29" fillId="3" borderId="148" xfId="0" applyNumberFormat="1" applyFont="1" applyFill="1" applyBorder="1" applyAlignment="1" applyProtection="1">
      <alignment horizontal="right"/>
      <protection hidden="1"/>
    </xf>
    <xf numFmtId="0" fontId="26" fillId="3" borderId="135" xfId="0" applyFont="1" applyFill="1" applyBorder="1" applyAlignment="1" applyProtection="1">
      <alignment horizontal="right"/>
      <protection hidden="1"/>
    </xf>
    <xf numFmtId="0" fontId="27" fillId="3" borderId="31" xfId="0" applyFont="1" applyFill="1" applyBorder="1" applyAlignment="1">
      <alignment horizontal="right"/>
    </xf>
    <xf numFmtId="4" fontId="29" fillId="3" borderId="140" xfId="0" applyNumberFormat="1" applyFont="1" applyFill="1" applyBorder="1" applyAlignment="1" applyProtection="1">
      <alignment horizontal="right"/>
      <protection hidden="1"/>
    </xf>
    <xf numFmtId="0" fontId="68" fillId="3" borderId="31" xfId="0" applyFont="1" applyFill="1" applyBorder="1" applyAlignment="1">
      <alignment horizontal="center" vertical="center" wrapText="1"/>
    </xf>
    <xf numFmtId="0" fontId="68" fillId="3" borderId="149" xfId="0" applyFont="1" applyFill="1" applyBorder="1" applyAlignment="1">
      <alignment horizontal="center" vertical="center" wrapText="1"/>
    </xf>
    <xf numFmtId="0" fontId="26" fillId="3" borderId="136" xfId="0" applyFont="1" applyFill="1" applyBorder="1" applyAlignment="1" applyProtection="1">
      <alignment horizontal="right"/>
      <protection hidden="1"/>
    </xf>
    <xf numFmtId="0" fontId="28" fillId="3" borderId="148" xfId="0" applyFont="1" applyFill="1" applyBorder="1" applyAlignment="1">
      <alignment horizontal="right"/>
    </xf>
    <xf numFmtId="0" fontId="27" fillId="3" borderId="150" xfId="0" applyFont="1" applyFill="1" applyBorder="1" applyAlignment="1">
      <alignment horizontal="left"/>
    </xf>
    <xf numFmtId="169" fontId="29" fillId="3" borderId="135" xfId="0" applyNumberFormat="1" applyFont="1" applyFill="1" applyBorder="1" applyAlignment="1" applyProtection="1">
      <alignment horizontal="right"/>
      <protection hidden="1"/>
    </xf>
    <xf numFmtId="0" fontId="28" fillId="3" borderId="31" xfId="0" applyFont="1" applyFill="1" applyBorder="1" applyAlignment="1">
      <alignment horizontal="left"/>
    </xf>
    <xf numFmtId="0" fontId="27" fillId="3" borderId="0" xfId="0" applyFont="1" applyFill="1" applyBorder="1" applyAlignment="1">
      <alignment horizontal="left"/>
    </xf>
    <xf numFmtId="0" fontId="27" fillId="3" borderId="32" xfId="0" applyFont="1" applyFill="1" applyBorder="1" applyAlignment="1">
      <alignment horizontal="left"/>
    </xf>
    <xf numFmtId="169" fontId="29" fillId="3" borderId="0" xfId="0" applyNumberFormat="1" applyFont="1" applyFill="1" applyBorder="1" applyAlignment="1" applyProtection="1">
      <alignment horizontal="right" vertical="center"/>
      <protection hidden="1"/>
    </xf>
    <xf numFmtId="0" fontId="26" fillId="3" borderId="0" xfId="0" applyFont="1" applyFill="1" applyBorder="1" applyAlignment="1" applyProtection="1">
      <alignment horizontal="right" vertical="center"/>
      <protection hidden="1"/>
    </xf>
    <xf numFmtId="0" fontId="28" fillId="3" borderId="149" xfId="0" applyFont="1" applyFill="1" applyBorder="1" applyAlignment="1">
      <alignment horizontal="right"/>
    </xf>
    <xf numFmtId="4" fontId="27" fillId="3" borderId="135" xfId="0" applyNumberFormat="1" applyFont="1" applyFill="1" applyBorder="1" applyAlignment="1" applyProtection="1">
      <alignment horizontal="right"/>
      <protection hidden="1"/>
    </xf>
    <xf numFmtId="0" fontId="50" fillId="3" borderId="2" xfId="0" applyFont="1" applyFill="1" applyBorder="1" applyAlignment="1">
      <alignment horizontal="left"/>
    </xf>
    <xf numFmtId="0" fontId="50" fillId="3" borderId="3" xfId="0" applyFont="1" applyFill="1" applyBorder="1" applyAlignment="1">
      <alignment horizontal="left"/>
    </xf>
    <xf numFmtId="0" fontId="50" fillId="3" borderId="163" xfId="0" applyFont="1" applyFill="1" applyBorder="1" applyAlignment="1">
      <alignment horizontal="left"/>
    </xf>
    <xf numFmtId="169" fontId="54" fillId="3" borderId="154" xfId="0" applyNumberFormat="1" applyFont="1" applyFill="1" applyBorder="1" applyAlignment="1" applyProtection="1">
      <alignment horizontal="right" vertical="center"/>
      <protection hidden="1"/>
    </xf>
    <xf numFmtId="169" fontId="54" fillId="3" borderId="153" xfId="0" applyNumberFormat="1" applyFont="1" applyFill="1" applyBorder="1" applyAlignment="1" applyProtection="1">
      <alignment horizontal="right" vertical="center"/>
      <protection hidden="1"/>
    </xf>
    <xf numFmtId="169" fontId="54" fillId="3" borderId="232" xfId="0" applyNumberFormat="1" applyFont="1" applyFill="1" applyBorder="1" applyAlignment="1" applyProtection="1">
      <alignment horizontal="right" vertical="center"/>
      <protection hidden="1"/>
    </xf>
    <xf numFmtId="169" fontId="54" fillId="3" borderId="153" xfId="0" applyNumberFormat="1" applyFont="1" applyFill="1" applyBorder="1" applyAlignment="1" applyProtection="1">
      <alignment horizontal="right"/>
      <protection hidden="1"/>
    </xf>
    <xf numFmtId="0" fontId="55" fillId="3" borderId="152" xfId="0" applyFont="1" applyFill="1" applyBorder="1" applyAlignment="1" applyProtection="1">
      <alignment horizontal="right"/>
      <protection hidden="1"/>
    </xf>
    <xf numFmtId="169" fontId="29" fillId="3" borderId="148" xfId="0" applyNumberFormat="1" applyFont="1" applyFill="1" applyBorder="1" applyAlignment="1" applyProtection="1">
      <alignment horizontal="right" vertical="center"/>
      <protection hidden="1"/>
    </xf>
    <xf numFmtId="169" fontId="29" fillId="3" borderId="135" xfId="0" applyNumberFormat="1" applyFont="1" applyFill="1" applyBorder="1" applyAlignment="1" applyProtection="1">
      <alignment horizontal="right" vertical="center"/>
      <protection hidden="1"/>
    </xf>
    <xf numFmtId="170" fontId="70" fillId="3" borderId="154" xfId="0" applyNumberFormat="1" applyFont="1" applyFill="1" applyBorder="1" applyAlignment="1" applyProtection="1">
      <alignment horizontal="right"/>
      <protection locked="0"/>
    </xf>
    <xf numFmtId="0" fontId="71" fillId="3" borderId="153" xfId="0" applyFont="1" applyFill="1" applyBorder="1" applyAlignment="1" applyProtection="1">
      <alignment horizontal="right"/>
      <protection locked="0"/>
    </xf>
    <xf numFmtId="0" fontId="71" fillId="3" borderId="152" xfId="0" applyFont="1" applyFill="1" applyBorder="1" applyAlignment="1" applyProtection="1">
      <alignment horizontal="right"/>
      <protection locked="0"/>
    </xf>
    <xf numFmtId="170" fontId="70" fillId="3" borderId="153" xfId="0" applyNumberFormat="1" applyFont="1" applyFill="1" applyBorder="1" applyAlignment="1" applyProtection="1">
      <alignment horizontal="right"/>
      <protection locked="0"/>
    </xf>
    <xf numFmtId="170" fontId="70" fillId="3" borderId="152" xfId="0" applyNumberFormat="1" applyFont="1" applyFill="1" applyBorder="1" applyAlignment="1" applyProtection="1">
      <alignment horizontal="right"/>
      <protection locked="0"/>
    </xf>
    <xf numFmtId="169" fontId="72" fillId="3" borderId="154" xfId="0" applyNumberFormat="1" applyFont="1" applyFill="1" applyBorder="1" applyAlignment="1" applyProtection="1">
      <alignment horizontal="right"/>
      <protection hidden="1"/>
    </xf>
    <xf numFmtId="0" fontId="73" fillId="3" borderId="153" xfId="0" applyFont="1" applyFill="1" applyBorder="1" applyAlignment="1" applyProtection="1">
      <alignment horizontal="right"/>
      <protection hidden="1"/>
    </xf>
    <xf numFmtId="0" fontId="73" fillId="3" borderId="152" xfId="0" applyFont="1" applyFill="1" applyBorder="1" applyAlignment="1" applyProtection="1">
      <alignment horizontal="right"/>
      <protection hidden="1"/>
    </xf>
    <xf numFmtId="0" fontId="27" fillId="3" borderId="143" xfId="0" applyFont="1" applyFill="1" applyBorder="1" applyAlignment="1">
      <alignment horizontal="left"/>
    </xf>
    <xf numFmtId="0" fontId="27" fillId="3" borderId="151" xfId="0" applyFont="1" applyFill="1" applyBorder="1" applyAlignment="1">
      <alignment horizontal="left"/>
    </xf>
    <xf numFmtId="169" fontId="29" fillId="3" borderId="143" xfId="0" applyNumberFormat="1" applyFont="1" applyFill="1" applyBorder="1" applyAlignment="1" applyProtection="1">
      <alignment horizontal="right" vertical="center"/>
      <protection hidden="1"/>
    </xf>
    <xf numFmtId="0" fontId="26" fillId="3" borderId="143" xfId="0" applyFont="1" applyFill="1" applyBorder="1" applyAlignment="1" applyProtection="1">
      <alignment horizontal="right" vertical="center"/>
      <protection hidden="1"/>
    </xf>
    <xf numFmtId="169" fontId="29" fillId="3" borderId="143" xfId="0" applyNumberFormat="1" applyFont="1" applyFill="1" applyBorder="1" applyAlignment="1" applyProtection="1">
      <alignment horizontal="right"/>
      <protection hidden="1"/>
    </xf>
    <xf numFmtId="0" fontId="27" fillId="3" borderId="143" xfId="0" applyFont="1" applyFill="1" applyBorder="1" applyAlignment="1" applyProtection="1">
      <alignment horizontal="right"/>
      <protection hidden="1"/>
    </xf>
    <xf numFmtId="0" fontId="27" fillId="3" borderId="144" xfId="0" applyFont="1" applyFill="1" applyBorder="1" applyAlignment="1" applyProtection="1">
      <alignment horizontal="right"/>
      <protection hidden="1"/>
    </xf>
    <xf numFmtId="0" fontId="27" fillId="3" borderId="0" xfId="0" applyFont="1" applyFill="1" applyAlignment="1" applyProtection="1">
      <alignment horizontal="center"/>
      <protection hidden="1"/>
    </xf>
    <xf numFmtId="0" fontId="28" fillId="3" borderId="154" xfId="0" applyFont="1" applyFill="1" applyBorder="1" applyAlignment="1">
      <alignment horizontal="left"/>
    </xf>
    <xf numFmtId="0" fontId="27" fillId="3" borderId="153" xfId="0" applyFont="1" applyFill="1" applyBorder="1" applyAlignment="1">
      <alignment horizontal="left"/>
    </xf>
    <xf numFmtId="0" fontId="27" fillId="3" borderId="31" xfId="0" applyFont="1" applyFill="1" applyBorder="1" applyAlignment="1" applyProtection="1">
      <alignment horizontal="center"/>
      <protection locked="0"/>
    </xf>
    <xf numFmtId="0" fontId="27" fillId="3" borderId="0" xfId="0" applyFont="1" applyFill="1" applyBorder="1" applyAlignment="1" applyProtection="1">
      <alignment horizontal="center"/>
      <protection locked="0"/>
    </xf>
    <xf numFmtId="0" fontId="27" fillId="3" borderId="140" xfId="0" applyFont="1" applyFill="1" applyBorder="1" applyAlignment="1" applyProtection="1">
      <alignment horizontal="center"/>
      <protection locked="0"/>
    </xf>
    <xf numFmtId="0" fontId="32" fillId="3" borderId="0" xfId="0" applyFont="1" applyFill="1" applyAlignment="1" applyProtection="1">
      <alignment horizontal="center"/>
      <protection locked="0"/>
    </xf>
    <xf numFmtId="4" fontId="28" fillId="3" borderId="224" xfId="0" applyNumberFormat="1" applyFont="1" applyFill="1" applyBorder="1" applyAlignment="1">
      <alignment horizontal="center"/>
    </xf>
    <xf numFmtId="4" fontId="28" fillId="3" borderId="235" xfId="0" applyNumberFormat="1" applyFont="1" applyFill="1" applyBorder="1" applyAlignment="1">
      <alignment horizontal="center"/>
    </xf>
    <xf numFmtId="4" fontId="28" fillId="3" borderId="225" xfId="0" applyNumberFormat="1" applyFont="1" applyFill="1" applyBorder="1" applyAlignment="1">
      <alignment horizontal="center"/>
    </xf>
    <xf numFmtId="4" fontId="28" fillId="3" borderId="167" xfId="0" applyNumberFormat="1" applyFont="1" applyFill="1" applyBorder="1" applyAlignment="1">
      <alignment horizontal="center"/>
    </xf>
    <xf numFmtId="4" fontId="28" fillId="3" borderId="236" xfId="0" applyNumberFormat="1" applyFont="1" applyFill="1" applyBorder="1" applyAlignment="1">
      <alignment horizontal="center"/>
    </xf>
    <xf numFmtId="4" fontId="28" fillId="3" borderId="165" xfId="0" applyNumberFormat="1" applyFont="1" applyFill="1" applyBorder="1" applyAlignment="1">
      <alignment horizontal="center"/>
    </xf>
    <xf numFmtId="0" fontId="28" fillId="3" borderId="151" xfId="0" applyFont="1" applyFill="1" applyBorder="1" applyAlignment="1">
      <alignment horizontal="center"/>
    </xf>
    <xf numFmtId="0" fontId="28" fillId="3" borderId="235" xfId="0" applyFont="1" applyFill="1" applyBorder="1" applyAlignment="1">
      <alignment horizontal="center"/>
    </xf>
    <xf numFmtId="0" fontId="28" fillId="3" borderId="225" xfId="0" applyFont="1" applyFill="1" applyBorder="1" applyAlignment="1">
      <alignment horizontal="center"/>
    </xf>
    <xf numFmtId="0" fontId="81" fillId="3" borderId="5" xfId="0" applyFont="1" applyFill="1" applyBorder="1" applyAlignment="1">
      <alignment horizontal="center"/>
    </xf>
    <xf numFmtId="0" fontId="27" fillId="3" borderId="140" xfId="0" applyFont="1" applyFill="1" applyBorder="1" applyAlignment="1">
      <alignment horizontal="left"/>
    </xf>
    <xf numFmtId="4" fontId="28" fillId="3" borderId="150" xfId="0" applyNumberFormat="1" applyFont="1" applyFill="1" applyBorder="1" applyAlignment="1">
      <alignment horizontal="center"/>
    </xf>
    <xf numFmtId="4" fontId="28" fillId="3" borderId="233" xfId="0" applyNumberFormat="1" applyFont="1" applyFill="1" applyBorder="1" applyAlignment="1">
      <alignment horizontal="center"/>
    </xf>
    <xf numFmtId="4" fontId="28" fillId="3" borderId="234" xfId="0" applyNumberFormat="1" applyFont="1" applyFill="1" applyBorder="1" applyAlignment="1">
      <alignment horizontal="center"/>
    </xf>
    <xf numFmtId="166" fontId="77" fillId="3" borderId="154" xfId="0" applyNumberFormat="1" applyFont="1" applyFill="1" applyBorder="1" applyAlignment="1" applyProtection="1">
      <alignment horizontal="right"/>
      <protection hidden="1"/>
    </xf>
    <xf numFmtId="166" fontId="77" fillId="3" borderId="152" xfId="0" applyNumberFormat="1" applyFont="1" applyFill="1" applyBorder="1" applyAlignment="1" applyProtection="1">
      <alignment horizontal="right"/>
      <protection hidden="1"/>
    </xf>
    <xf numFmtId="0" fontId="29" fillId="3" borderId="17" xfId="0" applyFont="1" applyFill="1" applyBorder="1" applyAlignment="1">
      <alignment horizontal="left"/>
    </xf>
    <xf numFmtId="0" fontId="29" fillId="3" borderId="22" xfId="0" applyFont="1" applyFill="1" applyBorder="1" applyAlignment="1">
      <alignment horizontal="left"/>
    </xf>
    <xf numFmtId="0" fontId="29" fillId="3" borderId="18" xfId="0" applyFont="1" applyFill="1" applyBorder="1" applyAlignment="1">
      <alignment horizontal="left"/>
    </xf>
    <xf numFmtId="0" fontId="27" fillId="3" borderId="135" xfId="0" applyFont="1" applyFill="1" applyBorder="1" applyAlignment="1" applyProtection="1">
      <alignment horizontal="left"/>
      <protection locked="0"/>
    </xf>
    <xf numFmtId="0" fontId="27" fillId="3" borderId="136" xfId="0" applyFont="1" applyFill="1" applyBorder="1" applyAlignment="1" applyProtection="1">
      <alignment horizontal="left"/>
      <protection locked="0"/>
    </xf>
    <xf numFmtId="0" fontId="60" fillId="3" borderId="154" xfId="0" applyFont="1" applyFill="1" applyBorder="1" applyAlignment="1">
      <alignment horizontal="center" vertical="center"/>
    </xf>
    <xf numFmtId="0" fontId="60" fillId="3" borderId="153" xfId="0" applyFont="1" applyFill="1" applyBorder="1" applyAlignment="1">
      <alignment horizontal="center" vertical="center"/>
    </xf>
    <xf numFmtId="0" fontId="60" fillId="3" borderId="152" xfId="0" applyFont="1" applyFill="1" applyBorder="1" applyAlignment="1">
      <alignment horizontal="center" vertical="center"/>
    </xf>
    <xf numFmtId="0" fontId="29" fillId="3" borderId="2" xfId="0" applyFont="1" applyFill="1" applyBorder="1" applyAlignment="1">
      <alignment horizontal="left"/>
    </xf>
    <xf numFmtId="0" fontId="29" fillId="3" borderId="3" xfId="0" applyFont="1" applyFill="1" applyBorder="1" applyAlignment="1">
      <alignment horizontal="left"/>
    </xf>
    <xf numFmtId="169" fontId="74" fillId="3" borderId="154" xfId="0" applyNumberFormat="1" applyFont="1" applyFill="1" applyBorder="1" applyAlignment="1" applyProtection="1">
      <alignment horizontal="right"/>
      <protection hidden="1"/>
    </xf>
    <xf numFmtId="169" fontId="74" fillId="3" borderId="153" xfId="0" applyNumberFormat="1" applyFont="1" applyFill="1" applyBorder="1" applyAlignment="1" applyProtection="1">
      <alignment horizontal="right"/>
      <protection hidden="1"/>
    </xf>
    <xf numFmtId="169" fontId="74" fillId="3" borderId="152" xfId="0" applyNumberFormat="1" applyFont="1" applyFill="1" applyBorder="1" applyAlignment="1" applyProtection="1">
      <alignment horizontal="right"/>
      <protection hidden="1"/>
    </xf>
    <xf numFmtId="169" fontId="74" fillId="3" borderId="133" xfId="0" applyNumberFormat="1" applyFont="1" applyFill="1" applyBorder="1" applyAlignment="1" applyProtection="1">
      <alignment horizontal="right"/>
      <protection hidden="1"/>
    </xf>
    <xf numFmtId="0" fontId="75" fillId="3" borderId="133" xfId="0" applyFont="1" applyFill="1" applyBorder="1" applyAlignment="1" applyProtection="1">
      <alignment horizontal="right"/>
      <protection hidden="1"/>
    </xf>
    <xf numFmtId="0" fontId="29" fillId="3" borderId="19" xfId="0" applyFont="1" applyFill="1" applyBorder="1" applyAlignment="1">
      <alignment horizontal="left"/>
    </xf>
    <xf numFmtId="0" fontId="29" fillId="3" borderId="40" xfId="0" applyFont="1" applyFill="1" applyBorder="1" applyAlignment="1">
      <alignment horizontal="left"/>
    </xf>
    <xf numFmtId="0" fontId="29" fillId="3" borderId="20" xfId="0" applyFont="1" applyFill="1" applyBorder="1" applyAlignment="1">
      <alignment horizontal="left"/>
    </xf>
    <xf numFmtId="169" fontId="76" fillId="3" borderId="221" xfId="0" applyNumberFormat="1" applyFont="1" applyFill="1" applyBorder="1" applyAlignment="1" applyProtection="1">
      <alignment horizontal="center"/>
      <protection hidden="1"/>
    </xf>
    <xf numFmtId="169" fontId="76" fillId="3" borderId="220" xfId="0" applyNumberFormat="1" applyFont="1" applyFill="1" applyBorder="1" applyAlignment="1" applyProtection="1">
      <alignment horizontal="center"/>
      <protection hidden="1"/>
    </xf>
    <xf numFmtId="169" fontId="77" fillId="3" borderId="134" xfId="0" applyNumberFormat="1" applyFont="1" applyFill="1" applyBorder="1" applyAlignment="1" applyProtection="1">
      <alignment horizontal="right"/>
      <protection hidden="1"/>
    </xf>
    <xf numFmtId="0" fontId="77" fillId="3" borderId="136" xfId="0" applyFont="1" applyFill="1" applyBorder="1" applyAlignment="1" applyProtection="1">
      <alignment horizontal="right"/>
      <protection hidden="1"/>
    </xf>
    <xf numFmtId="0" fontId="137" fillId="2" borderId="0" xfId="8" applyFont="1" applyFill="1" applyAlignment="1">
      <alignment horizontal="center" vertical="center"/>
    </xf>
    <xf numFmtId="0" fontId="126" fillId="2" borderId="283" xfId="7" applyFont="1" applyFill="1" applyBorder="1" applyAlignment="1" applyProtection="1">
      <alignment horizontal="left"/>
      <protection locked="0"/>
    </xf>
    <xf numFmtId="0" fontId="126" fillId="2" borderId="290" xfId="7" applyFont="1" applyFill="1" applyBorder="1" applyAlignment="1" applyProtection="1">
      <alignment horizontal="left"/>
      <protection locked="0"/>
    </xf>
    <xf numFmtId="16" fontId="127" fillId="2" borderId="283" xfId="7" quotePrefix="1" applyNumberFormat="1" applyFont="1" applyFill="1" applyBorder="1" applyAlignment="1" applyProtection="1">
      <alignment horizontal="left"/>
      <protection locked="0"/>
    </xf>
    <xf numFmtId="16" fontId="127" fillId="2" borderId="290" xfId="7" quotePrefix="1" applyNumberFormat="1" applyFont="1" applyFill="1" applyBorder="1" applyAlignment="1" applyProtection="1">
      <alignment horizontal="left"/>
      <protection locked="0"/>
    </xf>
    <xf numFmtId="16" fontId="127" fillId="2" borderId="283" xfId="7" applyNumberFormat="1" applyFont="1" applyFill="1" applyBorder="1" applyAlignment="1" applyProtection="1">
      <alignment horizontal="left"/>
      <protection locked="0"/>
    </xf>
    <xf numFmtId="16" fontId="127" fillId="2" borderId="292" xfId="7" applyNumberFormat="1" applyFont="1" applyFill="1" applyBorder="1" applyAlignment="1" applyProtection="1">
      <alignment horizontal="left"/>
      <protection locked="0"/>
    </xf>
    <xf numFmtId="0" fontId="4" fillId="2" borderId="293" xfId="7" applyFont="1" applyFill="1" applyBorder="1" applyAlignment="1">
      <alignment horizontal="left"/>
    </xf>
    <xf numFmtId="0" fontId="4" fillId="2" borderId="40" xfId="7" applyFont="1" applyFill="1" applyBorder="1" applyAlignment="1">
      <alignment horizontal="left"/>
    </xf>
    <xf numFmtId="2" fontId="127" fillId="2" borderId="294" xfId="7" applyNumberFormat="1" applyFont="1" applyFill="1" applyBorder="1" applyAlignment="1" applyProtection="1">
      <alignment horizontal="center"/>
      <protection locked="0"/>
    </xf>
    <xf numFmtId="2" fontId="4" fillId="2" borderId="40" xfId="7" applyNumberFormat="1" applyFont="1" applyFill="1" applyBorder="1" applyAlignment="1">
      <alignment horizontal="center"/>
    </xf>
    <xf numFmtId="0" fontId="127" fillId="2" borderId="294" xfId="7" applyFont="1" applyFill="1" applyBorder="1" applyAlignment="1" applyProtection="1">
      <alignment horizontal="left"/>
      <protection locked="0"/>
    </xf>
    <xf numFmtId="0" fontId="127" fillId="2" borderId="296" xfId="7" applyFont="1" applyFill="1" applyBorder="1" applyAlignment="1" applyProtection="1">
      <alignment horizontal="left"/>
      <protection locked="0"/>
    </xf>
    <xf numFmtId="0" fontId="11" fillId="2" borderId="0" xfId="7" applyFont="1" applyFill="1" applyAlignment="1">
      <alignment horizontal="center"/>
    </xf>
    <xf numFmtId="0" fontId="125" fillId="2" borderId="0" xfId="7" applyFont="1" applyFill="1" applyAlignment="1">
      <alignment horizontal="center"/>
    </xf>
    <xf numFmtId="0" fontId="126" fillId="2" borderId="285" xfId="7" quotePrefix="1" applyFont="1" applyFill="1" applyBorder="1" applyAlignment="1" applyProtection="1">
      <alignment horizontal="left"/>
      <protection locked="0"/>
    </xf>
    <xf numFmtId="0" fontId="126" fillId="2" borderId="285" xfId="7" applyFont="1" applyFill="1" applyBorder="1" applyAlignment="1" applyProtection="1">
      <alignment horizontal="left"/>
      <protection locked="0"/>
    </xf>
    <xf numFmtId="0" fontId="126" fillId="2" borderId="286" xfId="7" applyFont="1" applyFill="1" applyBorder="1" applyAlignment="1" applyProtection="1">
      <alignment horizontal="left"/>
      <protection locked="0"/>
    </xf>
    <xf numFmtId="0" fontId="127" fillId="2" borderId="285" xfId="7" applyFont="1" applyFill="1" applyBorder="1" applyAlignment="1" applyProtection="1">
      <alignment horizontal="left"/>
      <protection locked="0"/>
    </xf>
    <xf numFmtId="0" fontId="127" fillId="2" borderId="286" xfId="7" applyFont="1" applyFill="1" applyBorder="1" applyAlignment="1" applyProtection="1">
      <alignment horizontal="left"/>
      <protection locked="0"/>
    </xf>
    <xf numFmtId="14" fontId="127" fillId="2" borderId="285" xfId="7" applyNumberFormat="1" applyFont="1" applyFill="1" applyBorder="1" applyAlignment="1" applyProtection="1">
      <alignment horizontal="left"/>
      <protection locked="0"/>
    </xf>
    <xf numFmtId="14" fontId="127" fillId="2" borderId="288" xfId="7" applyNumberFormat="1" applyFont="1" applyFill="1" applyBorder="1" applyAlignment="1" applyProtection="1">
      <alignment horizontal="left"/>
      <protection locked="0"/>
    </xf>
    <xf numFmtId="0" fontId="4" fillId="2" borderId="301" xfId="7" applyFont="1" applyFill="1" applyBorder="1" applyAlignment="1">
      <alignment horizontal="center"/>
    </xf>
    <xf numFmtId="0" fontId="4" fillId="2" borderId="300" xfId="7" applyFont="1" applyFill="1" applyBorder="1" applyAlignment="1">
      <alignment horizontal="center"/>
    </xf>
    <xf numFmtId="0" fontId="4" fillId="2" borderId="302" xfId="7" applyFont="1" applyFill="1" applyBorder="1" applyAlignment="1">
      <alignment horizontal="center"/>
    </xf>
    <xf numFmtId="0" fontId="4" fillId="2" borderId="297" xfId="7" applyFont="1" applyFill="1" applyBorder="1" applyAlignment="1">
      <alignment horizontal="left"/>
    </xf>
    <xf numFmtId="0" fontId="4" fillId="2" borderId="298" xfId="7" applyFont="1" applyFill="1" applyBorder="1" applyAlignment="1">
      <alignment horizontal="left"/>
    </xf>
    <xf numFmtId="2" fontId="127" fillId="2" borderId="298" xfId="7" applyNumberFormat="1" applyFont="1" applyFill="1" applyBorder="1" applyAlignment="1" applyProtection="1">
      <alignment horizontal="center"/>
      <protection locked="0"/>
    </xf>
    <xf numFmtId="0" fontId="4" fillId="2" borderId="298" xfId="7" applyFont="1" applyFill="1" applyBorder="1" applyAlignment="1">
      <alignment horizontal="center"/>
    </xf>
    <xf numFmtId="0" fontId="129" fillId="2" borderId="0" xfId="7" applyFont="1" applyFill="1" applyAlignment="1">
      <alignment horizontal="center"/>
    </xf>
    <xf numFmtId="2" fontId="128" fillId="2" borderId="2" xfId="7" applyNumberFormat="1" applyFont="1" applyFill="1" applyBorder="1" applyAlignment="1" applyProtection="1">
      <alignment horizontal="center"/>
      <protection locked="0"/>
    </xf>
    <xf numFmtId="2" fontId="128" fillId="2" borderId="3" xfId="7" applyNumberFormat="1" applyFont="1" applyFill="1" applyBorder="1" applyAlignment="1" applyProtection="1">
      <alignment horizontal="center"/>
      <protection locked="0"/>
    </xf>
    <xf numFmtId="2" fontId="128" fillId="2" borderId="4" xfId="7" applyNumberFormat="1" applyFont="1" applyFill="1" applyBorder="1" applyAlignment="1" applyProtection="1">
      <alignment horizontal="center"/>
      <protection locked="0"/>
    </xf>
    <xf numFmtId="0" fontId="128" fillId="2" borderId="295" xfId="7" applyFont="1" applyFill="1" applyBorder="1" applyAlignment="1" applyProtection="1">
      <alignment horizontal="center"/>
      <protection locked="0"/>
    </xf>
    <xf numFmtId="0" fontId="128" fillId="2" borderId="294" xfId="7" applyFont="1" applyFill="1" applyBorder="1" applyAlignment="1" applyProtection="1">
      <alignment horizontal="center"/>
      <protection locked="0"/>
    </xf>
    <xf numFmtId="0" fontId="128" fillId="2" borderId="305" xfId="7" applyFont="1" applyFill="1" applyBorder="1" applyAlignment="1" applyProtection="1">
      <alignment horizontal="center"/>
      <protection locked="0"/>
    </xf>
    <xf numFmtId="3" fontId="4" fillId="2" borderId="2" xfId="7" applyNumberFormat="1" applyFont="1" applyFill="1" applyBorder="1" applyAlignment="1">
      <alignment horizontal="center"/>
    </xf>
    <xf numFmtId="3" fontId="4" fillId="2" borderId="3" xfId="7" applyNumberFormat="1" applyFont="1" applyFill="1" applyBorder="1" applyAlignment="1">
      <alignment horizontal="center"/>
    </xf>
    <xf numFmtId="3" fontId="4" fillId="2" borderId="4" xfId="7" applyNumberFormat="1" applyFont="1" applyFill="1" applyBorder="1" applyAlignment="1">
      <alignment horizontal="center"/>
    </xf>
    <xf numFmtId="1" fontId="3" fillId="2" borderId="2" xfId="7" applyNumberFormat="1" applyFill="1" applyBorder="1" applyAlignment="1">
      <alignment horizontal="center"/>
    </xf>
    <xf numFmtId="1" fontId="3" fillId="2" borderId="3" xfId="7" applyNumberFormat="1" applyFill="1" applyBorder="1" applyAlignment="1">
      <alignment horizontal="center"/>
    </xf>
    <xf numFmtId="1" fontId="3" fillId="2" borderId="4" xfId="7" applyNumberFormat="1" applyFill="1" applyBorder="1" applyAlignment="1">
      <alignment horizontal="center"/>
    </xf>
    <xf numFmtId="0" fontId="3" fillId="2" borderId="2" xfId="7" applyFill="1" applyBorder="1" applyAlignment="1">
      <alignment horizontal="center"/>
    </xf>
    <xf numFmtId="0" fontId="3" fillId="2" borderId="3" xfId="7" applyFill="1" applyBorder="1" applyAlignment="1">
      <alignment horizontal="center"/>
    </xf>
    <xf numFmtId="0" fontId="3" fillId="2" borderId="4" xfId="7" applyFill="1" applyBorder="1" applyAlignment="1">
      <alignment horizontal="center"/>
    </xf>
    <xf numFmtId="1" fontId="124" fillId="2" borderId="2" xfId="7" applyNumberFormat="1" applyFont="1" applyFill="1" applyBorder="1" applyAlignment="1">
      <alignment horizontal="center"/>
    </xf>
    <xf numFmtId="1" fontId="124" fillId="2" borderId="3" xfId="7" applyNumberFormat="1" applyFont="1" applyFill="1" applyBorder="1" applyAlignment="1">
      <alignment horizontal="center"/>
    </xf>
    <xf numFmtId="1" fontId="124" fillId="2" borderId="4" xfId="7" applyNumberFormat="1" applyFont="1" applyFill="1" applyBorder="1" applyAlignment="1">
      <alignment horizontal="center"/>
    </xf>
    <xf numFmtId="169" fontId="3" fillId="2" borderId="2" xfId="7" applyNumberFormat="1" applyFill="1" applyBorder="1" applyAlignment="1">
      <alignment horizontal="right"/>
    </xf>
    <xf numFmtId="169" fontId="3" fillId="2" borderId="3" xfId="7" applyNumberFormat="1" applyFill="1" applyBorder="1" applyAlignment="1">
      <alignment horizontal="right"/>
    </xf>
    <xf numFmtId="169" fontId="3" fillId="2" borderId="4" xfId="7" applyNumberFormat="1" applyFill="1" applyBorder="1" applyAlignment="1">
      <alignment horizontal="right"/>
    </xf>
    <xf numFmtId="3" fontId="124" fillId="2" borderId="2" xfId="7" applyNumberFormat="1" applyFont="1" applyFill="1" applyBorder="1" applyAlignment="1">
      <alignment horizontal="center"/>
    </xf>
    <xf numFmtId="3" fontId="124" fillId="2" borderId="3" xfId="7" applyNumberFormat="1" applyFont="1" applyFill="1" applyBorder="1" applyAlignment="1">
      <alignment horizontal="center"/>
    </xf>
    <xf numFmtId="3" fontId="124" fillId="2" borderId="4" xfId="7" applyNumberFormat="1" applyFont="1" applyFill="1" applyBorder="1" applyAlignment="1">
      <alignment horizontal="center"/>
    </xf>
    <xf numFmtId="169" fontId="124" fillId="2" borderId="2" xfId="7" applyNumberFormat="1" applyFont="1" applyFill="1" applyBorder="1" applyAlignment="1">
      <alignment horizontal="right"/>
    </xf>
    <xf numFmtId="169" fontId="124" fillId="2" borderId="3" xfId="7" applyNumberFormat="1" applyFont="1" applyFill="1" applyBorder="1" applyAlignment="1">
      <alignment horizontal="right"/>
    </xf>
    <xf numFmtId="169" fontId="124" fillId="2" borderId="4" xfId="7" applyNumberFormat="1" applyFont="1" applyFill="1" applyBorder="1" applyAlignment="1">
      <alignment horizontal="right"/>
    </xf>
    <xf numFmtId="179" fontId="3" fillId="2" borderId="2" xfId="7" applyNumberFormat="1" applyFill="1" applyBorder="1" applyAlignment="1">
      <alignment horizontal="right"/>
    </xf>
    <xf numFmtId="179" fontId="3" fillId="2" borderId="3" xfId="7" applyNumberFormat="1" applyFill="1" applyBorder="1" applyAlignment="1">
      <alignment horizontal="right"/>
    </xf>
    <xf numFmtId="179" fontId="3" fillId="2" borderId="4" xfId="7" applyNumberFormat="1" applyFill="1" applyBorder="1" applyAlignment="1">
      <alignment horizontal="right"/>
    </xf>
    <xf numFmtId="167" fontId="132" fillId="2" borderId="2" xfId="7" applyNumberFormat="1" applyFont="1" applyFill="1" applyBorder="1" applyAlignment="1">
      <alignment horizontal="right"/>
    </xf>
    <xf numFmtId="167" fontId="132" fillId="2" borderId="3" xfId="0" applyNumberFormat="1" applyFont="1" applyFill="1" applyBorder="1" applyAlignment="1">
      <alignment horizontal="right"/>
    </xf>
    <xf numFmtId="167" fontId="132" fillId="2" borderId="4" xfId="0" applyNumberFormat="1" applyFont="1" applyFill="1" applyBorder="1" applyAlignment="1">
      <alignment horizontal="right"/>
    </xf>
    <xf numFmtId="169" fontId="133" fillId="2" borderId="2" xfId="7" applyNumberFormat="1" applyFont="1" applyFill="1" applyBorder="1" applyAlignment="1">
      <alignment horizontal="right"/>
    </xf>
    <xf numFmtId="169" fontId="133" fillId="2" borderId="3" xfId="7" applyNumberFormat="1" applyFont="1" applyFill="1" applyBorder="1" applyAlignment="1">
      <alignment horizontal="right"/>
    </xf>
    <xf numFmtId="169" fontId="133" fillId="2" borderId="4" xfId="7" applyNumberFormat="1" applyFont="1" applyFill="1" applyBorder="1" applyAlignment="1">
      <alignment horizontal="right"/>
    </xf>
    <xf numFmtId="166" fontId="124" fillId="2" borderId="2" xfId="7" applyNumberFormat="1" applyFont="1" applyFill="1" applyBorder="1" applyAlignment="1">
      <alignment horizontal="right"/>
    </xf>
    <xf numFmtId="166" fontId="124" fillId="2" borderId="3" xfId="7" applyNumberFormat="1" applyFont="1" applyFill="1" applyBorder="1" applyAlignment="1">
      <alignment horizontal="right"/>
    </xf>
    <xf numFmtId="166" fontId="124" fillId="2" borderId="4" xfId="7" applyNumberFormat="1" applyFont="1" applyFill="1" applyBorder="1" applyAlignment="1">
      <alignment horizontal="right"/>
    </xf>
    <xf numFmtId="0" fontId="124" fillId="2" borderId="3" xfId="7" applyFont="1" applyFill="1" applyBorder="1" applyAlignment="1">
      <alignment horizontal="right"/>
    </xf>
    <xf numFmtId="0" fontId="124" fillId="2" borderId="4" xfId="7" applyFont="1" applyFill="1" applyBorder="1" applyAlignment="1">
      <alignment horizontal="right"/>
    </xf>
    <xf numFmtId="0" fontId="124" fillId="2" borderId="2" xfId="7" applyFont="1" applyFill="1" applyBorder="1" applyAlignment="1">
      <alignment horizontal="right"/>
    </xf>
    <xf numFmtId="179" fontId="132" fillId="2" borderId="2" xfId="7" applyNumberFormat="1" applyFont="1" applyFill="1" applyBorder="1" applyAlignment="1">
      <alignment horizontal="right"/>
    </xf>
    <xf numFmtId="0" fontId="132" fillId="2" borderId="3" xfId="7" applyFont="1" applyFill="1" applyBorder="1" applyAlignment="1">
      <alignment horizontal="right"/>
    </xf>
    <xf numFmtId="0" fontId="132" fillId="2" borderId="4" xfId="7" applyFont="1" applyFill="1" applyBorder="1" applyAlignment="1">
      <alignment horizontal="right"/>
    </xf>
    <xf numFmtId="166" fontId="3" fillId="2" borderId="287" xfId="7" applyNumberFormat="1" applyFill="1" applyBorder="1" applyAlignment="1">
      <alignment horizontal="center"/>
    </xf>
    <xf numFmtId="166" fontId="3" fillId="2" borderId="285" xfId="7" applyNumberFormat="1" applyFill="1" applyBorder="1" applyAlignment="1">
      <alignment horizontal="center"/>
    </xf>
    <xf numFmtId="166" fontId="3" fillId="2" borderId="286" xfId="7" applyNumberFormat="1" applyFill="1" applyBorder="1" applyAlignment="1">
      <alignment horizontal="center"/>
    </xf>
    <xf numFmtId="0" fontId="3" fillId="2" borderId="287" xfId="7" applyFill="1" applyBorder="1" applyAlignment="1">
      <alignment horizontal="center"/>
    </xf>
    <xf numFmtId="0" fontId="3" fillId="2" borderId="285" xfId="7" applyFill="1" applyBorder="1" applyAlignment="1">
      <alignment horizontal="center"/>
    </xf>
    <xf numFmtId="0" fontId="3" fillId="2" borderId="286" xfId="7" applyFill="1" applyBorder="1" applyAlignment="1">
      <alignment horizontal="center"/>
    </xf>
    <xf numFmtId="0" fontId="3" fillId="2" borderId="288" xfId="7" applyFill="1" applyBorder="1" applyAlignment="1">
      <alignment horizontal="center"/>
    </xf>
    <xf numFmtId="169" fontId="108" fillId="2" borderId="59" xfId="7" applyNumberFormat="1" applyFont="1" applyFill="1" applyBorder="1" applyAlignment="1">
      <alignment horizontal="right"/>
    </xf>
    <xf numFmtId="169" fontId="108" fillId="2" borderId="43" xfId="7" applyNumberFormat="1" applyFont="1" applyFill="1" applyBorder="1" applyAlignment="1">
      <alignment horizontal="right"/>
    </xf>
    <xf numFmtId="0" fontId="4" fillId="2" borderId="43" xfId="7" applyFont="1" applyFill="1" applyBorder="1" applyAlignment="1">
      <alignment horizontal="left"/>
    </xf>
    <xf numFmtId="0" fontId="4" fillId="2" borderId="95" xfId="7" applyFont="1" applyFill="1" applyBorder="1" applyAlignment="1">
      <alignment horizontal="left"/>
    </xf>
    <xf numFmtId="0" fontId="4" fillId="2" borderId="309" xfId="7" applyFont="1" applyFill="1" applyBorder="1" applyAlignment="1">
      <alignment horizontal="left"/>
    </xf>
    <xf numFmtId="169" fontId="124" fillId="2" borderId="308" xfId="7" applyNumberFormat="1" applyFont="1" applyFill="1" applyBorder="1" applyAlignment="1">
      <alignment horizontal="right"/>
    </xf>
    <xf numFmtId="169" fontId="124" fillId="2" borderId="298" xfId="7" applyNumberFormat="1" applyFont="1" applyFill="1" applyBorder="1" applyAlignment="1">
      <alignment horizontal="right"/>
    </xf>
    <xf numFmtId="169" fontId="124" fillId="2" borderId="299" xfId="7" applyNumberFormat="1" applyFont="1" applyFill="1" applyBorder="1" applyAlignment="1">
      <alignment horizontal="right"/>
    </xf>
    <xf numFmtId="0" fontId="134" fillId="2" borderId="96" xfId="7" applyFont="1" applyFill="1" applyBorder="1" applyAlignment="1" applyProtection="1">
      <alignment horizontal="center"/>
      <protection locked="0"/>
    </xf>
    <xf numFmtId="0" fontId="134" fillId="2" borderId="106" xfId="7" applyFont="1" applyFill="1" applyBorder="1" applyAlignment="1" applyProtection="1">
      <alignment horizontal="center"/>
      <protection locked="0"/>
    </xf>
    <xf numFmtId="169" fontId="108" fillId="2" borderId="313" xfId="7" applyNumberFormat="1" applyFont="1" applyFill="1" applyBorder="1" applyAlignment="1">
      <alignment horizontal="right"/>
    </xf>
    <xf numFmtId="169" fontId="108" fillId="2" borderId="60" xfId="7" applyNumberFormat="1" applyFont="1" applyFill="1" applyBorder="1" applyAlignment="1">
      <alignment horizontal="right"/>
    </xf>
    <xf numFmtId="0" fontId="4" fillId="2" borderId="60" xfId="7" applyFont="1" applyFill="1" applyBorder="1" applyAlignment="1">
      <alignment horizontal="left"/>
    </xf>
    <xf numFmtId="0" fontId="4" fillId="2" borderId="118" xfId="7" applyFont="1" applyFill="1" applyBorder="1" applyAlignment="1">
      <alignment horizontal="left"/>
    </xf>
    <xf numFmtId="0" fontId="4" fillId="2" borderId="313" xfId="7" applyFont="1" applyFill="1" applyBorder="1" applyAlignment="1">
      <alignment horizontal="center"/>
    </xf>
    <xf numFmtId="0" fontId="4" fillId="2" borderId="60" xfId="7" applyFont="1" applyFill="1" applyBorder="1" applyAlignment="1">
      <alignment horizontal="center"/>
    </xf>
    <xf numFmtId="0" fontId="4" fillId="2" borderId="118" xfId="7" applyFont="1" applyFill="1" applyBorder="1" applyAlignment="1">
      <alignment horizontal="center"/>
    </xf>
    <xf numFmtId="169" fontId="135" fillId="2" borderId="313" xfId="7" applyNumberFormat="1" applyFont="1" applyFill="1" applyBorder="1" applyAlignment="1" applyProtection="1">
      <alignment horizontal="right"/>
      <protection locked="0"/>
    </xf>
    <xf numFmtId="169" fontId="135" fillId="2" borderId="60" xfId="7" applyNumberFormat="1" applyFont="1" applyFill="1" applyBorder="1" applyAlignment="1" applyProtection="1">
      <alignment horizontal="right"/>
      <protection locked="0"/>
    </xf>
    <xf numFmtId="0" fontId="135" fillId="2" borderId="2" xfId="7" applyFont="1" applyFill="1" applyBorder="1" applyAlignment="1" applyProtection="1">
      <alignment horizontal="center"/>
      <protection locked="0"/>
    </xf>
    <xf numFmtId="0" fontId="135" fillId="2" borderId="4" xfId="7" applyFont="1" applyFill="1" applyBorder="1" applyAlignment="1" applyProtection="1">
      <alignment horizontal="center"/>
      <protection locked="0"/>
    </xf>
    <xf numFmtId="0" fontId="3" fillId="2" borderId="314" xfId="7" applyFill="1" applyBorder="1" applyAlignment="1">
      <alignment horizontal="right"/>
    </xf>
    <xf numFmtId="0" fontId="3" fillId="2" borderId="315" xfId="7" applyFill="1" applyBorder="1" applyAlignment="1">
      <alignment horizontal="right"/>
    </xf>
    <xf numFmtId="166" fontId="129" fillId="2" borderId="315" xfId="7" applyNumberFormat="1" applyFont="1" applyFill="1" applyBorder="1" applyAlignment="1">
      <alignment horizontal="center"/>
    </xf>
    <xf numFmtId="0" fontId="129" fillId="2" borderId="315" xfId="7" applyFont="1" applyFill="1" applyBorder="1" applyAlignment="1">
      <alignment horizontal="center"/>
    </xf>
    <xf numFmtId="0" fontId="129" fillId="2" borderId="316" xfId="7" applyFont="1" applyFill="1" applyBorder="1" applyAlignment="1">
      <alignment horizontal="center"/>
    </xf>
    <xf numFmtId="169" fontId="108" fillId="2" borderId="2" xfId="7" applyNumberFormat="1" applyFont="1" applyFill="1" applyBorder="1" applyAlignment="1">
      <alignment horizontal="right"/>
    </xf>
    <xf numFmtId="169" fontId="108" fillId="2" borderId="3" xfId="7" applyNumberFormat="1" applyFont="1" applyFill="1" applyBorder="1" applyAlignment="1">
      <alignment horizontal="right"/>
    </xf>
    <xf numFmtId="0" fontId="4" fillId="2" borderId="3" xfId="7" applyFont="1" applyFill="1" applyBorder="1" applyAlignment="1">
      <alignment horizontal="left"/>
    </xf>
    <xf numFmtId="0" fontId="4" fillId="2" borderId="4" xfId="7" applyFont="1" applyFill="1" applyBorder="1" applyAlignment="1">
      <alignment horizontal="left"/>
    </xf>
    <xf numFmtId="0" fontId="4" fillId="2" borderId="311" xfId="7" applyFont="1" applyFill="1" applyBorder="1" applyAlignment="1">
      <alignment horizontal="left"/>
    </xf>
    <xf numFmtId="0" fontId="3" fillId="2" borderId="312" xfId="7" applyFill="1" applyBorder="1" applyAlignment="1">
      <alignment horizontal="right"/>
    </xf>
    <xf numFmtId="0" fontId="3" fillId="2" borderId="96" xfId="7" applyFill="1" applyBorder="1" applyAlignment="1">
      <alignment horizontal="right"/>
    </xf>
    <xf numFmtId="0" fontId="2" fillId="2" borderId="0" xfId="7" applyFont="1" applyFill="1" applyAlignment="1">
      <alignment horizontal="center"/>
    </xf>
    <xf numFmtId="0" fontId="3" fillId="2" borderId="0" xfId="7" applyFill="1" applyAlignment="1">
      <alignment horizontal="center"/>
    </xf>
    <xf numFmtId="166" fontId="127" fillId="2" borderId="0" xfId="7" applyNumberFormat="1" applyFont="1" applyFill="1" applyAlignment="1" applyProtection="1">
      <alignment horizontal="center"/>
      <protection locked="0"/>
    </xf>
    <xf numFmtId="0" fontId="127" fillId="2" borderId="0" xfId="7" applyFont="1" applyFill="1" applyAlignment="1" applyProtection="1">
      <alignment horizontal="center"/>
      <protection locked="0"/>
    </xf>
    <xf numFmtId="0" fontId="0" fillId="2" borderId="0" xfId="0" applyFill="1" applyAlignment="1">
      <alignment horizontal="center" vertical="center"/>
    </xf>
    <xf numFmtId="0" fontId="4" fillId="2" borderId="0" xfId="7" applyFont="1" applyFill="1" applyAlignment="1">
      <alignment horizontal="center"/>
    </xf>
    <xf numFmtId="0" fontId="2" fillId="2" borderId="0" xfId="7" applyFont="1" applyFill="1" applyAlignment="1">
      <alignment horizontal="right"/>
    </xf>
    <xf numFmtId="166" fontId="108" fillId="2" borderId="0" xfId="7" applyNumberFormat="1" applyFont="1" applyFill="1" applyAlignment="1">
      <alignment horizontal="center"/>
    </xf>
    <xf numFmtId="0" fontId="108" fillId="2" borderId="0" xfId="7" applyFont="1" applyFill="1" applyAlignment="1">
      <alignment horizontal="center"/>
    </xf>
    <xf numFmtId="0" fontId="2" fillId="2" borderId="0" xfId="7" applyFont="1" applyFill="1" applyAlignment="1" applyProtection="1">
      <alignment horizontal="center"/>
      <protection locked="0"/>
    </xf>
    <xf numFmtId="0" fontId="3" fillId="2" borderId="0" xfId="0" applyFont="1" applyFill="1" applyAlignment="1" applyProtection="1">
      <alignment horizontal="center"/>
      <protection locked="0"/>
    </xf>
    <xf numFmtId="0" fontId="12" fillId="2" borderId="0" xfId="7" applyFont="1" applyFill="1" applyAlignment="1">
      <alignment horizontal="right"/>
    </xf>
    <xf numFmtId="0" fontId="128" fillId="2" borderId="2" xfId="7" applyFont="1" applyFill="1" applyBorder="1" applyAlignment="1" applyProtection="1">
      <alignment horizontal="center"/>
      <protection locked="0"/>
    </xf>
    <xf numFmtId="0" fontId="128" fillId="2" borderId="3" xfId="7" applyFont="1" applyFill="1" applyBorder="1" applyAlignment="1" applyProtection="1">
      <alignment horizontal="center"/>
      <protection locked="0"/>
    </xf>
    <xf numFmtId="0" fontId="128" fillId="2" borderId="4" xfId="7" applyFont="1" applyFill="1" applyBorder="1" applyAlignment="1" applyProtection="1">
      <alignment horizontal="center"/>
      <protection locked="0"/>
    </xf>
    <xf numFmtId="166" fontId="3" fillId="2" borderId="2" xfId="7" applyNumberFormat="1" applyFill="1" applyBorder="1" applyAlignment="1">
      <alignment horizontal="center"/>
    </xf>
    <xf numFmtId="166" fontId="3" fillId="2" borderId="3" xfId="7" applyNumberFormat="1" applyFill="1" applyBorder="1" applyAlignment="1">
      <alignment horizontal="center"/>
    </xf>
    <xf numFmtId="166" fontId="3" fillId="2" borderId="4" xfId="7" applyNumberFormat="1" applyFill="1" applyBorder="1" applyAlignment="1">
      <alignment horizontal="center"/>
    </xf>
    <xf numFmtId="166" fontId="124" fillId="2" borderId="2" xfId="7" applyNumberFormat="1" applyFont="1" applyFill="1" applyBorder="1" applyAlignment="1">
      <alignment horizontal="center"/>
    </xf>
    <xf numFmtId="166" fontId="124" fillId="2" borderId="3" xfId="7" applyNumberFormat="1" applyFont="1" applyFill="1" applyBorder="1" applyAlignment="1">
      <alignment horizontal="center"/>
    </xf>
    <xf numFmtId="166" fontId="124" fillId="2" borderId="4" xfId="7" applyNumberFormat="1" applyFont="1" applyFill="1" applyBorder="1" applyAlignment="1">
      <alignment horizontal="center"/>
    </xf>
    <xf numFmtId="167" fontId="132" fillId="2" borderId="2" xfId="7" applyNumberFormat="1" applyFont="1" applyFill="1" applyBorder="1" applyAlignment="1">
      <alignment horizontal="center"/>
    </xf>
    <xf numFmtId="167" fontId="132" fillId="2" borderId="3" xfId="0" applyNumberFormat="1" applyFont="1" applyFill="1" applyBorder="1"/>
    <xf numFmtId="167" fontId="132" fillId="2" borderId="4" xfId="0" applyNumberFormat="1" applyFont="1" applyFill="1" applyBorder="1"/>
    <xf numFmtId="167" fontId="132" fillId="2" borderId="3" xfId="7" applyNumberFormat="1" applyFont="1" applyFill="1" applyBorder="1" applyAlignment="1">
      <alignment horizontal="center"/>
    </xf>
    <xf numFmtId="167" fontId="132" fillId="2" borderId="4" xfId="7" applyNumberFormat="1" applyFont="1" applyFill="1" applyBorder="1" applyAlignment="1">
      <alignment horizontal="center"/>
    </xf>
    <xf numFmtId="166" fontId="133" fillId="2" borderId="2" xfId="7" applyNumberFormat="1" applyFont="1" applyFill="1" applyBorder="1" applyAlignment="1">
      <alignment horizontal="center"/>
    </xf>
    <xf numFmtId="166" fontId="133" fillId="2" borderId="3" xfId="7" applyNumberFormat="1" applyFont="1" applyFill="1" applyBorder="1" applyAlignment="1">
      <alignment horizontal="center"/>
    </xf>
    <xf numFmtId="166" fontId="133" fillId="2" borderId="4" xfId="7" applyNumberFormat="1" applyFont="1" applyFill="1" applyBorder="1" applyAlignment="1">
      <alignment horizontal="center"/>
    </xf>
    <xf numFmtId="169" fontId="124" fillId="2" borderId="2" xfId="7" applyNumberFormat="1" applyFont="1" applyFill="1" applyBorder="1" applyAlignment="1">
      <alignment horizontal="center"/>
    </xf>
    <xf numFmtId="169" fontId="124" fillId="2" borderId="3" xfId="7" applyNumberFormat="1" applyFont="1" applyFill="1" applyBorder="1" applyAlignment="1">
      <alignment horizontal="center"/>
    </xf>
    <xf numFmtId="169" fontId="124" fillId="2" borderId="4" xfId="7" applyNumberFormat="1" applyFont="1" applyFill="1" applyBorder="1" applyAlignment="1">
      <alignment horizontal="center"/>
    </xf>
    <xf numFmtId="169" fontId="124" fillId="2" borderId="2" xfId="7" applyNumberFormat="1" applyFont="1" applyFill="1" applyBorder="1" applyAlignment="1" applyProtection="1">
      <alignment horizontal="center"/>
      <protection locked="0"/>
    </xf>
    <xf numFmtId="169" fontId="124" fillId="2" borderId="3" xfId="7" applyNumberFormat="1" applyFont="1" applyFill="1" applyBorder="1" applyAlignment="1" applyProtection="1">
      <alignment horizontal="center"/>
      <protection locked="0"/>
    </xf>
    <xf numFmtId="169" fontId="124" fillId="2" borderId="4" xfId="7" applyNumberFormat="1" applyFont="1" applyFill="1" applyBorder="1" applyAlignment="1" applyProtection="1">
      <alignment horizontal="center"/>
      <protection locked="0"/>
    </xf>
    <xf numFmtId="166" fontId="108" fillId="2" borderId="59" xfId="7" applyNumberFormat="1" applyFont="1" applyFill="1" applyBorder="1" applyAlignment="1">
      <alignment horizontal="right"/>
    </xf>
    <xf numFmtId="0" fontId="108" fillId="2" borderId="43" xfId="7" applyFont="1" applyFill="1" applyBorder="1" applyAlignment="1">
      <alignment horizontal="right"/>
    </xf>
    <xf numFmtId="166" fontId="108" fillId="2" borderId="59" xfId="7" applyNumberFormat="1" applyFont="1" applyFill="1" applyBorder="1"/>
    <xf numFmtId="0" fontId="108" fillId="2" borderId="43" xfId="7" applyFont="1" applyFill="1" applyBorder="1"/>
    <xf numFmtId="0" fontId="4" fillId="2" borderId="97" xfId="7" applyFont="1" applyFill="1" applyBorder="1" applyAlignment="1">
      <alignment horizontal="left"/>
    </xf>
    <xf numFmtId="166" fontId="124" fillId="2" borderId="308" xfId="7" applyNumberFormat="1" applyFont="1" applyFill="1" applyBorder="1" applyAlignment="1">
      <alignment horizontal="center"/>
    </xf>
    <xf numFmtId="166" fontId="124" fillId="2" borderId="298" xfId="7" applyNumberFormat="1" applyFont="1" applyFill="1" applyBorder="1" applyAlignment="1">
      <alignment horizontal="center"/>
    </xf>
    <xf numFmtId="166" fontId="124" fillId="2" borderId="299" xfId="7" applyNumberFormat="1" applyFont="1" applyFill="1" applyBorder="1" applyAlignment="1">
      <alignment horizontal="center"/>
    </xf>
    <xf numFmtId="0" fontId="6" fillId="2" borderId="49" xfId="7" applyFont="1" applyFill="1" applyBorder="1" applyAlignment="1">
      <alignment horizontal="center"/>
    </xf>
    <xf numFmtId="0" fontId="6" fillId="2" borderId="57" xfId="7" applyFont="1" applyFill="1" applyBorder="1" applyAlignment="1">
      <alignment horizontal="center"/>
    </xf>
    <xf numFmtId="0" fontId="6" fillId="2" borderId="50" xfId="7" applyFont="1" applyFill="1" applyBorder="1" applyAlignment="1">
      <alignment horizontal="center"/>
    </xf>
    <xf numFmtId="0" fontId="4" fillId="2" borderId="49" xfId="7" applyFont="1" applyFill="1" applyBorder="1" applyAlignment="1">
      <alignment horizontal="center"/>
    </xf>
    <xf numFmtId="0" fontId="4" fillId="2" borderId="57" xfId="7" applyFont="1" applyFill="1" applyBorder="1" applyAlignment="1">
      <alignment horizontal="center"/>
    </xf>
    <xf numFmtId="0" fontId="4" fillId="2" borderId="50" xfId="7" applyFont="1" applyFill="1" applyBorder="1" applyAlignment="1">
      <alignment horizontal="center"/>
    </xf>
    <xf numFmtId="169" fontId="135" fillId="2" borderId="60" xfId="7" applyNumberFormat="1" applyFont="1" applyFill="1" applyBorder="1" applyProtection="1">
      <protection locked="0"/>
    </xf>
    <xf numFmtId="0" fontId="4" fillId="2" borderId="317" xfId="7" applyFont="1" applyFill="1" applyBorder="1" applyAlignment="1">
      <alignment horizontal="left"/>
    </xf>
    <xf numFmtId="169" fontId="134" fillId="2" borderId="96" xfId="7" applyNumberFormat="1" applyFont="1" applyFill="1" applyBorder="1" applyAlignment="1" applyProtection="1">
      <alignment horizontal="center"/>
      <protection locked="0"/>
    </xf>
    <xf numFmtId="169" fontId="134" fillId="2" borderId="106" xfId="7" applyNumberFormat="1" applyFont="1" applyFill="1" applyBorder="1" applyAlignment="1" applyProtection="1">
      <alignment horizontal="center"/>
      <protection locked="0"/>
    </xf>
    <xf numFmtId="166" fontId="108" fillId="2" borderId="313" xfId="7" applyNumberFormat="1" applyFont="1" applyFill="1" applyBorder="1" applyAlignment="1">
      <alignment horizontal="right"/>
    </xf>
    <xf numFmtId="0" fontId="108" fillId="2" borderId="60" xfId="7" applyFont="1" applyFill="1" applyBorder="1" applyAlignment="1">
      <alignment horizontal="right"/>
    </xf>
    <xf numFmtId="0" fontId="4" fillId="2" borderId="313" xfId="7" applyFont="1" applyFill="1" applyBorder="1" applyProtection="1">
      <protection locked="0"/>
    </xf>
    <xf numFmtId="0" fontId="4" fillId="2" borderId="60" xfId="7" applyFont="1" applyFill="1" applyBorder="1" applyProtection="1">
      <protection locked="0"/>
    </xf>
    <xf numFmtId="169" fontId="129" fillId="2" borderId="315" xfId="7" applyNumberFormat="1" applyFont="1" applyFill="1" applyBorder="1" applyAlignment="1">
      <alignment horizontal="center"/>
    </xf>
    <xf numFmtId="169" fontId="129" fillId="2" borderId="316" xfId="7" applyNumberFormat="1" applyFont="1" applyFill="1" applyBorder="1" applyAlignment="1">
      <alignment horizontal="center"/>
    </xf>
    <xf numFmtId="166" fontId="108" fillId="2" borderId="2" xfId="7" applyNumberFormat="1" applyFont="1" applyFill="1" applyBorder="1" applyAlignment="1">
      <alignment horizontal="right"/>
    </xf>
    <xf numFmtId="0" fontId="108" fillId="2" borderId="3" xfId="7" applyFont="1" applyFill="1" applyBorder="1" applyAlignment="1">
      <alignment horizontal="right"/>
    </xf>
    <xf numFmtId="166" fontId="108" fillId="2" borderId="2" xfId="7" applyNumberFormat="1" applyFont="1" applyFill="1" applyBorder="1"/>
    <xf numFmtId="0" fontId="108" fillId="2" borderId="3" xfId="7" applyFont="1" applyFill="1" applyBorder="1"/>
    <xf numFmtId="0" fontId="4" fillId="2" borderId="121" xfId="7" applyFont="1" applyFill="1" applyBorder="1" applyAlignment="1">
      <alignment horizontal="left"/>
    </xf>
    <xf numFmtId="0" fontId="2" fillId="2" borderId="0" xfId="7" applyFont="1" applyFill="1" applyAlignment="1">
      <alignment horizontal="center" vertical="top"/>
    </xf>
    <xf numFmtId="0" fontId="4" fillId="2" borderId="0" xfId="7" applyFont="1" applyFill="1" applyAlignment="1" applyProtection="1">
      <alignment horizontal="center"/>
      <protection locked="0"/>
    </xf>
    <xf numFmtId="0" fontId="20" fillId="11" borderId="0" xfId="0" applyFont="1" applyFill="1" applyAlignment="1" applyProtection="1">
      <alignment vertical="center"/>
    </xf>
    <xf numFmtId="0" fontId="20" fillId="0" borderId="0" xfId="0" applyFont="1" applyAlignment="1" applyProtection="1">
      <alignment vertical="center"/>
    </xf>
    <xf numFmtId="0" fontId="20" fillId="0" borderId="32" xfId="0" applyFont="1" applyBorder="1" applyAlignment="1" applyProtection="1">
      <alignment vertical="center"/>
    </xf>
    <xf numFmtId="0" fontId="115" fillId="10" borderId="19" xfId="0" applyFont="1" applyFill="1" applyBorder="1" applyAlignment="1" applyProtection="1">
      <alignment horizontal="center"/>
      <protection hidden="1"/>
    </xf>
    <xf numFmtId="0" fontId="114" fillId="10" borderId="40" xfId="0" applyFont="1" applyFill="1" applyBorder="1" applyAlignment="1" applyProtection="1">
      <alignment horizontal="center"/>
      <protection hidden="1"/>
    </xf>
    <xf numFmtId="0" fontId="114" fillId="10" borderId="20" xfId="0" applyFont="1" applyFill="1" applyBorder="1" applyAlignment="1" applyProtection="1">
      <alignment horizontal="center"/>
      <protection hidden="1"/>
    </xf>
    <xf numFmtId="1" fontId="114" fillId="10" borderId="1" xfId="0" applyNumberFormat="1" applyFont="1" applyFill="1" applyBorder="1" applyAlignment="1" applyProtection="1">
      <alignment horizontal="center"/>
      <protection hidden="1"/>
    </xf>
    <xf numFmtId="0" fontId="115" fillId="10" borderId="2" xfId="0" applyFont="1" applyFill="1" applyBorder="1" applyAlignment="1" applyProtection="1">
      <alignment horizontal="center"/>
      <protection hidden="1"/>
    </xf>
    <xf numFmtId="0" fontId="114" fillId="10" borderId="3" xfId="0" applyFont="1" applyFill="1" applyBorder="1" applyAlignment="1" applyProtection="1">
      <alignment horizontal="center"/>
      <protection hidden="1"/>
    </xf>
    <xf numFmtId="0" fontId="114" fillId="10" borderId="4" xfId="0" applyFont="1" applyFill="1" applyBorder="1" applyAlignment="1" applyProtection="1">
      <alignment horizontal="center"/>
      <protection hidden="1"/>
    </xf>
    <xf numFmtId="0" fontId="115" fillId="10" borderId="3" xfId="0" applyFont="1" applyFill="1" applyBorder="1" applyAlignment="1" applyProtection="1">
      <alignment horizontal="center"/>
      <protection hidden="1"/>
    </xf>
    <xf numFmtId="0" fontId="114" fillId="10" borderId="3" xfId="0" applyFont="1" applyFill="1" applyBorder="1" applyProtection="1">
      <protection hidden="1"/>
    </xf>
    <xf numFmtId="177" fontId="83" fillId="10" borderId="2" xfId="0" applyNumberFormat="1" applyFont="1" applyFill="1" applyBorder="1" applyAlignment="1" applyProtection="1">
      <alignment horizontal="center"/>
      <protection hidden="1"/>
    </xf>
    <xf numFmtId="0" fontId="83" fillId="10" borderId="4" xfId="0" applyFont="1" applyFill="1" applyBorder="1" applyAlignment="1" applyProtection="1">
      <alignment horizontal="center"/>
      <protection hidden="1"/>
    </xf>
    <xf numFmtId="0" fontId="114" fillId="10" borderId="4" xfId="0" applyFont="1" applyFill="1" applyBorder="1" applyProtection="1">
      <protection hidden="1"/>
    </xf>
    <xf numFmtId="0" fontId="115" fillId="10" borderId="4" xfId="0" applyFont="1" applyFill="1" applyBorder="1" applyAlignment="1" applyProtection="1">
      <alignment horizontal="center"/>
      <protection hidden="1"/>
    </xf>
    <xf numFmtId="0" fontId="93" fillId="2" borderId="254" xfId="0" applyFont="1" applyFill="1" applyBorder="1" applyAlignment="1" applyProtection="1">
      <alignment horizontal="center"/>
      <protection hidden="1"/>
    </xf>
    <xf numFmtId="0" fontId="95" fillId="2" borderId="254" xfId="0" applyFont="1" applyFill="1" applyBorder="1" applyProtection="1">
      <protection hidden="1"/>
    </xf>
    <xf numFmtId="0" fontId="94" fillId="2" borderId="0" xfId="0" applyFont="1" applyFill="1" applyAlignment="1" applyProtection="1">
      <alignment horizontal="right" vertical="center"/>
      <protection hidden="1"/>
    </xf>
    <xf numFmtId="0" fontId="0" fillId="2" borderId="0" xfId="0" applyFill="1" applyProtection="1">
      <protection hidden="1"/>
    </xf>
    <xf numFmtId="0" fontId="93" fillId="2" borderId="0" xfId="0" applyFont="1" applyFill="1" applyAlignment="1" applyProtection="1">
      <alignment horizontal="left" vertical="center"/>
      <protection hidden="1"/>
    </xf>
    <xf numFmtId="0" fontId="103" fillId="2" borderId="267" xfId="0" applyFont="1" applyFill="1" applyBorder="1" applyAlignment="1" applyProtection="1">
      <alignment horizontal="left" vertical="center"/>
      <protection hidden="1"/>
    </xf>
    <xf numFmtId="0" fontId="95" fillId="2" borderId="265" xfId="0" applyFont="1" applyFill="1" applyBorder="1" applyProtection="1">
      <protection hidden="1"/>
    </xf>
    <xf numFmtId="0" fontId="94" fillId="2" borderId="0" xfId="0" applyFont="1" applyFill="1" applyAlignment="1" applyProtection="1">
      <alignment horizontal="center" vertical="center"/>
      <protection hidden="1"/>
    </xf>
    <xf numFmtId="0" fontId="93" fillId="2" borderId="275" xfId="0" applyFont="1" applyFill="1" applyBorder="1" applyAlignment="1" applyProtection="1">
      <alignment horizontal="right" vertical="center"/>
      <protection hidden="1"/>
    </xf>
    <xf numFmtId="0" fontId="95" fillId="2" borderId="264" xfId="0" applyFont="1" applyFill="1" applyBorder="1" applyProtection="1">
      <protection hidden="1"/>
    </xf>
    <xf numFmtId="0" fontId="92" fillId="2" borderId="254" xfId="0" applyFont="1" applyFill="1" applyBorder="1" applyAlignment="1" applyProtection="1">
      <alignment horizontal="center"/>
      <protection hidden="1"/>
    </xf>
    <xf numFmtId="0" fontId="102" fillId="2" borderId="0" xfId="0" applyFont="1" applyFill="1" applyAlignment="1" applyProtection="1">
      <alignment horizontal="center" vertical="center"/>
      <protection hidden="1"/>
    </xf>
    <xf numFmtId="0" fontId="96" fillId="2" borderId="0" xfId="0" applyFont="1" applyFill="1" applyAlignment="1" applyProtection="1">
      <alignment horizontal="right" vertical="center"/>
      <protection hidden="1"/>
    </xf>
    <xf numFmtId="0" fontId="96" fillId="2" borderId="275" xfId="0" applyFont="1" applyFill="1" applyBorder="1" applyAlignment="1" applyProtection="1">
      <alignment horizontal="center" vertical="center" shrinkToFit="1"/>
      <protection hidden="1"/>
    </xf>
    <xf numFmtId="0" fontId="95" fillId="2" borderId="261" xfId="0" applyFont="1" applyFill="1" applyBorder="1" applyProtection="1">
      <protection hidden="1"/>
    </xf>
    <xf numFmtId="0" fontId="96" fillId="2" borderId="267" xfId="0" applyFont="1" applyFill="1" applyBorder="1" applyAlignment="1" applyProtection="1">
      <alignment horizontal="right" vertical="center"/>
      <protection hidden="1"/>
    </xf>
    <xf numFmtId="0" fontId="95" fillId="2" borderId="279" xfId="0" applyFont="1" applyFill="1" applyBorder="1" applyProtection="1">
      <protection hidden="1"/>
    </xf>
    <xf numFmtId="0" fontId="96" fillId="2" borderId="280" xfId="0" applyFont="1" applyFill="1" applyBorder="1" applyAlignment="1" applyProtection="1">
      <alignment horizontal="right" vertical="center"/>
      <protection hidden="1"/>
    </xf>
    <xf numFmtId="0" fontId="95" fillId="2" borderId="269" xfId="0" applyFont="1" applyFill="1" applyBorder="1" applyProtection="1">
      <protection hidden="1"/>
    </xf>
    <xf numFmtId="0" fontId="105" fillId="2" borderId="0" xfId="0" applyFont="1" applyFill="1" applyAlignment="1" applyProtection="1">
      <alignment horizontal="center" vertical="center"/>
      <protection hidden="1"/>
    </xf>
    <xf numFmtId="0" fontId="93" fillId="2" borderId="249" xfId="0" applyFont="1" applyFill="1" applyBorder="1" applyAlignment="1" applyProtection="1">
      <alignment horizontal="center" vertical="center"/>
      <protection locked="0"/>
    </xf>
    <xf numFmtId="0" fontId="95" fillId="2" borderId="251" xfId="0" applyFont="1" applyFill="1" applyBorder="1" applyProtection="1">
      <protection locked="0"/>
    </xf>
    <xf numFmtId="0" fontId="94" fillId="2" borderId="253" xfId="0" applyFont="1" applyFill="1" applyBorder="1" applyAlignment="1" applyProtection="1">
      <alignment horizontal="left" vertical="center" shrinkToFit="1"/>
      <protection locked="0"/>
    </xf>
    <xf numFmtId="0" fontId="95" fillId="2" borderId="255" xfId="0" applyFont="1" applyFill="1" applyBorder="1" applyProtection="1">
      <protection locked="0"/>
    </xf>
    <xf numFmtId="49" fontId="94" fillId="2" borderId="253" xfId="0" applyNumberFormat="1" applyFont="1" applyFill="1" applyBorder="1" applyAlignment="1" applyProtection="1">
      <alignment horizontal="left" vertical="center" shrinkToFit="1"/>
      <protection locked="0"/>
    </xf>
    <xf numFmtId="0" fontId="94" fillId="2" borderId="257" xfId="0" applyFont="1" applyFill="1" applyBorder="1" applyAlignment="1" applyProtection="1">
      <alignment horizontal="left" vertical="center" shrinkToFit="1"/>
      <protection locked="0"/>
    </xf>
    <xf numFmtId="0" fontId="95" fillId="2" borderId="259" xfId="0" applyFont="1" applyFill="1" applyBorder="1" applyProtection="1">
      <protection locked="0"/>
    </xf>
    <xf numFmtId="0" fontId="93" fillId="2" borderId="0" xfId="0" applyFont="1" applyFill="1" applyAlignment="1" applyProtection="1">
      <alignment horizontal="left" vertical="center"/>
    </xf>
    <xf numFmtId="0" fontId="0" fillId="2" borderId="0" xfId="0" applyFill="1" applyProtection="1"/>
    <xf numFmtId="0" fontId="103" fillId="2" borderId="267" xfId="0" applyFont="1" applyFill="1" applyBorder="1" applyAlignment="1" applyProtection="1">
      <alignment horizontal="left" vertical="center"/>
    </xf>
    <xf numFmtId="0" fontId="95" fillId="2" borderId="265" xfId="0" applyFont="1" applyFill="1" applyBorder="1" applyProtection="1"/>
    <xf numFmtId="0" fontId="94" fillId="2" borderId="0" xfId="0" applyFont="1" applyFill="1" applyAlignment="1" applyProtection="1">
      <alignment horizontal="center" vertical="center"/>
    </xf>
    <xf numFmtId="0" fontId="93" fillId="2" borderId="275" xfId="0" applyFont="1" applyFill="1" applyBorder="1" applyAlignment="1" applyProtection="1">
      <alignment horizontal="right" vertical="center"/>
    </xf>
    <xf numFmtId="0" fontId="95" fillId="2" borderId="264" xfId="0" applyFont="1" applyFill="1" applyBorder="1" applyProtection="1"/>
    <xf numFmtId="0" fontId="92" fillId="2" borderId="254" xfId="0" applyFont="1" applyFill="1" applyBorder="1" applyAlignment="1" applyProtection="1">
      <alignment horizontal="center"/>
    </xf>
    <xf numFmtId="0" fontId="95" fillId="2" borderId="254" xfId="0" applyFont="1" applyFill="1" applyBorder="1" applyProtection="1"/>
    <xf numFmtId="0" fontId="93" fillId="2" borderId="254" xfId="0" applyFont="1" applyFill="1" applyBorder="1" applyAlignment="1" applyProtection="1">
      <alignment horizontal="center"/>
    </xf>
    <xf numFmtId="0" fontId="96" fillId="2" borderId="0" xfId="0" applyFont="1" applyFill="1" applyAlignment="1" applyProtection="1">
      <alignment horizontal="right" vertical="center"/>
    </xf>
    <xf numFmtId="0" fontId="95" fillId="2" borderId="261" xfId="0" applyFont="1" applyFill="1" applyBorder="1" applyProtection="1"/>
    <xf numFmtId="0" fontId="96" fillId="2" borderId="267" xfId="0" applyFont="1" applyFill="1" applyBorder="1" applyAlignment="1" applyProtection="1">
      <alignment horizontal="right" vertical="center"/>
    </xf>
    <xf numFmtId="0" fontId="95" fillId="2" borderId="279" xfId="0" applyFont="1" applyFill="1" applyBorder="1" applyProtection="1"/>
    <xf numFmtId="0" fontId="96" fillId="2" borderId="280" xfId="0" applyFont="1" applyFill="1" applyBorder="1" applyAlignment="1" applyProtection="1">
      <alignment horizontal="right" vertical="center"/>
    </xf>
    <xf numFmtId="0" fontId="95" fillId="2" borderId="269" xfId="0" applyFont="1" applyFill="1" applyBorder="1" applyProtection="1"/>
    <xf numFmtId="0" fontId="94" fillId="2" borderId="0" xfId="0" applyFont="1" applyFill="1" applyAlignment="1" applyProtection="1">
      <alignment horizontal="right" vertical="center"/>
    </xf>
    <xf numFmtId="0" fontId="102" fillId="2" borderId="0" xfId="0" applyFont="1" applyFill="1" applyAlignment="1" applyProtection="1">
      <alignment horizontal="center" vertical="center"/>
    </xf>
    <xf numFmtId="0" fontId="96" fillId="2" borderId="275" xfId="0" applyFont="1" applyFill="1" applyBorder="1" applyAlignment="1" applyProtection="1">
      <alignment horizontal="center" vertical="center" shrinkToFit="1"/>
      <protection locked="0"/>
    </xf>
    <xf numFmtId="0" fontId="95" fillId="2" borderId="264" xfId="0" applyFont="1" applyFill="1" applyBorder="1" applyProtection="1">
      <protection locked="0"/>
    </xf>
    <xf numFmtId="0" fontId="93" fillId="2" borderId="249" xfId="0" applyFont="1" applyFill="1" applyBorder="1" applyAlignment="1" applyProtection="1">
      <alignment horizontal="left" vertical="center"/>
      <protection locked="0"/>
    </xf>
    <xf numFmtId="0" fontId="95" fillId="2" borderId="250" xfId="0" applyFont="1" applyFill="1" applyBorder="1" applyProtection="1">
      <protection locked="0"/>
    </xf>
    <xf numFmtId="0" fontId="95" fillId="2" borderId="254" xfId="0" applyFont="1" applyFill="1" applyBorder="1" applyProtection="1">
      <protection locked="0"/>
    </xf>
    <xf numFmtId="172" fontId="94" fillId="2" borderId="253" xfId="0" applyNumberFormat="1" applyFont="1" applyFill="1" applyBorder="1" applyAlignment="1" applyProtection="1">
      <alignment horizontal="left" vertical="center" shrinkToFit="1"/>
      <protection locked="0"/>
    </xf>
    <xf numFmtId="0" fontId="95" fillId="2" borderId="258" xfId="0" applyFont="1" applyFill="1" applyBorder="1" applyProtection="1">
      <protection locked="0"/>
    </xf>
    <xf numFmtId="0" fontId="93" fillId="2" borderId="254" xfId="0" applyFont="1" applyFill="1" applyBorder="1" applyAlignment="1" applyProtection="1">
      <alignment horizontal="center" vertical="center"/>
    </xf>
    <xf numFmtId="0" fontId="93" fillId="2" borderId="0" xfId="0" applyFont="1" applyFill="1" applyAlignment="1" applyProtection="1">
      <alignment horizontal="center"/>
    </xf>
    <xf numFmtId="3" fontId="104" fillId="2" borderId="263" xfId="0" applyNumberFormat="1" applyFont="1" applyFill="1" applyBorder="1" applyAlignment="1" applyProtection="1">
      <alignment horizontal="right"/>
      <protection locked="0"/>
    </xf>
    <xf numFmtId="0" fontId="95" fillId="2" borderId="263" xfId="0" applyFont="1" applyFill="1" applyBorder="1" applyProtection="1">
      <protection locked="0"/>
    </xf>
    <xf numFmtId="4" fontId="104" fillId="2" borderId="263" xfId="0" applyNumberFormat="1" applyFont="1" applyFill="1" applyBorder="1" applyAlignment="1" applyProtection="1">
      <alignment horizontal="right"/>
      <protection locked="0"/>
    </xf>
    <xf numFmtId="0" fontId="92" fillId="2" borderId="273" xfId="0" applyFont="1" applyFill="1" applyBorder="1" applyAlignment="1" applyProtection="1">
      <alignment horizontal="center"/>
    </xf>
    <xf numFmtId="0" fontId="95" fillId="2" borderId="273" xfId="0" applyFont="1" applyFill="1" applyBorder="1" applyProtection="1"/>
    <xf numFmtId="0" fontId="93" fillId="2" borderId="0" xfId="0" applyFont="1" applyFill="1" applyAlignment="1" applyProtection="1">
      <alignment horizontal="center" vertical="center"/>
    </xf>
    <xf numFmtId="0" fontId="103" fillId="2" borderId="263" xfId="0" applyFont="1" applyFill="1" applyBorder="1" applyAlignment="1" applyProtection="1">
      <alignment horizontal="center" vertical="center"/>
      <protection locked="0"/>
    </xf>
    <xf numFmtId="0" fontId="103" fillId="2" borderId="263" xfId="0" applyFont="1" applyFill="1" applyBorder="1" applyAlignment="1" applyProtection="1">
      <alignment horizontal="right" vertical="center"/>
      <protection locked="0"/>
    </xf>
    <xf numFmtId="4" fontId="103" fillId="2" borderId="263" xfId="0" applyNumberFormat="1" applyFont="1" applyFill="1" applyBorder="1" applyAlignment="1" applyProtection="1">
      <alignment horizontal="right" vertical="center"/>
      <protection locked="0"/>
    </xf>
    <xf numFmtId="0" fontId="94" fillId="2" borderId="275" xfId="0" applyFont="1" applyFill="1" applyBorder="1" applyAlignment="1" applyProtection="1">
      <alignment horizontal="left" vertical="center" shrinkToFit="1"/>
      <protection locked="0"/>
    </xf>
    <xf numFmtId="49" fontId="94" fillId="2" borderId="275" xfId="0" applyNumberFormat="1" applyFont="1" applyFill="1" applyBorder="1" applyAlignment="1" applyProtection="1">
      <alignment horizontal="left" vertical="center" shrinkToFit="1"/>
      <protection locked="0"/>
    </xf>
    <xf numFmtId="0" fontId="98" fillId="2" borderId="0" xfId="0" applyFont="1" applyFill="1" applyAlignment="1" applyProtection="1">
      <alignment horizontal="center"/>
    </xf>
    <xf numFmtId="169" fontId="104" fillId="2" borderId="275" xfId="0" applyNumberFormat="1" applyFont="1" applyFill="1" applyBorder="1" applyAlignment="1" applyProtection="1">
      <alignment horizontal="center"/>
    </xf>
    <xf numFmtId="166" fontId="92" fillId="2" borderId="275" xfId="0" applyNumberFormat="1" applyFont="1" applyFill="1" applyBorder="1" applyAlignment="1" applyProtection="1">
      <alignment horizontal="center"/>
    </xf>
    <xf numFmtId="169" fontId="104" fillId="2" borderId="275" xfId="0" applyNumberFormat="1" applyFont="1" applyFill="1" applyBorder="1" applyAlignment="1" applyProtection="1">
      <alignment horizontal="center" vertical="center"/>
    </xf>
    <xf numFmtId="169" fontId="92" fillId="2" borderId="275" xfId="0" applyNumberFormat="1" applyFont="1" applyFill="1" applyBorder="1" applyAlignment="1" applyProtection="1">
      <alignment horizontal="center"/>
    </xf>
    <xf numFmtId="0" fontId="96" fillId="2" borderId="0" xfId="0" applyFont="1" applyFill="1" applyAlignment="1" applyProtection="1">
      <alignment horizontal="left" vertical="center"/>
    </xf>
    <xf numFmtId="0" fontId="94" fillId="2" borderId="275" xfId="0" applyFont="1" applyFill="1" applyBorder="1" applyAlignment="1" applyProtection="1">
      <alignment horizontal="center"/>
    </xf>
    <xf numFmtId="0" fontId="94" fillId="2" borderId="263" xfId="0" applyFont="1" applyFill="1" applyBorder="1" applyAlignment="1" applyProtection="1">
      <alignment horizontal="center"/>
    </xf>
    <xf numFmtId="3" fontId="104" fillId="2" borderId="275" xfId="0" applyNumberFormat="1" applyFont="1" applyFill="1" applyBorder="1" applyAlignment="1" applyProtection="1">
      <alignment horizontal="center"/>
    </xf>
    <xf numFmtId="3" fontId="92" fillId="2" borderId="275" xfId="0" applyNumberFormat="1" applyFont="1" applyFill="1" applyBorder="1" applyAlignment="1" applyProtection="1">
      <alignment horizontal="center"/>
    </xf>
    <xf numFmtId="3" fontId="104" fillId="2" borderId="275" xfId="0" applyNumberFormat="1" applyFont="1" applyFill="1" applyBorder="1" applyAlignment="1" applyProtection="1">
      <alignment horizontal="center" vertical="center"/>
    </xf>
    <xf numFmtId="0" fontId="101" fillId="2" borderId="262" xfId="0" applyFont="1" applyFill="1" applyBorder="1" applyAlignment="1" applyProtection="1">
      <alignment horizontal="center" vertical="center" wrapText="1"/>
    </xf>
    <xf numFmtId="0" fontId="95" fillId="2" borderId="268" xfId="0" applyFont="1" applyFill="1" applyBorder="1" applyProtection="1"/>
    <xf numFmtId="0" fontId="101" fillId="2" borderId="267" xfId="0" applyFont="1" applyFill="1" applyBorder="1" applyAlignment="1" applyProtection="1">
      <alignment horizontal="center" vertical="center"/>
    </xf>
    <xf numFmtId="0" fontId="95" fillId="2" borderId="270" xfId="0" applyFont="1" applyFill="1" applyBorder="1" applyProtection="1"/>
    <xf numFmtId="169" fontId="96" fillId="2" borderId="0" xfId="0" applyNumberFormat="1" applyFont="1" applyFill="1" applyAlignment="1" applyProtection="1">
      <alignment horizontal="right" vertical="center"/>
    </xf>
    <xf numFmtId="0" fontId="102" fillId="2" borderId="275" xfId="0" applyFont="1" applyFill="1" applyBorder="1" applyAlignment="1" applyProtection="1">
      <alignment horizontal="center" vertical="center"/>
    </xf>
    <xf numFmtId="0" fontId="95" fillId="2" borderId="263" xfId="0" applyFont="1" applyFill="1" applyBorder="1" applyProtection="1"/>
    <xf numFmtId="0" fontId="96" fillId="2" borderId="0" xfId="0" applyFont="1" applyFill="1" applyAlignment="1" applyProtection="1">
      <alignment horizontal="center" vertical="center" wrapText="1"/>
    </xf>
    <xf numFmtId="176" fontId="96" fillId="2" borderId="0" xfId="0" applyNumberFormat="1" applyFont="1" applyFill="1" applyAlignment="1" applyProtection="1">
      <alignment horizontal="center" vertical="center" wrapText="1"/>
    </xf>
    <xf numFmtId="0" fontId="101" fillId="2" borderId="262" xfId="0" applyFont="1" applyFill="1" applyBorder="1" applyAlignment="1" applyProtection="1">
      <alignment horizontal="center" vertical="center"/>
    </xf>
    <xf numFmtId="0" fontId="95" fillId="2" borderId="266" xfId="0" applyFont="1" applyFill="1" applyBorder="1" applyProtection="1"/>
    <xf numFmtId="0" fontId="101" fillId="2" borderId="263" xfId="0" applyFont="1" applyFill="1" applyBorder="1" applyAlignment="1" applyProtection="1">
      <alignment horizontal="center" vertical="center" wrapText="1"/>
    </xf>
    <xf numFmtId="0" fontId="101" fillId="2" borderId="265" xfId="0" applyFont="1" applyFill="1" applyBorder="1" applyAlignment="1" applyProtection="1">
      <alignment horizontal="center" vertical="center" wrapText="1"/>
    </xf>
    <xf numFmtId="0" fontId="94" fillId="2" borderId="249" xfId="0" applyFont="1" applyFill="1" applyBorder="1" applyAlignment="1" applyProtection="1">
      <alignment horizontal="center" vertical="center"/>
      <protection locked="0"/>
    </xf>
    <xf numFmtId="4" fontId="2" fillId="0" borderId="44" xfId="0" applyNumberFormat="1" applyFont="1" applyBorder="1" applyAlignment="1" applyProtection="1">
      <alignment horizontal="right"/>
      <protection hidden="1"/>
    </xf>
    <xf numFmtId="4" fontId="2" fillId="0" borderId="21" xfId="0" applyNumberFormat="1" applyFont="1" applyBorder="1" applyAlignment="1" applyProtection="1">
      <alignment horizontal="right"/>
      <protection hidden="1"/>
    </xf>
    <xf numFmtId="0" fontId="2" fillId="0" borderId="75" xfId="0" applyNumberFormat="1" applyFont="1" applyBorder="1" applyAlignment="1" applyProtection="1">
      <protection hidden="1"/>
    </xf>
    <xf numFmtId="0" fontId="2" fillId="0" borderId="79" xfId="0" applyNumberFormat="1" applyFont="1" applyBorder="1" applyAlignment="1" applyProtection="1">
      <protection hidden="1"/>
    </xf>
    <xf numFmtId="0" fontId="2" fillId="0" borderId="21" xfId="0" applyNumberFormat="1" applyFont="1" applyBorder="1" applyAlignment="1" applyProtection="1">
      <alignment horizontal="right"/>
      <protection hidden="1"/>
    </xf>
    <xf numFmtId="0" fontId="2" fillId="0" borderId="15" xfId="0" applyNumberFormat="1" applyFont="1" applyBorder="1" applyAlignment="1" applyProtection="1">
      <alignment horizontal="right"/>
      <protection hidden="1"/>
    </xf>
    <xf numFmtId="14" fontId="2" fillId="0" borderId="0" xfId="0" applyNumberFormat="1" applyFont="1" applyAlignment="1" applyProtection="1">
      <alignment horizontal="left"/>
      <protection hidden="1"/>
    </xf>
    <xf numFmtId="0" fontId="2" fillId="0" borderId="238" xfId="0" applyFont="1" applyBorder="1" applyAlignment="1" applyProtection="1">
      <alignment horizontal="left"/>
      <protection hidden="1"/>
    </xf>
    <xf numFmtId="0" fontId="2" fillId="0" borderId="239" xfId="0" applyFont="1" applyBorder="1" applyAlignment="1" applyProtection="1">
      <alignment horizontal="left"/>
      <protection hidden="1"/>
    </xf>
    <xf numFmtId="0" fontId="6" fillId="0" borderId="239" xfId="0" applyFont="1" applyBorder="1" applyAlignment="1" applyProtection="1">
      <alignment horizontal="left" shrinkToFit="1"/>
      <protection hidden="1"/>
    </xf>
    <xf numFmtId="0" fontId="6" fillId="0" borderId="240" xfId="0" applyFont="1" applyBorder="1" applyAlignment="1" applyProtection="1">
      <alignment horizontal="left" shrinkToFit="1"/>
      <protection hidden="1"/>
    </xf>
    <xf numFmtId="0" fontId="2" fillId="0" borderId="241" xfId="0" applyFont="1" applyBorder="1" applyAlignment="1" applyProtection="1">
      <alignment horizontal="left"/>
      <protection hidden="1"/>
    </xf>
    <xf numFmtId="0" fontId="2" fillId="0" borderId="63" xfId="0" applyFont="1" applyBorder="1" applyAlignment="1" applyProtection="1">
      <alignment horizontal="left"/>
      <protection hidden="1"/>
    </xf>
    <xf numFmtId="0" fontId="6" fillId="0" borderId="63" xfId="0" applyFont="1" applyBorder="1" applyAlignment="1" applyProtection="1">
      <alignment horizontal="left" shrinkToFit="1"/>
      <protection hidden="1"/>
    </xf>
    <xf numFmtId="0" fontId="6" fillId="0" borderId="64" xfId="0" applyFont="1" applyBorder="1" applyAlignment="1" applyProtection="1">
      <alignment horizontal="left" shrinkToFit="1"/>
      <protection hidden="1"/>
    </xf>
    <xf numFmtId="0" fontId="6" fillId="0" borderId="242" xfId="0" applyFont="1" applyBorder="1" applyAlignment="1" applyProtection="1">
      <alignment horizontal="left" shrinkToFit="1"/>
      <protection hidden="1"/>
    </xf>
    <xf numFmtId="169" fontId="6" fillId="0" borderId="66" xfId="0" applyNumberFormat="1" applyFont="1" applyBorder="1" applyAlignment="1" applyProtection="1">
      <alignment horizontal="left" shrinkToFit="1"/>
      <protection hidden="1"/>
    </xf>
    <xf numFmtId="169" fontId="6" fillId="0" borderId="21" xfId="0" applyNumberFormat="1" applyFont="1" applyBorder="1" applyAlignment="1" applyProtection="1">
      <alignment horizontal="left" shrinkToFit="1"/>
      <protection hidden="1"/>
    </xf>
    <xf numFmtId="169" fontId="4" fillId="0" borderId="21" xfId="0" applyNumberFormat="1" applyFont="1" applyBorder="1" applyAlignment="1" applyProtection="1">
      <alignment horizontal="center" shrinkToFit="1"/>
      <protection hidden="1"/>
    </xf>
    <xf numFmtId="14" fontId="6" fillId="0" borderId="21" xfId="0" applyNumberFormat="1" applyFont="1" applyBorder="1" applyAlignment="1" applyProtection="1">
      <alignment horizontal="center"/>
      <protection hidden="1"/>
    </xf>
    <xf numFmtId="14" fontId="6" fillId="0" borderId="15" xfId="0" applyNumberFormat="1" applyFont="1" applyBorder="1" applyAlignment="1" applyProtection="1">
      <alignment horizontal="center"/>
      <protection hidden="1"/>
    </xf>
    <xf numFmtId="0" fontId="6" fillId="0" borderId="67" xfId="0" applyFont="1" applyBorder="1" applyAlignment="1" applyProtection="1">
      <alignment horizontal="left" shrinkToFit="1"/>
      <protection hidden="1"/>
    </xf>
    <xf numFmtId="0" fontId="2" fillId="0" borderId="243" xfId="0" applyFont="1" applyBorder="1" applyAlignment="1" applyProtection="1">
      <alignment horizontal="left"/>
      <protection hidden="1"/>
    </xf>
    <xf numFmtId="0" fontId="2" fillId="0" borderId="244" xfId="0" applyFont="1" applyBorder="1" applyAlignment="1" applyProtection="1">
      <alignment horizontal="left"/>
      <protection hidden="1"/>
    </xf>
    <xf numFmtId="0" fontId="6" fillId="0" borderId="244" xfId="0" applyFont="1" applyBorder="1" applyAlignment="1" applyProtection="1">
      <alignment horizontal="left" shrinkToFit="1"/>
      <protection hidden="1"/>
    </xf>
    <xf numFmtId="0" fontId="6" fillId="0" borderId="245" xfId="0" applyFont="1" applyBorder="1" applyAlignment="1" applyProtection="1">
      <alignment horizontal="left" shrinkToFit="1"/>
      <protection hidden="1"/>
    </xf>
    <xf numFmtId="0" fontId="11" fillId="0" borderId="0" xfId="0" applyFont="1" applyAlignment="1">
      <alignment horizontal="center" vertical="center"/>
    </xf>
    <xf numFmtId="169" fontId="2" fillId="0" borderId="75" xfId="0" applyNumberFormat="1" applyFont="1" applyBorder="1" applyAlignment="1" applyProtection="1">
      <alignment horizontal="right"/>
      <protection hidden="1"/>
    </xf>
    <xf numFmtId="169" fontId="2" fillId="0" borderId="21" xfId="0" applyNumberFormat="1" applyFont="1" applyBorder="1" applyAlignment="1" applyProtection="1">
      <alignment horizontal="right"/>
      <protection hidden="1"/>
    </xf>
    <xf numFmtId="4" fontId="2" fillId="0" borderId="41" xfId="0" applyNumberFormat="1" applyFont="1" applyBorder="1" applyAlignment="1" applyProtection="1">
      <alignment horizontal="right"/>
      <protection hidden="1"/>
    </xf>
    <xf numFmtId="0" fontId="2" fillId="0" borderId="84" xfId="0" applyFont="1" applyBorder="1" applyAlignment="1">
      <alignment horizontal="left" shrinkToFit="1"/>
    </xf>
    <xf numFmtId="0" fontId="0" fillId="0" borderId="44" xfId="0" applyBorder="1" applyAlignment="1">
      <alignment horizontal="left" shrinkToFit="1"/>
    </xf>
    <xf numFmtId="14" fontId="2" fillId="0" borderId="44" xfId="0" applyNumberFormat="1" applyFont="1" applyBorder="1" applyAlignment="1" applyProtection="1">
      <alignment horizontal="center"/>
      <protection hidden="1"/>
    </xf>
    <xf numFmtId="165" fontId="8" fillId="0" borderId="44" xfId="0" applyNumberFormat="1" applyFont="1" applyBorder="1" applyAlignment="1" applyProtection="1">
      <alignment horizontal="center"/>
    </xf>
    <xf numFmtId="0" fontId="2" fillId="0" borderId="44" xfId="0" applyFont="1" applyBorder="1" applyAlignment="1">
      <alignment horizontal="left" shrinkToFit="1"/>
    </xf>
    <xf numFmtId="165" fontId="8" fillId="0" borderId="11" xfId="0" applyNumberFormat="1" applyFont="1" applyBorder="1" applyAlignment="1" applyProtection="1">
      <alignment horizontal="center"/>
    </xf>
    <xf numFmtId="169" fontId="2" fillId="0" borderId="21" xfId="0" applyNumberFormat="1" applyFont="1" applyBorder="1" applyAlignment="1" applyProtection="1">
      <alignment horizontal="left"/>
      <protection hidden="1"/>
    </xf>
    <xf numFmtId="169" fontId="2" fillId="0" borderId="15" xfId="0" applyNumberFormat="1" applyFont="1" applyBorder="1" applyAlignment="1" applyProtection="1">
      <alignment horizontal="right"/>
      <protection hidden="1"/>
    </xf>
    <xf numFmtId="169" fontId="2" fillId="0" borderId="44" xfId="0" applyNumberFormat="1" applyFont="1" applyBorder="1" applyAlignment="1" applyProtection="1">
      <alignment horizontal="right"/>
      <protection hidden="1"/>
    </xf>
    <xf numFmtId="165" fontId="2" fillId="0" borderId="21" xfId="0" applyNumberFormat="1" applyFont="1" applyBorder="1" applyAlignment="1" applyProtection="1">
      <alignment horizontal="center"/>
      <protection hidden="1"/>
    </xf>
    <xf numFmtId="165" fontId="2" fillId="0" borderId="15" xfId="0" applyNumberFormat="1" applyFont="1" applyBorder="1" applyAlignment="1" applyProtection="1">
      <alignment horizontal="center"/>
      <protection hidden="1"/>
    </xf>
    <xf numFmtId="0" fontId="2" fillId="0" borderId="85" xfId="0" applyFont="1" applyBorder="1" applyAlignment="1" applyProtection="1">
      <alignment horizontal="left" shrinkToFit="1"/>
      <protection hidden="1"/>
    </xf>
    <xf numFmtId="0" fontId="2" fillId="0" borderId="21" xfId="0" applyFont="1" applyBorder="1" applyAlignment="1" applyProtection="1">
      <alignment horizontal="left" shrinkToFit="1"/>
      <protection hidden="1"/>
    </xf>
    <xf numFmtId="14" fontId="2" fillId="0" borderId="21" xfId="0" applyNumberFormat="1" applyFont="1" applyBorder="1" applyAlignment="1" applyProtection="1">
      <alignment horizontal="center"/>
      <protection hidden="1"/>
    </xf>
    <xf numFmtId="165" fontId="8" fillId="0" borderId="0" xfId="0" applyNumberFormat="1" applyFont="1" applyBorder="1" applyAlignment="1" applyProtection="1">
      <alignment horizontal="center"/>
    </xf>
    <xf numFmtId="0" fontId="2" fillId="0" borderId="85" xfId="0" applyFont="1" applyBorder="1" applyAlignment="1">
      <alignment horizontal="left" shrinkToFit="1"/>
    </xf>
    <xf numFmtId="0" fontId="0" fillId="0" borderId="21" xfId="0" applyBorder="1" applyAlignment="1">
      <alignment horizontal="left" shrinkToFit="1"/>
    </xf>
    <xf numFmtId="165" fontId="8" fillId="0" borderId="21" xfId="0" applyNumberFormat="1" applyFont="1" applyBorder="1" applyAlignment="1" applyProtection="1">
      <alignment horizontal="center"/>
    </xf>
    <xf numFmtId="0" fontId="2" fillId="0" borderId="21" xfId="0" applyFont="1" applyBorder="1" applyAlignment="1">
      <alignment horizontal="left" shrinkToFit="1"/>
    </xf>
    <xf numFmtId="165" fontId="8" fillId="0" borderId="36" xfId="0" applyNumberFormat="1" applyFont="1" applyBorder="1" applyAlignment="1" applyProtection="1">
      <alignment horizontal="center"/>
    </xf>
    <xf numFmtId="0" fontId="2" fillId="0" borderId="85" xfId="0" applyFont="1" applyBorder="1" applyAlignment="1" applyProtection="1">
      <alignment vertical="center" shrinkToFit="1"/>
      <protection hidden="1"/>
    </xf>
    <xf numFmtId="0" fontId="2" fillId="0" borderId="21" xfId="0" applyFont="1" applyBorder="1" applyAlignment="1" applyProtection="1">
      <alignment vertical="center" shrinkToFit="1"/>
      <protection hidden="1"/>
    </xf>
    <xf numFmtId="0" fontId="2" fillId="0" borderId="0" xfId="0" applyFont="1" applyBorder="1" applyAlignment="1">
      <alignment horizontal="left" shrinkToFit="1"/>
    </xf>
    <xf numFmtId="0" fontId="0" fillId="0" borderId="0" xfId="0" applyBorder="1" applyAlignment="1">
      <alignment horizontal="left" shrinkToFit="1"/>
    </xf>
    <xf numFmtId="0" fontId="2" fillId="0" borderId="0" xfId="0" applyFont="1" applyBorder="1" applyAlignment="1" applyProtection="1">
      <alignment horizontal="left" shrinkToFit="1"/>
      <protection hidden="1"/>
    </xf>
    <xf numFmtId="0" fontId="2" fillId="0" borderId="81" xfId="0" applyFont="1" applyBorder="1" applyAlignment="1">
      <alignment horizontal="left" vertical="center" wrapText="1"/>
    </xf>
    <xf numFmtId="0" fontId="2" fillId="0" borderId="22" xfId="0" applyFont="1" applyBorder="1" applyAlignment="1">
      <alignment horizontal="left" vertical="center" wrapText="1"/>
    </xf>
    <xf numFmtId="0" fontId="2" fillId="0" borderId="18" xfId="0" applyFont="1" applyBorder="1" applyAlignment="1">
      <alignment horizontal="left" vertical="center" wrapText="1"/>
    </xf>
    <xf numFmtId="0" fontId="2" fillId="0" borderId="35" xfId="0" applyFont="1" applyBorder="1" applyAlignment="1">
      <alignment horizontal="left" vertical="center" wrapText="1"/>
    </xf>
    <xf numFmtId="0" fontId="2" fillId="0" borderId="0" xfId="0" applyFont="1" applyAlignment="1">
      <alignment horizontal="left" vertical="center" wrapText="1"/>
    </xf>
    <xf numFmtId="0" fontId="2" fillId="0" borderId="32" xfId="0" applyFont="1" applyBorder="1" applyAlignment="1">
      <alignment horizontal="left" vertical="center" wrapText="1"/>
    </xf>
    <xf numFmtId="0" fontId="2" fillId="0" borderId="80" xfId="0" applyFont="1" applyBorder="1" applyAlignment="1">
      <alignment horizontal="left" vertical="center" wrapText="1"/>
    </xf>
    <xf numFmtId="0" fontId="2" fillId="0" borderId="40" xfId="0" applyFont="1" applyBorder="1" applyAlignment="1">
      <alignment horizontal="left" vertical="center" wrapText="1"/>
    </xf>
    <xf numFmtId="0" fontId="2" fillId="0" borderId="20" xfId="0" applyFont="1" applyBorder="1" applyAlignment="1">
      <alignment horizontal="left" vertical="center" wrapText="1"/>
    </xf>
    <xf numFmtId="4" fontId="2" fillId="0" borderId="70" xfId="0" applyNumberFormat="1" applyFont="1" applyBorder="1" applyAlignment="1" applyProtection="1">
      <alignment horizontal="right"/>
      <protection hidden="1"/>
    </xf>
    <xf numFmtId="0" fontId="2" fillId="0" borderId="48" xfId="0" applyFont="1" applyBorder="1" applyAlignment="1">
      <alignment horizontal="left"/>
    </xf>
    <xf numFmtId="0" fontId="2" fillId="0" borderId="72" xfId="0" applyFont="1" applyBorder="1" applyAlignment="1">
      <alignment horizontal="left"/>
    </xf>
    <xf numFmtId="0" fontId="2" fillId="0" borderId="73" xfId="0" applyFont="1" applyBorder="1" applyAlignment="1">
      <alignment horizontal="left"/>
    </xf>
    <xf numFmtId="0" fontId="2" fillId="0" borderId="57" xfId="0" applyFont="1" applyBorder="1" applyAlignment="1">
      <alignment horizontal="center" vertical="center"/>
    </xf>
    <xf numFmtId="0" fontId="2" fillId="0" borderId="74" xfId="0" applyFont="1" applyBorder="1" applyAlignment="1">
      <alignment horizontal="center" vertical="center"/>
    </xf>
    <xf numFmtId="0" fontId="2" fillId="0" borderId="73" xfId="0" applyFont="1" applyBorder="1" applyAlignment="1">
      <alignment horizontal="center" vertical="center"/>
    </xf>
    <xf numFmtId="0" fontId="2" fillId="0" borderId="50" xfId="0" applyFont="1" applyBorder="1" applyAlignment="1">
      <alignment horizontal="center" vertical="center"/>
    </xf>
    <xf numFmtId="0" fontId="2" fillId="0" borderId="39" xfId="0" applyFont="1" applyBorder="1" applyAlignment="1">
      <alignment horizontal="left" vertical="center" wrapText="1"/>
    </xf>
    <xf numFmtId="0" fontId="2" fillId="0" borderId="52" xfId="0" applyFont="1" applyBorder="1" applyAlignment="1">
      <alignment horizontal="left" vertical="center" wrapText="1"/>
    </xf>
    <xf numFmtId="0" fontId="2" fillId="0" borderId="53" xfId="0" applyFont="1" applyBorder="1" applyAlignment="1">
      <alignment horizontal="left" vertical="center" wrapText="1"/>
    </xf>
    <xf numFmtId="4" fontId="2" fillId="0" borderId="75" xfId="0" applyNumberFormat="1" applyFont="1" applyBorder="1" applyAlignment="1" applyProtection="1">
      <alignment horizontal="right"/>
      <protection hidden="1"/>
    </xf>
    <xf numFmtId="0" fontId="3" fillId="0" borderId="35" xfId="0" applyFont="1" applyBorder="1" applyAlignment="1" applyProtection="1">
      <alignment horizontal="left" vertical="top" wrapText="1"/>
      <protection hidden="1"/>
    </xf>
    <xf numFmtId="0" fontId="3" fillId="0" borderId="0" xfId="0" applyFont="1" applyBorder="1" applyAlignment="1" applyProtection="1">
      <alignment horizontal="left" vertical="top" wrapText="1"/>
      <protection hidden="1"/>
    </xf>
    <xf numFmtId="0" fontId="3" fillId="0" borderId="36" xfId="0" applyFont="1" applyBorder="1" applyAlignment="1" applyProtection="1">
      <alignment horizontal="left" vertical="top" wrapText="1"/>
      <protection hidden="1"/>
    </xf>
    <xf numFmtId="0" fontId="3" fillId="0" borderId="37" xfId="0" applyFont="1" applyBorder="1" applyAlignment="1" applyProtection="1">
      <alignment horizontal="left" vertical="top" wrapText="1"/>
      <protection hidden="1"/>
    </xf>
    <xf numFmtId="0" fontId="3" fillId="0" borderId="54" xfId="0" applyFont="1" applyBorder="1" applyAlignment="1" applyProtection="1">
      <alignment horizontal="left" vertical="top" wrapText="1"/>
      <protection hidden="1"/>
    </xf>
    <xf numFmtId="0" fontId="3" fillId="0" borderId="38" xfId="0" applyFont="1" applyBorder="1" applyAlignment="1" applyProtection="1">
      <alignment horizontal="left" vertical="top" wrapText="1"/>
      <protection hidden="1"/>
    </xf>
    <xf numFmtId="169" fontId="2" fillId="0" borderId="27" xfId="0" applyNumberFormat="1" applyFont="1" applyBorder="1" applyAlignment="1" applyProtection="1">
      <alignment horizontal="right"/>
      <protection hidden="1"/>
    </xf>
    <xf numFmtId="0" fontId="2" fillId="0" borderId="27" xfId="0" applyFont="1" applyBorder="1" applyAlignment="1" applyProtection="1">
      <alignment horizontal="right"/>
      <protection hidden="1"/>
    </xf>
    <xf numFmtId="0" fontId="6" fillId="0" borderId="22" xfId="0" applyFont="1" applyBorder="1" applyAlignment="1" applyProtection="1">
      <alignment horizontal="right" vertical="center"/>
      <protection hidden="1"/>
    </xf>
    <xf numFmtId="0" fontId="6" fillId="0" borderId="40" xfId="0" applyFont="1" applyBorder="1" applyAlignment="1" applyProtection="1">
      <alignment horizontal="right" vertical="center"/>
      <protection hidden="1"/>
    </xf>
    <xf numFmtId="171" fontId="6" fillId="0" borderId="39" xfId="0" applyNumberFormat="1" applyFont="1" applyBorder="1" applyAlignment="1" applyProtection="1">
      <alignment horizontal="right" vertical="center"/>
      <protection hidden="1"/>
    </xf>
    <xf numFmtId="0" fontId="0" fillId="0" borderId="52" xfId="0" applyBorder="1" applyProtection="1">
      <protection hidden="1"/>
    </xf>
    <xf numFmtId="0" fontId="0" fillId="0" borderId="37" xfId="0" applyBorder="1" applyProtection="1">
      <protection hidden="1"/>
    </xf>
    <xf numFmtId="0" fontId="0" fillId="0" borderId="54" xfId="0" applyBorder="1" applyProtection="1">
      <protection hidden="1"/>
    </xf>
    <xf numFmtId="0" fontId="6" fillId="0" borderId="52" xfId="0" applyFont="1" applyBorder="1" applyAlignment="1" applyProtection="1">
      <alignment horizontal="center" vertical="center"/>
      <protection hidden="1"/>
    </xf>
    <xf numFmtId="0" fontId="6" fillId="0" borderId="54" xfId="0" applyFont="1" applyBorder="1" applyAlignment="1" applyProtection="1">
      <alignment horizontal="center" vertical="center"/>
      <protection hidden="1"/>
    </xf>
    <xf numFmtId="0" fontId="12" fillId="0" borderId="0" xfId="0" applyFont="1" applyAlignment="1">
      <alignment horizontal="left" wrapText="1"/>
    </xf>
    <xf numFmtId="0" fontId="2" fillId="0" borderId="21" xfId="0" applyFont="1" applyBorder="1" applyAlignment="1" applyProtection="1">
      <alignment horizontal="right"/>
      <protection hidden="1"/>
    </xf>
    <xf numFmtId="0" fontId="2" fillId="0" borderId="44" xfId="0" applyFont="1" applyBorder="1" applyAlignment="1" applyProtection="1">
      <alignment horizontal="right"/>
      <protection hidden="1"/>
    </xf>
    <xf numFmtId="166" fontId="2" fillId="0" borderId="21" xfId="0" applyNumberFormat="1" applyFont="1" applyBorder="1" applyAlignment="1" applyProtection="1">
      <alignment horizontal="right"/>
      <protection hidden="1"/>
    </xf>
    <xf numFmtId="169" fontId="2" fillId="0" borderId="21" xfId="0" applyNumberFormat="1" applyFont="1" applyBorder="1" applyAlignment="1" applyProtection="1">
      <alignment horizontal="center"/>
      <protection hidden="1"/>
    </xf>
    <xf numFmtId="170" fontId="2" fillId="0" borderId="21" xfId="0" applyNumberFormat="1" applyFont="1" applyBorder="1" applyAlignment="1" applyProtection="1">
      <alignment horizontal="right"/>
      <protection hidden="1"/>
    </xf>
    <xf numFmtId="0" fontId="3" fillId="0" borderId="8" xfId="0" applyFont="1" applyBorder="1" applyAlignment="1" applyProtection="1">
      <alignment horizontal="left"/>
      <protection hidden="1"/>
    </xf>
    <xf numFmtId="0" fontId="3" fillId="0" borderId="70" xfId="0" applyFont="1" applyBorder="1" applyAlignment="1" applyProtection="1">
      <alignment horizontal="left"/>
      <protection hidden="1"/>
    </xf>
    <xf numFmtId="0" fontId="3" fillId="0" borderId="88" xfId="0" applyFont="1" applyBorder="1" applyAlignment="1" applyProtection="1">
      <alignment horizontal="left"/>
      <protection hidden="1"/>
    </xf>
    <xf numFmtId="0" fontId="3" fillId="0" borderId="12" xfId="0" applyFont="1" applyBorder="1" applyAlignment="1" applyProtection="1">
      <alignment horizontal="left"/>
      <protection hidden="1"/>
    </xf>
    <xf numFmtId="0" fontId="3" fillId="0" borderId="21" xfId="0" applyFont="1" applyBorder="1" applyAlignment="1" applyProtection="1">
      <alignment horizontal="left"/>
      <protection hidden="1"/>
    </xf>
    <xf numFmtId="0" fontId="3" fillId="0" borderId="89" xfId="0" applyFont="1" applyBorder="1" applyAlignment="1" applyProtection="1">
      <alignment horizontal="left"/>
      <protection hidden="1"/>
    </xf>
    <xf numFmtId="0" fontId="2" fillId="0" borderId="8" xfId="0" applyFont="1" applyBorder="1" applyAlignment="1">
      <alignment horizontal="left"/>
    </xf>
    <xf numFmtId="0" fontId="2" fillId="0" borderId="70" xfId="0" applyFont="1" applyBorder="1" applyAlignment="1">
      <alignment horizontal="left"/>
    </xf>
    <xf numFmtId="0" fontId="2" fillId="0" borderId="9" xfId="0" applyFont="1" applyBorder="1" applyAlignment="1">
      <alignment horizontal="left"/>
    </xf>
    <xf numFmtId="2" fontId="0" fillId="0" borderId="8" xfId="0" applyNumberFormat="1" applyBorder="1" applyAlignment="1" applyProtection="1">
      <alignment horizontal="right"/>
      <protection hidden="1"/>
    </xf>
    <xf numFmtId="2" fontId="0" fillId="0" borderId="70" xfId="0" applyNumberFormat="1" applyBorder="1" applyAlignment="1" applyProtection="1">
      <alignment horizontal="right"/>
      <protection hidden="1"/>
    </xf>
    <xf numFmtId="2" fontId="0" fillId="0" borderId="17" xfId="0" applyNumberFormat="1" applyBorder="1" applyAlignment="1" applyProtection="1">
      <alignment horizontal="right"/>
      <protection hidden="1"/>
    </xf>
    <xf numFmtId="2" fontId="0" fillId="0" borderId="22" xfId="0" applyNumberFormat="1" applyBorder="1" applyAlignment="1" applyProtection="1">
      <alignment horizontal="right"/>
      <protection hidden="1"/>
    </xf>
    <xf numFmtId="0" fontId="6" fillId="0" borderId="61" xfId="0" applyFont="1" applyBorder="1" applyAlignment="1" applyProtection="1">
      <alignment horizontal="left" shrinkToFit="1"/>
      <protection hidden="1"/>
    </xf>
    <xf numFmtId="0" fontId="6" fillId="0" borderId="62" xfId="0" applyFont="1" applyBorder="1" applyAlignment="1" applyProtection="1">
      <alignment horizontal="left" shrinkToFit="1"/>
      <protection hidden="1"/>
    </xf>
    <xf numFmtId="0" fontId="6" fillId="0" borderId="65" xfId="0" applyFont="1" applyBorder="1" applyAlignment="1" applyProtection="1">
      <alignment horizontal="left" shrinkToFit="1"/>
      <protection hidden="1"/>
    </xf>
    <xf numFmtId="14" fontId="6" fillId="0" borderId="13" xfId="0" applyNumberFormat="1" applyFont="1" applyBorder="1" applyAlignment="1" applyProtection="1">
      <alignment horizontal="center"/>
      <protection hidden="1"/>
    </xf>
    <xf numFmtId="0" fontId="2" fillId="0" borderId="10" xfId="0" applyFont="1" applyBorder="1" applyAlignment="1">
      <alignment horizontal="left"/>
    </xf>
    <xf numFmtId="0" fontId="2" fillId="0" borderId="44" xfId="0" applyFont="1" applyBorder="1" applyAlignment="1">
      <alignment horizontal="left"/>
    </xf>
    <xf numFmtId="0" fontId="2" fillId="0" borderId="71" xfId="0" applyFont="1" applyBorder="1" applyAlignment="1">
      <alignment horizontal="left"/>
    </xf>
    <xf numFmtId="2" fontId="0" fillId="0" borderId="12" xfId="0" applyNumberFormat="1" applyBorder="1" applyAlignment="1" applyProtection="1">
      <alignment horizontal="right"/>
      <protection hidden="1"/>
    </xf>
    <xf numFmtId="2" fontId="0" fillId="0" borderId="21" xfId="0" applyNumberFormat="1" applyBorder="1" applyAlignment="1" applyProtection="1">
      <alignment horizontal="right"/>
      <protection hidden="1"/>
    </xf>
    <xf numFmtId="0" fontId="3" fillId="0" borderId="24" xfId="0" applyFont="1" applyBorder="1" applyAlignment="1" applyProtection="1">
      <alignment horizontal="left"/>
      <protection hidden="1"/>
    </xf>
    <xf numFmtId="0" fontId="3" fillId="0" borderId="41" xfId="0" applyFont="1" applyBorder="1" applyAlignment="1" applyProtection="1">
      <alignment horizontal="left"/>
      <protection hidden="1"/>
    </xf>
    <xf numFmtId="0" fontId="3" fillId="0" borderId="90" xfId="0" applyFont="1" applyBorder="1" applyAlignment="1" applyProtection="1">
      <alignment horizontal="left"/>
      <protection hidden="1"/>
    </xf>
    <xf numFmtId="0" fontId="21" fillId="0" borderId="0" xfId="0" applyFont="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6" fillId="0" borderId="68" xfId="0" applyFont="1" applyBorder="1" applyAlignment="1" applyProtection="1">
      <alignment horizontal="left" shrinkToFit="1"/>
      <protection hidden="1"/>
    </xf>
    <xf numFmtId="0" fontId="6" fillId="0" borderId="69" xfId="0" applyFont="1" applyBorder="1" applyAlignment="1" applyProtection="1">
      <alignment horizontal="left" shrinkToFit="1"/>
      <protection hidden="1"/>
    </xf>
    <xf numFmtId="0" fontId="2" fillId="0" borderId="12" xfId="0" applyFont="1" applyBorder="1" applyAlignment="1">
      <alignment horizontal="left"/>
    </xf>
    <xf numFmtId="0" fontId="0" fillId="0" borderId="21" xfId="0" applyBorder="1" applyAlignment="1">
      <alignment horizontal="left"/>
    </xf>
    <xf numFmtId="0" fontId="0" fillId="0" borderId="13" xfId="0" applyBorder="1" applyAlignment="1">
      <alignment horizontal="left"/>
    </xf>
    <xf numFmtId="2" fontId="0" fillId="0" borderId="91" xfId="0" applyNumberFormat="1" applyBorder="1" applyAlignment="1" applyProtection="1">
      <alignment horizontal="right"/>
      <protection hidden="1"/>
    </xf>
    <xf numFmtId="2" fontId="0" fillId="0" borderId="45" xfId="0" applyNumberFormat="1" applyBorder="1" applyAlignment="1" applyProtection="1">
      <alignment horizontal="right"/>
      <protection hidden="1"/>
    </xf>
    <xf numFmtId="2" fontId="0" fillId="0" borderId="31" xfId="0" applyNumberFormat="1" applyBorder="1" applyAlignment="1" applyProtection="1">
      <alignment horizontal="right"/>
      <protection hidden="1"/>
    </xf>
    <xf numFmtId="2" fontId="0" fillId="0" borderId="0" xfId="0" applyNumberFormat="1" applyBorder="1" applyAlignment="1" applyProtection="1">
      <alignment horizontal="right"/>
      <protection hidden="1"/>
    </xf>
    <xf numFmtId="0" fontId="2" fillId="0" borderId="91" xfId="0" applyFont="1" applyBorder="1" applyAlignment="1">
      <alignment horizontal="left"/>
    </xf>
    <xf numFmtId="0" fontId="0" fillId="0" borderId="45" xfId="0" applyBorder="1" applyAlignment="1">
      <alignment horizontal="left"/>
    </xf>
    <xf numFmtId="0" fontId="0" fillId="0" borderId="92" xfId="0" applyBorder="1" applyAlignment="1">
      <alignment horizontal="left"/>
    </xf>
    <xf numFmtId="2" fontId="0" fillId="0" borderId="24" xfId="0" applyNumberFormat="1" applyBorder="1" applyAlignment="1" applyProtection="1">
      <alignment horizontal="right"/>
      <protection hidden="1"/>
    </xf>
    <xf numFmtId="2" fontId="0" fillId="0" borderId="41" xfId="0" applyNumberFormat="1" applyBorder="1" applyAlignment="1" applyProtection="1">
      <alignment horizontal="right"/>
      <protection hidden="1"/>
    </xf>
    <xf numFmtId="0" fontId="0" fillId="0" borderId="12" xfId="0" applyBorder="1" applyAlignment="1" applyProtection="1">
      <alignment horizontal="right"/>
      <protection hidden="1"/>
    </xf>
    <xf numFmtId="0" fontId="0" fillId="0" borderId="21" xfId="0" applyBorder="1" applyAlignment="1" applyProtection="1">
      <alignment horizontal="right"/>
      <protection hidden="1"/>
    </xf>
    <xf numFmtId="169" fontId="0" fillId="0" borderId="12" xfId="0" applyNumberFormat="1" applyBorder="1" applyAlignment="1" applyProtection="1">
      <alignment horizontal="right"/>
      <protection hidden="1"/>
    </xf>
    <xf numFmtId="0" fontId="0" fillId="0" borderId="70" xfId="0" applyBorder="1" applyAlignment="1">
      <alignment horizontal="left"/>
    </xf>
    <xf numFmtId="0" fontId="0" fillId="0" borderId="9" xfId="0" applyBorder="1" applyAlignment="1">
      <alignment horizontal="left"/>
    </xf>
    <xf numFmtId="169" fontId="0" fillId="0" borderId="8" xfId="0" applyNumberFormat="1" applyBorder="1" applyAlignment="1" applyProtection="1">
      <alignment horizontal="right"/>
      <protection hidden="1"/>
    </xf>
    <xf numFmtId="0" fontId="0" fillId="0" borderId="70" xfId="0" applyBorder="1" applyAlignment="1" applyProtection="1">
      <alignment horizontal="right"/>
      <protection hidden="1"/>
    </xf>
    <xf numFmtId="2" fontId="0" fillId="0" borderId="10" xfId="0" applyNumberFormat="1" applyBorder="1" applyAlignment="1" applyProtection="1">
      <alignment horizontal="right"/>
      <protection hidden="1"/>
    </xf>
    <xf numFmtId="2" fontId="0" fillId="0" borderId="44" xfId="0" applyNumberFormat="1" applyBorder="1" applyAlignment="1" applyProtection="1">
      <alignment horizontal="right"/>
      <protection hidden="1"/>
    </xf>
    <xf numFmtId="169" fontId="0" fillId="0" borderId="21" xfId="0" applyNumberFormat="1" applyBorder="1" applyAlignment="1" applyProtection="1">
      <alignment horizontal="right"/>
      <protection hidden="1"/>
    </xf>
    <xf numFmtId="0" fontId="2" fillId="0" borderId="24" xfId="0" applyFont="1" applyBorder="1" applyAlignment="1">
      <alignment horizontal="left"/>
    </xf>
    <xf numFmtId="0" fontId="0" fillId="0" borderId="41" xfId="0" applyBorder="1" applyAlignment="1">
      <alignment horizontal="left"/>
    </xf>
    <xf numFmtId="0" fontId="0" fillId="0" borderId="25" xfId="0" applyBorder="1" applyAlignment="1">
      <alignment horizontal="left"/>
    </xf>
    <xf numFmtId="169" fontId="0" fillId="0" borderId="24" xfId="0" applyNumberFormat="1" applyBorder="1" applyAlignment="1" applyProtection="1">
      <alignment horizontal="right"/>
      <protection hidden="1"/>
    </xf>
    <xf numFmtId="169" fontId="0" fillId="0" borderId="41" xfId="0" applyNumberFormat="1" applyBorder="1" applyAlignment="1" applyProtection="1">
      <alignment horizontal="right"/>
      <protection hidden="1"/>
    </xf>
    <xf numFmtId="0" fontId="0" fillId="0" borderId="44" xfId="0" applyBorder="1" applyAlignment="1">
      <alignment horizontal="left"/>
    </xf>
    <xf numFmtId="0" fontId="0" fillId="0" borderId="71" xfId="0" applyBorder="1" applyAlignment="1">
      <alignment horizontal="left"/>
    </xf>
    <xf numFmtId="0" fontId="2" fillId="0" borderId="17" xfId="0" applyFont="1" applyBorder="1" applyAlignment="1">
      <alignment horizontal="left" vertical="center"/>
    </xf>
    <xf numFmtId="0" fontId="2" fillId="0" borderId="22" xfId="0" applyFont="1" applyBorder="1" applyAlignment="1">
      <alignment horizontal="left" vertical="center"/>
    </xf>
    <xf numFmtId="0" fontId="2" fillId="0" borderId="18" xfId="0" applyFont="1" applyBorder="1" applyAlignment="1">
      <alignment horizontal="left" vertical="center"/>
    </xf>
    <xf numFmtId="0" fontId="2" fillId="0" borderId="19" xfId="0" applyFont="1" applyBorder="1" applyAlignment="1">
      <alignment horizontal="left" vertical="center"/>
    </xf>
    <xf numFmtId="0" fontId="2" fillId="0" borderId="40" xfId="0" applyFont="1" applyBorder="1" applyAlignment="1">
      <alignment horizontal="left" vertical="center"/>
    </xf>
    <xf numFmtId="0" fontId="2" fillId="0" borderId="20" xfId="0" applyFont="1" applyBorder="1" applyAlignment="1">
      <alignment horizontal="left" vertical="center"/>
    </xf>
    <xf numFmtId="169" fontId="4" fillId="0" borderId="22" xfId="0" applyNumberFormat="1" applyFont="1" applyBorder="1" applyAlignment="1" applyProtection="1">
      <alignment horizontal="right" vertical="center"/>
      <protection hidden="1"/>
    </xf>
    <xf numFmtId="0" fontId="0" fillId="0" borderId="40" xfId="0" applyBorder="1" applyAlignment="1" applyProtection="1">
      <alignment horizontal="right" vertical="center"/>
      <protection hidden="1"/>
    </xf>
    <xf numFmtId="0" fontId="4" fillId="0" borderId="18" xfId="0" applyFont="1" applyBorder="1" applyAlignment="1" applyProtection="1">
      <alignment horizontal="left" vertical="center"/>
      <protection hidden="1"/>
    </xf>
    <xf numFmtId="0" fontId="4" fillId="0" borderId="20" xfId="0" applyFont="1" applyBorder="1" applyAlignment="1" applyProtection="1">
      <alignment horizontal="left" vertical="center"/>
      <protection hidden="1"/>
    </xf>
    <xf numFmtId="166" fontId="0" fillId="0" borderId="1" xfId="0" applyNumberFormat="1" applyBorder="1" applyAlignment="1" applyProtection="1">
      <alignment horizontal="right"/>
      <protection hidden="1"/>
    </xf>
    <xf numFmtId="0" fontId="0" fillId="0" borderId="0" xfId="0" applyAlignment="1">
      <alignment horizontal="left"/>
    </xf>
    <xf numFmtId="0" fontId="0" fillId="0" borderId="0" xfId="0" applyAlignment="1">
      <alignment horizontal="center"/>
    </xf>
    <xf numFmtId="0" fontId="3" fillId="0" borderId="0" xfId="0" applyFont="1" applyAlignment="1" applyProtection="1">
      <alignment horizontal="right"/>
      <protection locked="0" hidden="1"/>
    </xf>
    <xf numFmtId="14" fontId="3" fillId="0" borderId="0" xfId="0" applyNumberFormat="1" applyFont="1" applyAlignment="1" applyProtection="1">
      <alignment horizontal="left"/>
      <protection locked="0" hidden="1"/>
    </xf>
    <xf numFmtId="0" fontId="3" fillId="0" borderId="8" xfId="0" applyFont="1" applyBorder="1" applyAlignment="1" applyProtection="1">
      <alignment horizontal="left"/>
      <protection locked="0" hidden="1"/>
    </xf>
    <xf numFmtId="0" fontId="3" fillId="0" borderId="70" xfId="0" applyFont="1" applyBorder="1" applyAlignment="1" applyProtection="1">
      <alignment horizontal="left"/>
      <protection locked="0" hidden="1"/>
    </xf>
    <xf numFmtId="0" fontId="3" fillId="0" borderId="88" xfId="0" applyFont="1" applyBorder="1" applyAlignment="1" applyProtection="1">
      <alignment horizontal="left"/>
      <protection locked="0" hidden="1"/>
    </xf>
    <xf numFmtId="0" fontId="4" fillId="0" borderId="70" xfId="0" applyFont="1" applyBorder="1" applyAlignment="1" applyProtection="1">
      <alignment horizontal="left"/>
      <protection locked="0" hidden="1"/>
    </xf>
    <xf numFmtId="0" fontId="4" fillId="0" borderId="9" xfId="0" applyFont="1" applyBorder="1" applyAlignment="1" applyProtection="1">
      <alignment horizontal="left"/>
      <protection locked="0" hidden="1"/>
    </xf>
    <xf numFmtId="0" fontId="3" fillId="0" borderId="12" xfId="0" applyFont="1" applyBorder="1" applyAlignment="1" applyProtection="1">
      <alignment horizontal="left"/>
      <protection locked="0" hidden="1"/>
    </xf>
    <xf numFmtId="0" fontId="0" fillId="0" borderId="21" xfId="0" applyBorder="1" applyProtection="1">
      <protection locked="0" hidden="1"/>
    </xf>
    <xf numFmtId="0" fontId="0" fillId="0" borderId="89" xfId="0" applyBorder="1" applyProtection="1">
      <protection locked="0" hidden="1"/>
    </xf>
    <xf numFmtId="0" fontId="4" fillId="0" borderId="21" xfId="0" applyFont="1" applyBorder="1" applyAlignment="1" applyProtection="1">
      <alignment horizontal="left"/>
      <protection locked="0" hidden="1"/>
    </xf>
    <xf numFmtId="0" fontId="0" fillId="0" borderId="21" xfId="0" applyBorder="1" applyAlignment="1" applyProtection="1">
      <alignment horizontal="left"/>
      <protection locked="0" hidden="1"/>
    </xf>
    <xf numFmtId="0" fontId="0" fillId="0" borderId="13" xfId="0" applyBorder="1" applyAlignment="1" applyProtection="1">
      <alignment horizontal="left"/>
      <protection locked="0" hidden="1"/>
    </xf>
    <xf numFmtId="0" fontId="3" fillId="0" borderId="24" xfId="0" applyFont="1" applyBorder="1" applyAlignment="1" applyProtection="1">
      <alignment horizontal="left"/>
      <protection locked="0" hidden="1"/>
    </xf>
    <xf numFmtId="0" fontId="0" fillId="0" borderId="41" xfId="0" applyBorder="1" applyProtection="1">
      <protection locked="0" hidden="1"/>
    </xf>
    <xf numFmtId="0" fontId="0" fillId="0" borderId="90" xfId="0" applyBorder="1" applyProtection="1">
      <protection locked="0" hidden="1"/>
    </xf>
    <xf numFmtId="0" fontId="4" fillId="0" borderId="41" xfId="0" applyFont="1" applyBorder="1" applyAlignment="1" applyProtection="1">
      <alignment horizontal="left"/>
      <protection locked="0" hidden="1"/>
    </xf>
    <xf numFmtId="0" fontId="0" fillId="0" borderId="41" xfId="0" applyBorder="1" applyAlignment="1" applyProtection="1">
      <alignment horizontal="left"/>
      <protection locked="0" hidden="1"/>
    </xf>
    <xf numFmtId="0" fontId="0" fillId="0" borderId="25" xfId="0" applyBorder="1" applyAlignment="1" applyProtection="1">
      <alignment horizontal="left"/>
      <protection locked="0" hidden="1"/>
    </xf>
    <xf numFmtId="0" fontId="11" fillId="0" borderId="0" xfId="0" applyFont="1" applyAlignment="1" applyProtection="1">
      <alignment horizontal="center" vertical="center"/>
      <protection locked="0" hidden="1"/>
    </xf>
    <xf numFmtId="0" fontId="21" fillId="0" borderId="0" xfId="0" applyFont="1" applyAlignment="1" applyProtection="1">
      <alignment horizontal="center"/>
      <protection locked="0" hidden="1"/>
    </xf>
    <xf numFmtId="0" fontId="6" fillId="0" borderId="49" xfId="0" applyFont="1" applyBorder="1" applyAlignment="1" applyProtection="1">
      <alignment horizontal="center" vertical="center"/>
      <protection locked="0" hidden="1"/>
    </xf>
    <xf numFmtId="0" fontId="6" fillId="0" borderId="57" xfId="0" applyFont="1" applyBorder="1" applyAlignment="1" applyProtection="1">
      <alignment horizontal="center" vertical="center"/>
      <protection locked="0" hidden="1"/>
    </xf>
    <xf numFmtId="0" fontId="6" fillId="0" borderId="93" xfId="0" applyFont="1" applyBorder="1" applyAlignment="1" applyProtection="1">
      <alignment horizontal="center" vertical="center"/>
      <protection locked="0" hidden="1"/>
    </xf>
    <xf numFmtId="0" fontId="6" fillId="0" borderId="94" xfId="0" applyFont="1" applyBorder="1" applyAlignment="1" applyProtection="1">
      <alignment horizontal="center" vertical="center"/>
      <protection locked="0" hidden="1"/>
    </xf>
    <xf numFmtId="0" fontId="6" fillId="0" borderId="50" xfId="0" applyFont="1" applyBorder="1" applyAlignment="1" applyProtection="1">
      <alignment horizontal="center" vertical="center"/>
      <protection locked="0" hidden="1"/>
    </xf>
    <xf numFmtId="169" fontId="4" fillId="0" borderId="21" xfId="0" applyNumberFormat="1" applyFont="1" applyBorder="1" applyAlignment="1" applyProtection="1">
      <alignment horizontal="left"/>
      <protection locked="0" hidden="1"/>
    </xf>
    <xf numFmtId="169" fontId="4" fillId="0" borderId="21" xfId="0" applyNumberFormat="1" applyFont="1" applyBorder="1" applyAlignment="1" applyProtection="1">
      <alignment horizontal="center" shrinkToFit="1"/>
      <protection locked="0" hidden="1"/>
    </xf>
    <xf numFmtId="14" fontId="4" fillId="0" borderId="21" xfId="0" applyNumberFormat="1" applyFont="1" applyBorder="1" applyAlignment="1" applyProtection="1">
      <alignment horizontal="center"/>
      <protection locked="0" hidden="1"/>
    </xf>
    <xf numFmtId="14" fontId="4" fillId="0" borderId="13" xfId="0" applyNumberFormat="1" applyFont="1" applyBorder="1" applyAlignment="1" applyProtection="1">
      <alignment horizontal="center"/>
      <protection locked="0" hidden="1"/>
    </xf>
    <xf numFmtId="0" fontId="0" fillId="0" borderId="5" xfId="0" applyBorder="1" applyAlignment="1" applyProtection="1">
      <alignment horizontal="center" vertical="center" wrapText="1"/>
      <protection locked="0" hidden="1"/>
    </xf>
    <xf numFmtId="0" fontId="0" fillId="0" borderId="1" xfId="0" applyBorder="1" applyAlignment="1" applyProtection="1">
      <alignment horizontal="center" vertical="center" wrapText="1"/>
      <protection locked="0" hidden="1"/>
    </xf>
    <xf numFmtId="0" fontId="0" fillId="0" borderId="17" xfId="0" applyBorder="1" applyAlignment="1" applyProtection="1">
      <alignment horizontal="center" vertical="center" wrapText="1"/>
      <protection locked="0" hidden="1"/>
    </xf>
    <xf numFmtId="0" fontId="0" fillId="0" borderId="18" xfId="0" applyBorder="1" applyAlignment="1" applyProtection="1">
      <alignment horizontal="center" vertical="center" wrapText="1"/>
      <protection locked="0" hidden="1"/>
    </xf>
    <xf numFmtId="0" fontId="0" fillId="0" borderId="125" xfId="0" applyBorder="1" applyAlignment="1" applyProtection="1">
      <alignment horizontal="left"/>
      <protection locked="0" hidden="1"/>
    </xf>
    <xf numFmtId="0" fontId="0" fillId="0" borderId="127" xfId="0" applyBorder="1" applyAlignment="1" applyProtection="1">
      <alignment horizontal="left"/>
      <protection locked="0" hidden="1"/>
    </xf>
    <xf numFmtId="2" fontId="4" fillId="0" borderId="128" xfId="0" applyNumberFormat="1" applyFont="1" applyBorder="1" applyAlignment="1" applyProtection="1">
      <alignment horizontal="center"/>
      <protection locked="0" hidden="1"/>
    </xf>
    <xf numFmtId="0" fontId="0" fillId="0" borderId="126" xfId="0" applyBorder="1" applyAlignment="1" applyProtection="1">
      <alignment horizontal="center"/>
      <protection locked="0" hidden="1"/>
    </xf>
    <xf numFmtId="2" fontId="4" fillId="0" borderId="129" xfId="0" applyNumberFormat="1" applyFont="1" applyBorder="1" applyAlignment="1" applyProtection="1">
      <alignment horizontal="center"/>
      <protection locked="0" hidden="1"/>
    </xf>
    <xf numFmtId="0" fontId="0" fillId="0" borderId="129" xfId="0" applyBorder="1" applyAlignment="1" applyProtection="1">
      <alignment horizontal="center"/>
      <protection locked="0" hidden="1"/>
    </xf>
    <xf numFmtId="167" fontId="4" fillId="0" borderId="125" xfId="0" applyNumberFormat="1" applyFont="1" applyBorder="1" applyAlignment="1" applyProtection="1">
      <alignment horizontal="center"/>
      <protection locked="0" hidden="1"/>
    </xf>
    <xf numFmtId="167" fontId="0" fillId="0" borderId="125" xfId="0" applyNumberFormat="1" applyBorder="1" applyAlignment="1" applyProtection="1">
      <alignment horizontal="center"/>
      <protection locked="0" hidden="1"/>
    </xf>
    <xf numFmtId="169" fontId="4" fillId="0" borderId="125" xfId="0" applyNumberFormat="1" applyFont="1" applyBorder="1" applyAlignment="1" applyProtection="1">
      <alignment horizontal="right"/>
      <protection locked="0" hidden="1"/>
    </xf>
    <xf numFmtId="0" fontId="0" fillId="0" borderId="59" xfId="0" applyBorder="1" applyAlignment="1" applyProtection="1">
      <alignment horizontal="left" vertical="center" wrapText="1"/>
      <protection locked="0" hidden="1"/>
    </xf>
    <xf numFmtId="0" fontId="0" fillId="0" borderId="43" xfId="0" applyBorder="1" applyAlignment="1" applyProtection="1">
      <alignment horizontal="left" vertical="center" wrapText="1"/>
      <protection locked="0" hidden="1"/>
    </xf>
    <xf numFmtId="0" fontId="0" fillId="0" borderId="95" xfId="0" applyBorder="1" applyAlignment="1" applyProtection="1">
      <alignment horizontal="left" vertical="center" wrapText="1"/>
      <protection locked="0" hidden="1"/>
    </xf>
    <xf numFmtId="0" fontId="0" fillId="0" borderId="96" xfId="0" applyBorder="1" applyAlignment="1" applyProtection="1">
      <alignment horizontal="center" vertical="center" wrapText="1"/>
      <protection locked="0" hidden="1"/>
    </xf>
    <xf numFmtId="0" fontId="0" fillId="0" borderId="2" xfId="0" applyBorder="1" applyAlignment="1" applyProtection="1">
      <alignment horizontal="center" vertical="center" wrapText="1"/>
      <protection locked="0" hidden="1"/>
    </xf>
    <xf numFmtId="0" fontId="0" fillId="0" borderId="121" xfId="0" applyBorder="1" applyAlignment="1" applyProtection="1">
      <alignment horizontal="center" vertical="center" wrapText="1"/>
      <protection locked="0" hidden="1"/>
    </xf>
    <xf numFmtId="0" fontId="0" fillId="0" borderId="122" xfId="0" applyBorder="1" applyAlignment="1" applyProtection="1">
      <alignment horizontal="left" vertical="center" wrapText="1"/>
      <protection locked="0" hidden="1"/>
    </xf>
    <xf numFmtId="0" fontId="0" fillId="0" borderId="22" xfId="0" applyBorder="1" applyAlignment="1" applyProtection="1">
      <alignment horizontal="left" vertical="center" wrapText="1"/>
      <protection locked="0" hidden="1"/>
    </xf>
    <xf numFmtId="0" fontId="0" fillId="0" borderId="18" xfId="0" applyBorder="1" applyAlignment="1" applyProtection="1">
      <alignment horizontal="left" vertical="center" wrapText="1"/>
      <protection locked="0" hidden="1"/>
    </xf>
    <xf numFmtId="4" fontId="4" fillId="0" borderId="125" xfId="0" applyNumberFormat="1" applyFont="1" applyBorder="1" applyAlignment="1" applyProtection="1">
      <alignment horizontal="center"/>
      <protection locked="0" hidden="1"/>
    </xf>
    <xf numFmtId="4" fontId="4" fillId="0" borderId="123" xfId="0" applyNumberFormat="1" applyFont="1" applyBorder="1" applyAlignment="1" applyProtection="1">
      <alignment horizontal="center"/>
      <protection locked="0" hidden="1"/>
    </xf>
    <xf numFmtId="167" fontId="4" fillId="0" borderId="123" xfId="0" applyNumberFormat="1" applyFont="1" applyBorder="1" applyAlignment="1" applyProtection="1">
      <alignment horizontal="center"/>
      <protection locked="0" hidden="1"/>
    </xf>
    <xf numFmtId="169" fontId="4" fillId="0" borderId="124" xfId="0" applyNumberFormat="1" applyFont="1" applyBorder="1" applyAlignment="1" applyProtection="1">
      <alignment horizontal="right"/>
      <protection locked="0" hidden="1"/>
    </xf>
    <xf numFmtId="0" fontId="0" fillId="0" borderId="124" xfId="0" applyBorder="1" applyAlignment="1" applyProtection="1">
      <alignment horizontal="left"/>
      <protection locked="0" hidden="1"/>
    </xf>
    <xf numFmtId="2" fontId="4" fillId="0" borderId="124" xfId="0" applyNumberFormat="1" applyFont="1" applyBorder="1" applyAlignment="1" applyProtection="1">
      <alignment horizontal="center"/>
      <protection locked="0" hidden="1"/>
    </xf>
    <xf numFmtId="0" fontId="0" fillId="0" borderId="124" xfId="0" applyBorder="1" applyAlignment="1" applyProtection="1">
      <alignment horizontal="center"/>
      <protection locked="0" hidden="1"/>
    </xf>
    <xf numFmtId="167" fontId="4" fillId="0" borderId="124" xfId="0" applyNumberFormat="1" applyFont="1" applyBorder="1" applyAlignment="1" applyProtection="1">
      <alignment horizontal="center"/>
      <protection locked="0" hidden="1"/>
    </xf>
    <xf numFmtId="167" fontId="0" fillId="0" borderId="124" xfId="0" applyNumberFormat="1" applyBorder="1" applyAlignment="1" applyProtection="1">
      <alignment horizontal="center"/>
      <protection locked="0" hidden="1"/>
    </xf>
    <xf numFmtId="4" fontId="4" fillId="0" borderId="124" xfId="0" applyNumberFormat="1" applyFont="1" applyBorder="1" applyAlignment="1" applyProtection="1">
      <alignment horizontal="center"/>
      <protection locked="0" hidden="1"/>
    </xf>
    <xf numFmtId="0" fontId="0" fillId="0" borderId="123" xfId="0" applyBorder="1" applyAlignment="1" applyProtection="1">
      <alignment horizontal="left"/>
      <protection locked="0" hidden="1"/>
    </xf>
    <xf numFmtId="167" fontId="0" fillId="0" borderId="123" xfId="0" applyNumberFormat="1" applyBorder="1" applyAlignment="1" applyProtection="1">
      <alignment horizontal="center"/>
      <protection locked="0" hidden="1"/>
    </xf>
    <xf numFmtId="169" fontId="4" fillId="0" borderId="123" xfId="0" applyNumberFormat="1" applyFont="1" applyBorder="1" applyAlignment="1" applyProtection="1">
      <alignment horizontal="right"/>
      <protection locked="0" hidden="1"/>
    </xf>
    <xf numFmtId="169" fontId="4" fillId="0" borderId="130" xfId="0" applyNumberFormat="1" applyFont="1" applyBorder="1" applyAlignment="1" applyProtection="1">
      <alignment horizontal="right"/>
      <protection locked="0" hidden="1"/>
    </xf>
    <xf numFmtId="169" fontId="4" fillId="0" borderId="37" xfId="0" applyNumberFormat="1" applyFont="1" applyBorder="1" applyAlignment="1" applyProtection="1">
      <alignment horizontal="right"/>
      <protection locked="0" hidden="1"/>
    </xf>
    <xf numFmtId="169" fontId="4" fillId="0" borderId="38" xfId="0" applyNumberFormat="1" applyFont="1" applyBorder="1" applyAlignment="1" applyProtection="1">
      <alignment horizontal="right"/>
      <protection locked="0" hidden="1"/>
    </xf>
    <xf numFmtId="169" fontId="4" fillId="0" borderId="33" xfId="0" applyNumberFormat="1" applyFont="1" applyBorder="1" applyAlignment="1" applyProtection="1">
      <alignment horizontal="right"/>
      <protection locked="0" hidden="1"/>
    </xf>
    <xf numFmtId="169" fontId="4" fillId="0" borderId="34" xfId="0" applyNumberFormat="1" applyFont="1" applyBorder="1" applyAlignment="1" applyProtection="1">
      <alignment horizontal="right"/>
      <protection locked="0" hidden="1"/>
    </xf>
    <xf numFmtId="2" fontId="4" fillId="0" borderId="131" xfId="0" applyNumberFormat="1" applyFont="1" applyBorder="1" applyAlignment="1" applyProtection="1">
      <alignment horizontal="center"/>
      <protection locked="0" hidden="1"/>
    </xf>
    <xf numFmtId="0" fontId="0" fillId="0" borderId="131" xfId="0" applyBorder="1" applyAlignment="1" applyProtection="1">
      <alignment horizontal="center"/>
      <protection locked="0" hidden="1"/>
    </xf>
    <xf numFmtId="167" fontId="4" fillId="0" borderId="131" xfId="0" applyNumberFormat="1" applyFont="1" applyBorder="1" applyAlignment="1" applyProtection="1">
      <alignment horizontal="center"/>
      <protection locked="0" hidden="1"/>
    </xf>
    <xf numFmtId="167" fontId="0" fillId="0" borderId="131" xfId="0" applyNumberFormat="1" applyBorder="1" applyAlignment="1" applyProtection="1">
      <alignment horizontal="center"/>
      <protection locked="0" hidden="1"/>
    </xf>
    <xf numFmtId="169" fontId="4" fillId="0" borderId="131" xfId="0" applyNumberFormat="1" applyFont="1" applyBorder="1" applyAlignment="1" applyProtection="1">
      <alignment horizontal="right"/>
      <protection locked="0" hidden="1"/>
    </xf>
    <xf numFmtId="0" fontId="0" fillId="0" borderId="131" xfId="0" applyBorder="1" applyAlignment="1" applyProtection="1">
      <alignment horizontal="left"/>
      <protection locked="0" hidden="1"/>
    </xf>
    <xf numFmtId="166" fontId="0" fillId="0" borderId="0" xfId="0" applyNumberFormat="1" applyAlignment="1" applyProtection="1">
      <alignment horizontal="right"/>
      <protection locked="0" hidden="1"/>
    </xf>
    <xf numFmtId="0" fontId="0" fillId="0" borderId="58" xfId="0" applyBorder="1" applyAlignment="1" applyProtection="1">
      <alignment horizontal="left" vertical="center" wrapText="1"/>
      <protection locked="0" hidden="1"/>
    </xf>
    <xf numFmtId="0" fontId="0" fillId="0" borderId="59" xfId="0" applyBorder="1" applyAlignment="1" applyProtection="1">
      <alignment horizontal="center" vertical="center" wrapText="1"/>
      <protection locked="0" hidden="1"/>
    </xf>
    <xf numFmtId="0" fontId="0" fillId="0" borderId="95" xfId="0" applyBorder="1" applyAlignment="1" applyProtection="1">
      <alignment horizontal="center" vertical="center" wrapText="1"/>
      <protection locked="0" hidden="1"/>
    </xf>
    <xf numFmtId="0" fontId="0" fillId="0" borderId="43" xfId="0" applyBorder="1" applyAlignment="1" applyProtection="1">
      <alignment horizontal="center" vertical="center" wrapText="1"/>
      <protection locked="0" hidden="1"/>
    </xf>
    <xf numFmtId="0" fontId="0" fillId="0" borderId="97" xfId="0" applyBorder="1" applyAlignment="1" applyProtection="1">
      <alignment horizontal="center" vertical="center" wrapText="1"/>
      <protection locked="0" hidden="1"/>
    </xf>
    <xf numFmtId="0" fontId="0" fillId="0" borderId="98" xfId="0" applyBorder="1" applyAlignment="1" applyProtection="1">
      <alignment horizontal="left" vertical="center" wrapText="1"/>
      <protection locked="0" hidden="1"/>
    </xf>
    <xf numFmtId="4" fontId="4" fillId="0" borderId="131" xfId="0" applyNumberFormat="1" applyFont="1" applyBorder="1" applyAlignment="1" applyProtection="1">
      <alignment horizontal="center"/>
      <protection locked="0" hidden="1"/>
    </xf>
    <xf numFmtId="4" fontId="4" fillId="0" borderId="130" xfId="0" applyNumberFormat="1" applyFont="1" applyBorder="1" applyAlignment="1" applyProtection="1">
      <alignment horizontal="center"/>
      <protection locked="0" hidden="1"/>
    </xf>
    <xf numFmtId="167" fontId="4" fillId="0" borderId="130" xfId="0" applyNumberFormat="1" applyFont="1" applyBorder="1" applyAlignment="1" applyProtection="1">
      <alignment horizontal="center"/>
      <protection locked="0" hidden="1"/>
    </xf>
    <xf numFmtId="0" fontId="0" fillId="0" borderId="106" xfId="0" applyBorder="1" applyAlignment="1" applyProtection="1">
      <alignment horizontal="center" vertical="center" wrapText="1"/>
      <protection locked="0" hidden="1"/>
    </xf>
    <xf numFmtId="0" fontId="0" fillId="0" borderId="99" xfId="0" applyBorder="1" applyAlignment="1" applyProtection="1">
      <alignment horizontal="left"/>
      <protection locked="0" hidden="1"/>
    </xf>
    <xf numFmtId="0" fontId="0" fillId="0" borderId="70" xfId="0" applyBorder="1" applyAlignment="1" applyProtection="1">
      <alignment horizontal="left"/>
      <protection locked="0" hidden="1"/>
    </xf>
    <xf numFmtId="0" fontId="0" fillId="0" borderId="9" xfId="0" applyBorder="1" applyAlignment="1" applyProtection="1">
      <alignment horizontal="left"/>
      <protection locked="0" hidden="1"/>
    </xf>
    <xf numFmtId="2" fontId="4" fillId="0" borderId="8" xfId="0" applyNumberFormat="1" applyFont="1" applyBorder="1" applyAlignment="1" applyProtection="1">
      <alignment horizontal="center"/>
      <protection locked="0" hidden="1"/>
    </xf>
    <xf numFmtId="0" fontId="0" fillId="0" borderId="9" xfId="0" applyBorder="1" applyAlignment="1" applyProtection="1">
      <alignment horizontal="center"/>
      <protection locked="0" hidden="1"/>
    </xf>
    <xf numFmtId="169" fontId="4" fillId="0" borderId="8" xfId="0" applyNumberFormat="1" applyFont="1" applyBorder="1" applyAlignment="1" applyProtection="1">
      <alignment horizontal="right"/>
      <protection locked="0" hidden="1"/>
    </xf>
    <xf numFmtId="169" fontId="4" fillId="0" borderId="70" xfId="0" applyNumberFormat="1" applyFont="1" applyBorder="1" applyAlignment="1" applyProtection="1">
      <alignment horizontal="right"/>
      <protection locked="0" hidden="1"/>
    </xf>
    <xf numFmtId="169" fontId="4" fillId="0" borderId="9" xfId="0" applyNumberFormat="1" applyFont="1" applyBorder="1" applyAlignment="1" applyProtection="1">
      <alignment horizontal="right"/>
      <protection locked="0" hidden="1"/>
    </xf>
    <xf numFmtId="169" fontId="4" fillId="0" borderId="100" xfId="0" applyNumberFormat="1" applyFont="1" applyBorder="1" applyAlignment="1" applyProtection="1">
      <alignment horizontal="right"/>
      <protection locked="0" hidden="1"/>
    </xf>
    <xf numFmtId="0" fontId="0" fillId="0" borderId="101" xfId="0" applyBorder="1" applyAlignment="1" applyProtection="1">
      <alignment horizontal="left" vertical="center" wrapText="1"/>
      <protection locked="0" hidden="1"/>
    </xf>
    <xf numFmtId="0" fontId="0" fillId="0" borderId="70" xfId="0" applyBorder="1" applyAlignment="1" applyProtection="1">
      <alignment horizontal="left" vertical="center" wrapText="1"/>
      <protection locked="0" hidden="1"/>
    </xf>
    <xf numFmtId="0" fontId="0" fillId="0" borderId="9" xfId="0" applyBorder="1" applyAlignment="1" applyProtection="1">
      <alignment horizontal="left" vertical="center" wrapText="1"/>
      <protection locked="0" hidden="1"/>
    </xf>
    <xf numFmtId="4" fontId="4" fillId="0" borderId="8" xfId="0" applyNumberFormat="1" applyFont="1" applyBorder="1" applyAlignment="1" applyProtection="1">
      <alignment horizontal="center"/>
      <protection locked="0" hidden="1"/>
    </xf>
    <xf numFmtId="4" fontId="4" fillId="0" borderId="9" xfId="0" applyNumberFormat="1" applyFont="1" applyBorder="1" applyAlignment="1" applyProtection="1">
      <alignment horizontal="center"/>
      <protection locked="0" hidden="1"/>
    </xf>
    <xf numFmtId="169" fontId="4" fillId="0" borderId="82" xfId="0" applyNumberFormat="1" applyFont="1" applyBorder="1" applyAlignment="1" applyProtection="1">
      <alignment horizontal="right"/>
      <protection locked="0" hidden="1"/>
    </xf>
    <xf numFmtId="169" fontId="4" fillId="0" borderId="107" xfId="0" applyNumberFormat="1" applyFont="1" applyBorder="1" applyAlignment="1" applyProtection="1">
      <alignment horizontal="right"/>
      <protection locked="0" hidden="1"/>
    </xf>
    <xf numFmtId="0" fontId="0" fillId="0" borderId="85" xfId="0" applyBorder="1" applyAlignment="1" applyProtection="1">
      <alignment horizontal="left"/>
      <protection locked="0" hidden="1"/>
    </xf>
    <xf numFmtId="2" fontId="4" fillId="0" borderId="10" xfId="0" applyNumberFormat="1" applyFont="1" applyBorder="1" applyAlignment="1" applyProtection="1">
      <alignment horizontal="center"/>
      <protection locked="0" hidden="1"/>
    </xf>
    <xf numFmtId="0" fontId="0" fillId="0" borderId="71" xfId="0" applyBorder="1" applyAlignment="1" applyProtection="1">
      <alignment horizontal="center"/>
      <protection locked="0" hidden="1"/>
    </xf>
    <xf numFmtId="169" fontId="4" fillId="0" borderId="12" xfId="0" applyNumberFormat="1" applyFont="1" applyBorder="1" applyAlignment="1" applyProtection="1">
      <alignment horizontal="right"/>
      <protection locked="0" hidden="1"/>
    </xf>
    <xf numFmtId="169" fontId="4" fillId="0" borderId="21" xfId="0" applyNumberFormat="1" applyFont="1" applyBorder="1" applyAlignment="1" applyProtection="1">
      <alignment horizontal="right"/>
      <protection locked="0" hidden="1"/>
    </xf>
    <xf numFmtId="169" fontId="4" fillId="0" borderId="13" xfId="0" applyNumberFormat="1" applyFont="1" applyBorder="1" applyAlignment="1" applyProtection="1">
      <alignment horizontal="right"/>
      <protection locked="0" hidden="1"/>
    </xf>
    <xf numFmtId="0" fontId="0" fillId="0" borderId="21" xfId="0" applyBorder="1" applyAlignment="1" applyProtection="1">
      <alignment horizontal="right"/>
      <protection locked="0" hidden="1"/>
    </xf>
    <xf numFmtId="0" fontId="0" fillId="0" borderId="102" xfId="0" applyBorder="1" applyAlignment="1" applyProtection="1">
      <alignment horizontal="right"/>
      <protection locked="0" hidden="1"/>
    </xf>
    <xf numFmtId="0" fontId="0" fillId="0" borderId="103" xfId="0" applyBorder="1" applyAlignment="1" applyProtection="1">
      <alignment horizontal="left" vertical="center" wrapText="1"/>
      <protection locked="0" hidden="1"/>
    </xf>
    <xf numFmtId="0" fontId="0" fillId="0" borderId="21" xfId="0" applyBorder="1" applyAlignment="1" applyProtection="1">
      <alignment horizontal="left" vertical="center" wrapText="1"/>
      <protection locked="0" hidden="1"/>
    </xf>
    <xf numFmtId="0" fontId="0" fillId="0" borderId="13" xfId="0" applyBorder="1" applyAlignment="1" applyProtection="1">
      <alignment horizontal="left" vertical="center" wrapText="1"/>
      <protection locked="0" hidden="1"/>
    </xf>
    <xf numFmtId="4" fontId="4" fillId="0" borderId="12" xfId="0" applyNumberFormat="1" applyFont="1" applyBorder="1" applyAlignment="1" applyProtection="1">
      <alignment horizontal="center"/>
      <protection locked="0" hidden="1"/>
    </xf>
    <xf numFmtId="4" fontId="4" fillId="0" borderId="13" xfId="0" applyNumberFormat="1" applyFont="1" applyBorder="1" applyAlignment="1" applyProtection="1">
      <alignment horizontal="center"/>
      <protection locked="0" hidden="1"/>
    </xf>
    <xf numFmtId="169" fontId="4" fillId="0" borderId="14" xfId="0" applyNumberFormat="1" applyFont="1" applyBorder="1" applyAlignment="1" applyProtection="1">
      <alignment horizontal="right"/>
      <protection locked="0" hidden="1"/>
    </xf>
    <xf numFmtId="169" fontId="4" fillId="0" borderId="108" xfId="0" applyNumberFormat="1" applyFont="1" applyBorder="1" applyAlignment="1" applyProtection="1">
      <alignment horizontal="right"/>
      <protection locked="0" hidden="1"/>
    </xf>
    <xf numFmtId="0" fontId="0" fillId="0" borderId="0" xfId="0" applyAlignment="1" applyProtection="1">
      <alignment horizontal="left"/>
      <protection locked="0" hidden="1"/>
    </xf>
    <xf numFmtId="0" fontId="0" fillId="0" borderId="54" xfId="0" applyBorder="1" applyAlignment="1" applyProtection="1">
      <alignment horizontal="right"/>
      <protection locked="0" hidden="1"/>
    </xf>
    <xf numFmtId="0" fontId="0" fillId="0" borderId="38" xfId="0" applyBorder="1" applyAlignment="1" applyProtection="1">
      <alignment horizontal="right"/>
      <protection locked="0" hidden="1"/>
    </xf>
    <xf numFmtId="0" fontId="0" fillId="0" borderId="35" xfId="0" applyBorder="1" applyAlignment="1" applyProtection="1">
      <alignment horizontal="left" vertical="center" wrapText="1"/>
      <protection locked="0" hidden="1"/>
    </xf>
    <xf numFmtId="0" fontId="0" fillId="0" borderId="0" xfId="0" applyAlignment="1" applyProtection="1">
      <alignment horizontal="left" vertical="center" wrapText="1"/>
      <protection locked="0" hidden="1"/>
    </xf>
    <xf numFmtId="0" fontId="0" fillId="0" borderId="110" xfId="0" applyBorder="1" applyAlignment="1" applyProtection="1">
      <alignment horizontal="left"/>
      <protection locked="0" hidden="1"/>
    </xf>
    <xf numFmtId="0" fontId="0" fillId="0" borderId="75" xfId="0" applyBorder="1" applyAlignment="1" applyProtection="1">
      <alignment horizontal="left"/>
      <protection locked="0" hidden="1"/>
    </xf>
    <xf numFmtId="0" fontId="0" fillId="0" borderId="76" xfId="0" applyBorder="1" applyAlignment="1" applyProtection="1">
      <alignment horizontal="left"/>
      <protection locked="0" hidden="1"/>
    </xf>
    <xf numFmtId="169" fontId="4" fillId="0" borderId="78" xfId="0" applyNumberFormat="1" applyFont="1" applyBorder="1" applyAlignment="1" applyProtection="1">
      <alignment horizontal="right"/>
      <protection locked="0" hidden="1"/>
    </xf>
    <xf numFmtId="169" fontId="4" fillId="0" borderId="75" xfId="0" applyNumberFormat="1" applyFont="1" applyBorder="1" applyAlignment="1" applyProtection="1">
      <alignment horizontal="right"/>
      <protection locked="0" hidden="1"/>
    </xf>
    <xf numFmtId="169" fontId="4" fillId="0" borderId="111" xfId="0" applyNumberFormat="1" applyFont="1" applyBorder="1" applyAlignment="1" applyProtection="1">
      <alignment horizontal="right"/>
      <protection locked="0" hidden="1"/>
    </xf>
    <xf numFmtId="169" fontId="4" fillId="0" borderId="112" xfId="0" applyNumberFormat="1" applyFont="1" applyBorder="1" applyAlignment="1" applyProtection="1">
      <alignment horizontal="right"/>
      <protection locked="0" hidden="1"/>
    </xf>
    <xf numFmtId="169" fontId="4" fillId="0" borderId="113" xfId="0" applyNumberFormat="1" applyFont="1" applyBorder="1" applyAlignment="1" applyProtection="1">
      <alignment horizontal="right"/>
      <protection locked="0" hidden="1"/>
    </xf>
    <xf numFmtId="0" fontId="0" fillId="0" borderId="87" xfId="0" applyBorder="1" applyAlignment="1" applyProtection="1">
      <alignment horizontal="left"/>
      <protection locked="0" hidden="1"/>
    </xf>
    <xf numFmtId="0" fontId="0" fillId="0" borderId="27" xfId="0" applyBorder="1" applyAlignment="1" applyProtection="1">
      <alignment horizontal="left"/>
      <protection locked="0" hidden="1"/>
    </xf>
    <xf numFmtId="0" fontId="0" fillId="0" borderId="28" xfId="0" applyBorder="1" applyAlignment="1" applyProtection="1">
      <alignment horizontal="left"/>
      <protection locked="0" hidden="1"/>
    </xf>
    <xf numFmtId="2" fontId="4" fillId="0" borderId="29" xfId="0" applyNumberFormat="1" applyFont="1" applyBorder="1" applyAlignment="1" applyProtection="1">
      <alignment horizontal="center"/>
      <protection locked="0" hidden="1"/>
    </xf>
    <xf numFmtId="0" fontId="0" fillId="0" borderId="28" xfId="0" applyBorder="1" applyAlignment="1" applyProtection="1">
      <alignment horizontal="center"/>
      <protection locked="0" hidden="1"/>
    </xf>
    <xf numFmtId="169" fontId="4" fillId="0" borderId="29" xfId="0" applyNumberFormat="1" applyFont="1" applyBorder="1" applyAlignment="1" applyProtection="1">
      <alignment horizontal="right"/>
      <protection locked="0" hidden="1"/>
    </xf>
    <xf numFmtId="169" fontId="4" fillId="0" borderId="27" xfId="0" applyNumberFormat="1" applyFont="1" applyBorder="1" applyAlignment="1" applyProtection="1">
      <alignment horizontal="right"/>
      <protection locked="0" hidden="1"/>
    </xf>
    <xf numFmtId="169" fontId="4" fillId="0" borderId="28" xfId="0" applyNumberFormat="1" applyFont="1" applyBorder="1" applyAlignment="1" applyProtection="1">
      <alignment horizontal="right"/>
      <protection locked="0" hidden="1"/>
    </xf>
    <xf numFmtId="0" fontId="0" fillId="0" borderId="27" xfId="0" applyBorder="1" applyAlignment="1" applyProtection="1">
      <alignment horizontal="right"/>
      <protection locked="0" hidden="1"/>
    </xf>
    <xf numFmtId="0" fontId="0" fillId="0" borderId="104" xfId="0" applyBorder="1" applyAlignment="1" applyProtection="1">
      <alignment horizontal="right"/>
      <protection locked="0" hidden="1"/>
    </xf>
    <xf numFmtId="0" fontId="0" fillId="0" borderId="105" xfId="0" applyBorder="1" applyAlignment="1" applyProtection="1">
      <alignment horizontal="left" vertical="center" wrapText="1"/>
      <protection locked="0" hidden="1"/>
    </xf>
    <xf numFmtId="0" fontId="0" fillId="0" borderId="27" xfId="0" applyBorder="1" applyAlignment="1" applyProtection="1">
      <alignment horizontal="left" vertical="center" wrapText="1"/>
      <protection locked="0" hidden="1"/>
    </xf>
    <xf numFmtId="0" fontId="0" fillId="0" borderId="28" xfId="0" applyBorder="1" applyAlignment="1" applyProtection="1">
      <alignment horizontal="left" vertical="center" wrapText="1"/>
      <protection locked="0" hidden="1"/>
    </xf>
    <xf numFmtId="4" fontId="4" fillId="0" borderId="29" xfId="0" applyNumberFormat="1" applyFont="1" applyBorder="1" applyAlignment="1" applyProtection="1">
      <alignment horizontal="center"/>
      <protection locked="0" hidden="1"/>
    </xf>
    <xf numFmtId="4" fontId="4" fillId="0" borderId="28" xfId="0" applyNumberFormat="1" applyFont="1" applyBorder="1" applyAlignment="1" applyProtection="1">
      <alignment horizontal="center"/>
      <protection locked="0" hidden="1"/>
    </xf>
    <xf numFmtId="169" fontId="4" fillId="0" borderId="26" xfId="0" applyNumberFormat="1" applyFont="1" applyBorder="1" applyAlignment="1" applyProtection="1">
      <alignment horizontal="right"/>
      <protection locked="0" hidden="1"/>
    </xf>
    <xf numFmtId="169" fontId="4" fillId="0" borderId="109" xfId="0" applyNumberFormat="1" applyFont="1" applyBorder="1" applyAlignment="1" applyProtection="1">
      <alignment horizontal="right"/>
      <protection locked="0" hidden="1"/>
    </xf>
    <xf numFmtId="2" fontId="4" fillId="0" borderId="12" xfId="0" applyNumberFormat="1" applyFont="1" applyBorder="1" applyAlignment="1" applyProtection="1">
      <alignment horizontal="center"/>
      <protection locked="0" hidden="1"/>
    </xf>
    <xf numFmtId="0" fontId="0" fillId="0" borderId="13" xfId="0" applyBorder="1" applyAlignment="1" applyProtection="1">
      <alignment horizontal="center"/>
      <protection locked="0" hidden="1"/>
    </xf>
    <xf numFmtId="0" fontId="0" fillId="0" borderId="33" xfId="0" applyBorder="1" applyAlignment="1" applyProtection="1">
      <alignment horizontal="left"/>
      <protection locked="0" hidden="1"/>
    </xf>
    <xf numFmtId="0" fontId="0" fillId="0" borderId="60" xfId="0" applyBorder="1" applyAlignment="1">
      <alignment horizontal="left"/>
    </xf>
    <xf numFmtId="0" fontId="0" fillId="0" borderId="118" xfId="0" applyBorder="1" applyAlignment="1">
      <alignment horizontal="left"/>
    </xf>
    <xf numFmtId="169" fontId="4" fillId="0" borderId="73" xfId="0" applyNumberFormat="1" applyFont="1" applyBorder="1" applyAlignment="1" applyProtection="1">
      <alignment horizontal="right"/>
      <protection locked="0" hidden="1"/>
    </xf>
    <xf numFmtId="0" fontId="0" fillId="0" borderId="57" xfId="0" applyBorder="1" applyAlignment="1">
      <alignment horizontal="right"/>
    </xf>
    <xf numFmtId="0" fontId="0" fillId="0" borderId="93" xfId="0" applyBorder="1" applyAlignment="1">
      <alignment horizontal="right"/>
    </xf>
    <xf numFmtId="169" fontId="4" fillId="0" borderId="119" xfId="0" applyNumberFormat="1" applyFont="1" applyBorder="1" applyAlignment="1" applyProtection="1">
      <alignment horizontal="right"/>
      <protection locked="0" hidden="1"/>
    </xf>
    <xf numFmtId="0" fontId="0" fillId="0" borderId="120" xfId="0" applyBorder="1" applyAlignment="1" applyProtection="1">
      <alignment horizontal="right"/>
      <protection locked="0" hidden="1"/>
    </xf>
    <xf numFmtId="0" fontId="0" fillId="0" borderId="21" xfId="0" applyBorder="1" applyAlignment="1">
      <alignment horizontal="right"/>
    </xf>
    <xf numFmtId="0" fontId="0" fillId="0" borderId="102" xfId="0" applyBorder="1" applyAlignment="1">
      <alignment horizontal="right"/>
    </xf>
    <xf numFmtId="169" fontId="4" fillId="0" borderId="114" xfId="0" applyNumberFormat="1" applyFont="1" applyBorder="1" applyAlignment="1" applyProtection="1">
      <alignment horizontal="right"/>
      <protection locked="0" hidden="1"/>
    </xf>
    <xf numFmtId="169" fontId="4" fillId="0" borderId="115" xfId="0" applyNumberFormat="1" applyFont="1" applyBorder="1" applyAlignment="1" applyProtection="1">
      <alignment horizontal="right"/>
      <protection locked="0" hidden="1"/>
    </xf>
    <xf numFmtId="0" fontId="0" fillId="0" borderId="86" xfId="0" applyBorder="1" applyAlignment="1" applyProtection="1">
      <alignment horizontal="left"/>
      <protection locked="0" hidden="1"/>
    </xf>
    <xf numFmtId="0" fontId="0" fillId="0" borderId="27" xfId="0" applyBorder="1" applyAlignment="1">
      <alignment horizontal="right"/>
    </xf>
    <xf numFmtId="0" fontId="0" fillId="0" borderId="104" xfId="0" applyBorder="1" applyAlignment="1">
      <alignment horizontal="right"/>
    </xf>
    <xf numFmtId="169" fontId="4" fillId="0" borderId="116" xfId="0" applyNumberFormat="1" applyFont="1" applyBorder="1" applyAlignment="1" applyProtection="1">
      <alignment horizontal="right"/>
      <protection locked="0" hidden="1"/>
    </xf>
    <xf numFmtId="169" fontId="4" fillId="0" borderId="117" xfId="0" applyNumberFormat="1" applyFont="1" applyBorder="1" applyAlignment="1" applyProtection="1">
      <alignment horizontal="right"/>
      <protection locked="0" hidden="1"/>
    </xf>
  </cellXfs>
  <cellStyles count="9">
    <cellStyle name="Lien hypertexte" xfId="5" builtinId="8"/>
    <cellStyle name="Normal" xfId="0" builtinId="0"/>
    <cellStyle name="Normal 3" xfId="6" xr:uid="{50D2827E-CF7F-481A-AF39-D4AEB741220B}"/>
    <cellStyle name="Normal_Cargo Cal.A.D" xfId="7" xr:uid="{1014B17D-A75E-4F12-864A-9C0641B0AB26}"/>
    <cellStyle name="Normal_DL LOTUS-3778" xfId="8" xr:uid="{8332B096-7ADE-4FAF-9CCA-F29CA3740C5A}"/>
    <cellStyle name="Style 1" xfId="1" xr:uid="{726B5C23-38A9-4EB5-A5BB-A2AC6EC1519D}"/>
    <cellStyle name="Style 2" xfId="2" xr:uid="{350DC3AD-3427-40E5-BC03-3B28F1BDC5BC}"/>
    <cellStyle name="Style 3" xfId="3" xr:uid="{13268B1F-B324-4EB6-89E0-9EA544C4C0B8}"/>
    <cellStyle name="Style 4" xfId="4" xr:uid="{C9CBBBB9-7A90-4F26-83C7-54D67742ADFC}"/>
  </cellStyles>
  <dxfs count="41">
    <dxf>
      <font>
        <color rgb="FFFFFFFF"/>
      </font>
      <fill>
        <patternFill patternType="none"/>
      </fill>
    </dxf>
    <dxf>
      <font>
        <color rgb="FFFFFFFF"/>
      </font>
      <fill>
        <patternFill patternType="none"/>
      </fill>
    </dxf>
    <dxf>
      <fill>
        <patternFill>
          <fgColor theme="0"/>
          <bgColor theme="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00FF99"/>
      <color rgb="FFFF9933"/>
      <color rgb="FFEDA8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iagrams/_rels/data1.xml.rels><?xml version="1.0" encoding="UTF-8" standalone="yes"?>
<Relationships xmlns="http://schemas.openxmlformats.org/package/2006/relationships"><Relationship Id="rId1" Type="http://schemas.openxmlformats.org/officeDocument/2006/relationships/image" Target="../media/image10.png"/></Relationships>
</file>

<file path=xl/diagrams/_rels/drawing1.xml.rels><?xml version="1.0" encoding="UTF-8" standalone="yes"?>
<Relationships xmlns="http://schemas.openxmlformats.org/package/2006/relationships"><Relationship Id="rId1" Type="http://schemas.openxmlformats.org/officeDocument/2006/relationships/image" Target="../media/image10.pn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FB401A2-6A94-4E64-A9E1-D4C853C12098}" type="doc">
      <dgm:prSet loTypeId="urn:microsoft.com/office/officeart/2008/layout/CircularPictureCallout" loCatId="picture" qsTypeId="urn:microsoft.com/office/officeart/2005/8/quickstyle/simple1" qsCatId="simple" csTypeId="urn:microsoft.com/office/officeart/2005/8/colors/accent1_2" csCatId="accent1" phldr="1"/>
      <dgm:spPr/>
    </dgm:pt>
    <dgm:pt modelId="{6DE162B6-FE2D-40DF-97BE-94B9FD31F21F}">
      <dgm:prSet phldrT="[Texte]"/>
      <dgm:spPr/>
      <dgm:t>
        <a:bodyPr/>
        <a:lstStyle/>
        <a:p>
          <a:endParaRPr lang="fr-FR"/>
        </a:p>
      </dgm:t>
    </dgm:pt>
    <dgm:pt modelId="{9CCBCD8D-7161-45AA-BEED-6D1B56AAF4EC}" type="parTrans" cxnId="{A47CC917-2BBA-4CD9-AF5B-A711BF7088EB}">
      <dgm:prSet/>
      <dgm:spPr/>
      <dgm:t>
        <a:bodyPr/>
        <a:lstStyle/>
        <a:p>
          <a:endParaRPr lang="fr-FR"/>
        </a:p>
      </dgm:t>
    </dgm:pt>
    <dgm:pt modelId="{F5F6A301-87DE-4FF2-AA6B-2A901E151AA4}" type="sibTrans" cxnId="{A47CC917-2BBA-4CD9-AF5B-A711BF7088EB}">
      <dgm:prSet/>
      <dgm:spPr>
        <a:blipFill>
          <a:blip xmlns:r="http://schemas.openxmlformats.org/officeDocument/2006/relationships" r:embed="rId1">
            <a:extLst>
              <a:ext uri="{28A0092B-C50C-407E-A947-70E740481C1C}">
                <a14:useLocalDpi xmlns:a14="http://schemas.microsoft.com/office/drawing/2010/main" val="0"/>
              </a:ext>
            </a:extLst>
          </a:blip>
          <a:srcRect/>
          <a:stretch>
            <a:fillRect/>
          </a:stretch>
        </a:blipFill>
      </dgm:spPr>
      <dgm:t>
        <a:bodyPr/>
        <a:lstStyle/>
        <a:p>
          <a:endParaRPr lang="fr-FR"/>
        </a:p>
      </dgm:t>
    </dgm:pt>
    <dgm:pt modelId="{124534A3-6095-42B0-8BFC-A3DFD0315DAF}" type="pres">
      <dgm:prSet presAssocID="{8FB401A2-6A94-4E64-A9E1-D4C853C12098}" presName="Name0" presStyleCnt="0">
        <dgm:presLayoutVars>
          <dgm:chMax val="7"/>
          <dgm:chPref val="7"/>
          <dgm:dir/>
        </dgm:presLayoutVars>
      </dgm:prSet>
      <dgm:spPr/>
    </dgm:pt>
    <dgm:pt modelId="{125E9089-27D0-4215-BE8D-6C309FAA006D}" type="pres">
      <dgm:prSet presAssocID="{8FB401A2-6A94-4E64-A9E1-D4C853C12098}" presName="Name1" presStyleCnt="0"/>
      <dgm:spPr/>
    </dgm:pt>
    <dgm:pt modelId="{AE5CCF8E-602E-4BB3-9877-8AE1F9A482A9}" type="pres">
      <dgm:prSet presAssocID="{F5F6A301-87DE-4FF2-AA6B-2A901E151AA4}" presName="picture_1" presStyleCnt="0"/>
      <dgm:spPr/>
    </dgm:pt>
    <dgm:pt modelId="{B90F103F-6339-4632-A6EF-66BEF96BE1CD}" type="pres">
      <dgm:prSet presAssocID="{F5F6A301-87DE-4FF2-AA6B-2A901E151AA4}" presName="pictureRepeatNode" presStyleLbl="alignImgPlace1" presStyleIdx="0" presStyleCnt="1" custScaleX="200000" custScaleY="172946"/>
      <dgm:spPr/>
    </dgm:pt>
    <dgm:pt modelId="{9A4EDA6C-5E1A-43C4-B19D-72F87A9D416C}" type="pres">
      <dgm:prSet presAssocID="{6DE162B6-FE2D-40DF-97BE-94B9FD31F21F}" presName="text_1" presStyleLbl="node1" presStyleIdx="0" presStyleCnt="0" custScaleX="312500" custScaleY="530935">
        <dgm:presLayoutVars>
          <dgm:bulletEnabled val="1"/>
        </dgm:presLayoutVars>
      </dgm:prSet>
      <dgm:spPr/>
    </dgm:pt>
  </dgm:ptLst>
  <dgm:cxnLst>
    <dgm:cxn modelId="{A47CC917-2BBA-4CD9-AF5B-A711BF7088EB}" srcId="{8FB401A2-6A94-4E64-A9E1-D4C853C12098}" destId="{6DE162B6-FE2D-40DF-97BE-94B9FD31F21F}" srcOrd="0" destOrd="0" parTransId="{9CCBCD8D-7161-45AA-BEED-6D1B56AAF4EC}" sibTransId="{F5F6A301-87DE-4FF2-AA6B-2A901E151AA4}"/>
    <dgm:cxn modelId="{2A709260-EEB7-4FAC-8046-16A1AB28B13B}" type="presOf" srcId="{F5F6A301-87DE-4FF2-AA6B-2A901E151AA4}" destId="{B90F103F-6339-4632-A6EF-66BEF96BE1CD}" srcOrd="0" destOrd="0" presId="urn:microsoft.com/office/officeart/2008/layout/CircularPictureCallout"/>
    <dgm:cxn modelId="{59B8CB58-C28F-4709-8CC0-865CA348397C}" type="presOf" srcId="{8FB401A2-6A94-4E64-A9E1-D4C853C12098}" destId="{124534A3-6095-42B0-8BFC-A3DFD0315DAF}" srcOrd="0" destOrd="0" presId="urn:microsoft.com/office/officeart/2008/layout/CircularPictureCallout"/>
    <dgm:cxn modelId="{F0757FA6-AE0D-4370-99B7-B39771BA29E6}" type="presOf" srcId="{6DE162B6-FE2D-40DF-97BE-94B9FD31F21F}" destId="{9A4EDA6C-5E1A-43C4-B19D-72F87A9D416C}" srcOrd="0" destOrd="0" presId="urn:microsoft.com/office/officeart/2008/layout/CircularPictureCallout"/>
    <dgm:cxn modelId="{E0B48EC0-A8CD-42CC-BEAF-F32CAD818DB0}" type="presParOf" srcId="{124534A3-6095-42B0-8BFC-A3DFD0315DAF}" destId="{125E9089-27D0-4215-BE8D-6C309FAA006D}" srcOrd="0" destOrd="0" presId="urn:microsoft.com/office/officeart/2008/layout/CircularPictureCallout"/>
    <dgm:cxn modelId="{F78ADA86-6892-49C9-AE8A-A56CDA2A98E0}" type="presParOf" srcId="{125E9089-27D0-4215-BE8D-6C309FAA006D}" destId="{AE5CCF8E-602E-4BB3-9877-8AE1F9A482A9}" srcOrd="0" destOrd="0" presId="urn:microsoft.com/office/officeart/2008/layout/CircularPictureCallout"/>
    <dgm:cxn modelId="{A90F79EB-164E-4A1E-9103-88A23E139824}" type="presParOf" srcId="{AE5CCF8E-602E-4BB3-9877-8AE1F9A482A9}" destId="{B90F103F-6339-4632-A6EF-66BEF96BE1CD}" srcOrd="0" destOrd="0" presId="urn:microsoft.com/office/officeart/2008/layout/CircularPictureCallout"/>
    <dgm:cxn modelId="{0133FF3F-CFA4-4721-9458-0B35DABB1915}" type="presParOf" srcId="{125E9089-27D0-4215-BE8D-6C309FAA006D}" destId="{9A4EDA6C-5E1A-43C4-B19D-72F87A9D416C}" srcOrd="1" destOrd="0" presId="urn:microsoft.com/office/officeart/2008/layout/CircularPictureCallout"/>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90F103F-6339-4632-A6EF-66BEF96BE1CD}">
      <dsp:nvSpPr>
        <dsp:cNvPr id="0" name=""/>
        <dsp:cNvSpPr/>
      </dsp:nvSpPr>
      <dsp:spPr>
        <a:xfrm>
          <a:off x="0" y="18168"/>
          <a:ext cx="1219200" cy="1054278"/>
        </a:xfrm>
        <a:prstGeom prst="ellipse">
          <a:avLst/>
        </a:prstGeom>
        <a:blipFill>
          <a:blip xmlns:r="http://schemas.openxmlformats.org/officeDocument/2006/relationships" r:embed="rId1">
            <a:extLst>
              <a:ext uri="{28A0092B-C50C-407E-A947-70E740481C1C}">
                <a14:useLocalDpi xmlns:a14="http://schemas.microsoft.com/office/drawing/2010/main" val="0"/>
              </a:ext>
            </a:extLst>
          </a:blip>
          <a:srcRect/>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9A4EDA6C-5E1A-43C4-B19D-72F87A9D416C}">
      <dsp:nvSpPr>
        <dsp:cNvPr id="0" name=""/>
        <dsp:cNvSpPr/>
      </dsp:nvSpPr>
      <dsp:spPr>
        <a:xfrm>
          <a:off x="0" y="130753"/>
          <a:ext cx="1219200" cy="1068071"/>
        </a:xfrm>
        <a:prstGeom prst="rect">
          <a:avLst/>
        </a:prstGeom>
        <a:noFill/>
        <a:ln w="1270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0" tIns="0" rIns="0" bIns="0" numCol="1" spcCol="1270" anchor="b" anchorCtr="0">
          <a:noAutofit/>
        </a:bodyPr>
        <a:lstStyle/>
        <a:p>
          <a:pPr marL="0" lvl="0" indent="0" algn="ctr" defTabSz="2844800">
            <a:lnSpc>
              <a:spcPct val="90000"/>
            </a:lnSpc>
            <a:spcBef>
              <a:spcPct val="0"/>
            </a:spcBef>
            <a:spcAft>
              <a:spcPct val="35000"/>
            </a:spcAft>
            <a:buNone/>
          </a:pPr>
          <a:endParaRPr lang="fr-FR" sz="6400" kern="1200"/>
        </a:p>
      </dsp:txBody>
      <dsp:txXfrm>
        <a:off x="0" y="130753"/>
        <a:ext cx="1219200" cy="1068071"/>
      </dsp:txXfrm>
    </dsp:sp>
  </dsp:spTree>
</dsp:drawing>
</file>

<file path=xl/diagrams/layout1.xml><?xml version="1.0" encoding="utf-8"?>
<dgm:layoutDef xmlns:dgm="http://schemas.openxmlformats.org/drawingml/2006/diagram" xmlns:a="http://schemas.openxmlformats.org/drawingml/2006/main" uniqueId="urn:microsoft.com/office/officeart/2008/layout/CircularPictureCallout">
  <dgm:title val=""/>
  <dgm:desc val=""/>
  <dgm:catLst>
    <dgm:cat type="picture" pri="2000"/>
    <dgm:cat type="pictureconvert" pri="2000"/>
  </dgm:catLst>
  <dgm:sampData>
    <dgm:dataModel>
      <dgm:ptLst>
        <dgm:pt modelId="0" type="doc"/>
        <dgm:pt modelId="1"/>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2"/>
    </dgm:constrLst>
    <dgm:layoutNode name="Name1">
      <dgm:alg type="composite"/>
      <dgm:shape xmlns:r="http://schemas.openxmlformats.org/officeDocument/2006/relationships" r:blip="">
        <dgm:adjLst/>
      </dgm:shape>
      <dgm:choose name="Name2">
        <dgm:if name="Name3" axis="ch" ptType="node" func="cnt" op="lte" val="1">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w" refFor="ch" refForName="picture_1" fact="0.18"/>
            <dgm:constr type="t" for="ch" forName="text_1" refType="h" refFor="ch" refForName="picture_1" fact="0.531"/>
          </dgm:constrLst>
        </dgm:if>
        <dgm:if name="Name4" axis="ch" ptType="node" func="cnt" op="lte" val="2">
          <dgm:choose name="Name5">
            <dgm:if name="Name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l" for="ch" forName="picture_2" refType="w" refFor="ch" refForName="picture_1" fact="1.21"/>
                <dgm:constr type="ctrY" for="ch" forName="picture_2" refType="h" refFor="ch" refForName="picture_1" fact="0.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Lst>
            </dgm:if>
            <dgm:else name="Name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r" for="ch" forName="picture_2" refType="w"/>
                <dgm:constr type="rOff" for="ch" forName="picture_2" refType="w" refFor="ch" refForName="picture_1" fact="-1.21"/>
                <dgm:constr type="ctrY" for="ch" forName="picture_2" refType="h" refFor="ch" refForName="picture_1" fact="0.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Lst>
            </dgm:else>
          </dgm:choose>
        </dgm:if>
        <dgm:if name="Name8" axis="ch" ptType="node" func="cnt" op="lte" val="3">
          <dgm:choose name="Name9">
            <dgm:if name="Name10"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l" for="ch" forName="picture_2" refType="w" refFor="ch" refForName="picture_1" fact="1.21"/>
                <dgm:constr type="ctrY" for="ch" forName="picture_2" refType="h" refFor="ch" refForName="picture_1" fact="0.18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l" for="ch" forName="picture_3" refType="w" refFor="ch" refForName="picture_1" fact="1.21"/>
                <dgm:constr type="ctrY" for="ch" forName="picture_3" refType="h" refFor="ch" refForName="picture_1" fact="0.812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Lst>
            </dgm:if>
            <dgm:else name="Name11">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r" for="ch" forName="picture_2" refType="w"/>
                <dgm:constr type="rOff" for="ch" forName="picture_2" refType="w" refFor="ch" refForName="picture_1" fact="-1.21"/>
                <dgm:constr type="ctrY" for="ch" forName="picture_2" refType="h" refFor="ch" refForName="picture_1" fact="0.18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r" for="ch" forName="picture_3" refType="w"/>
                <dgm:constr type="rOff" for="ch" forName="picture_3" refType="w" refFor="ch" refForName="picture_1" fact="-1.21"/>
                <dgm:constr type="ctrY" for="ch" forName="picture_3" refType="h" refFor="ch" refForName="picture_1" fact="0.812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Lst>
            </dgm:else>
          </dgm:choose>
        </dgm:if>
        <dgm:if name="Name12" axis="ch" ptType="node" func="cnt" op="lte" val="4">
          <dgm:choose name="Name13">
            <dgm:if name="Name14"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l" for="ch" forName="picture_2" refType="w" refFor="ch" refForName="picture_1" fact="1.354"/>
                <dgm:constr type="ctrY" for="ch" forName="picture_2" refType="h" refFor="ch" refForName="picture_1" fact="0.1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l" for="ch" forName="picture_3" refType="w" refFor="ch" refForName="picture_1" fact="1.21"/>
                <dgm:constr type="ctrY" for="ch" forName="picture_3" refType="h" refFor="ch" refForName="picture_1" fact="0.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l" for="ch" forName="picture_4" refType="w" refFor="ch" refForName="picture_1" fact="1.354"/>
                <dgm:constr type="ctrY" for="ch" forName="picture_4" refType="h" refFor="ch" refForName="picture_1" fact="0.8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Lst>
            </dgm:if>
            <dgm:else name="Name15">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r" for="ch" forName="picture_2" refType="w"/>
                <dgm:constr type="rOff" for="ch" forName="picture_2" refType="w" refFor="ch" refForName="picture_1" fact="-1.354"/>
                <dgm:constr type="ctrY" for="ch" forName="picture_2" refType="h" refFor="ch" refForName="picture_1" fact="0.1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r" for="ch" forName="picture_3" refType="w"/>
                <dgm:constr type="rOff" for="ch" forName="picture_3" refType="w" refFor="ch" refForName="picture_1" fact="-1.21"/>
                <dgm:constr type="ctrY" for="ch" forName="picture_3" refType="h" refFor="ch" refForName="picture_1" fact="0.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r" for="ch" forName="picture_4" refType="w"/>
                <dgm:constr type="rOff" for="ch" forName="picture_4" refType="w" refFor="ch" refForName="picture_1" fact="-1.354"/>
                <dgm:constr type="ctrY" for="ch" forName="picture_4" refType="h" refFor="ch" refForName="picture_1" fact="0.8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Lst>
            </dgm:else>
          </dgm:choose>
        </dgm:if>
        <dgm:if name="Name16" axis="ch" ptType="node" func="cnt" op="lte" val="5">
          <dgm:choose name="Name17">
            <dgm:if name="Name18"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l" for="ch" forName="picture_2" refType="w" refFor="ch" refForName="picture_1" fact="1.375"/>
                <dgm:constr type="ctrY" for="ch" forName="picture_2" refType="h" refFor="ch" refForName="picture_1" fact="0.11"/>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l" for="ch" forName="picture_3" refType="w" refFor="ch" refForName="picture_1" fact="1.21"/>
                <dgm:constr type="ctrY" for="ch" forName="picture_3" refType="h" refFor="ch" refForName="picture_1" fact="0.353"/>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l" for="ch" forName="picture_4" refType="w" refFor="ch" refForName="picture_1" fact="1.21"/>
                <dgm:constr type="ctrY" for="ch" forName="picture_4" refType="h" refFor="ch" refForName="picture_1" fact="0.647"/>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l" for="ch" forName="picture_5" refType="w" refFor="ch" refForName="picture_1" fact="1.375"/>
                <dgm:constr type="ctrY" for="ch" forName="picture_5" refType="h" refFor="ch" refForName="picture_1" fact="0.8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Lst>
            </dgm:if>
            <dgm:else name="Name19">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r" for="ch" forName="picture_2" refType="w"/>
                <dgm:constr type="rOff" for="ch" forName="picture_2" refType="w" refFor="ch" refForName="picture_1" fact="-1.375"/>
                <dgm:constr type="ctrY" for="ch" forName="picture_2" refType="h" refFor="ch" refForName="picture_1" fact="0.11"/>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r" for="ch" forName="picture_3" refType="w"/>
                <dgm:constr type="rOff" for="ch" forName="picture_3" refType="w" refFor="ch" refForName="picture_1" fact="-1.21"/>
                <dgm:constr type="ctrY" for="ch" forName="picture_3" refType="h" refFor="ch" refForName="picture_1" fact="0.353"/>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r" for="ch" forName="picture_4" refType="w"/>
                <dgm:constr type="rOff" for="ch" forName="picture_4" refType="w" refFor="ch" refForName="picture_1" fact="-1.21"/>
                <dgm:constr type="ctrY" for="ch" forName="picture_4" refType="h" refFor="ch" refForName="picture_1" fact="0.647"/>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r" for="ch" forName="picture_5" refType="w"/>
                <dgm:constr type="rOff" for="ch" forName="picture_5" refType="w" refFor="ch" refForName="picture_1" fact="-1.375"/>
                <dgm:constr type="ctrY" for="ch" forName="picture_5" refType="h" refFor="ch" refForName="picture_1" fact="0.8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Lst>
            </dgm:else>
          </dgm:choose>
        </dgm:if>
        <dgm:if name="Name20" axis="ch" ptType="node" func="cnt" op="lte" val="6">
          <dgm:choose name="Name21">
            <dgm:if name="Name22"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l" for="ch" forName="picture_2" refType="w" refFor="ch" refForName="picture_1" fact="1.4238"/>
                <dgm:constr type="ctrY" for="ch" forName="picture_2" refType="h" refFor="ch" refForName="picture_1" fact="0.09"/>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l" for="ch" forName="picture_3" refType="w" refFor="ch" refForName="picture_1" fact="1.2667"/>
                <dgm:constr type="ctrY" for="ch" forName="picture_3" refType="h" refFor="ch" refForName="picture_1" fact="0.261"/>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l" for="ch" forName="picture_4" refType="w" refFor="ch" refForName="picture_1" fact="1.21"/>
                <dgm:constr type="ctrY" for="ch" forName="picture_4" refType="h" refFor="ch" refForName="picture_1" fact="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l" for="ch" forName="picture_5" refType="w" refFor="ch" refForName="picture_1" fact="1.2667"/>
                <dgm:constr type="ctrY" for="ch" forName="picture_5" refType="h" refFor="ch" refForName="picture_1" fact="0.73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l" for="ch" forName="picture_6" refType="w" refFor="ch" refForName="picture_1" fact="1.4238"/>
                <dgm:constr type="ctrY" for="ch" forName="picture_6" refType="h" refFor="ch" refForName="picture_1" fact="0.91"/>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Lst>
            </dgm:if>
            <dgm:else name="Name23">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r" for="ch" forName="picture_2" refType="w"/>
                <dgm:constr type="rOff" for="ch" forName="picture_2" refType="w" refFor="ch" refForName="picture_1" fact="-1.4238"/>
                <dgm:constr type="ctrY" for="ch" forName="picture_2" refType="h" refFor="ch" refForName="picture_1" fact="0.09"/>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r" for="ch" forName="picture_3" refType="w"/>
                <dgm:constr type="rOff" for="ch" forName="picture_3" refType="w" refFor="ch" refForName="picture_1" fact="-1.2667"/>
                <dgm:constr type="ctrY" for="ch" forName="picture_3" refType="h" refFor="ch" refForName="picture_1" fact="0.261"/>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r" for="ch" forName="picture_4" refType="w"/>
                <dgm:constr type="rOff" for="ch" forName="picture_4" refType="w" refFor="ch" refForName="picture_1" fact="-1.21"/>
                <dgm:constr type="ctrY" for="ch" forName="picture_4" refType="h" refFor="ch" refForName="picture_1" fact="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r" for="ch" forName="picture_5" refType="w"/>
                <dgm:constr type="rOff" for="ch" forName="picture_5" refType="w" refFor="ch" refForName="picture_1" fact="-1.2667"/>
                <dgm:constr type="ctrY" for="ch" forName="picture_5" refType="h" refFor="ch" refForName="picture_1" fact="0.73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r" for="ch" forName="picture_6" refType="w"/>
                <dgm:constr type="rOff" for="ch" forName="picture_6" refType="w" refFor="ch" refForName="picture_1" fact="-1.4238"/>
                <dgm:constr type="ctrY" for="ch" forName="picture_6" refType="h" refFor="ch" refForName="picture_1" fact="0.91"/>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Lst>
            </dgm:else>
          </dgm:choose>
        </dgm:if>
        <dgm:else name="Name24">
          <dgm:choose name="Name25">
            <dgm:if name="Name2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l" for="ch" forName="picture_2" refType="w" refFor="ch" refForName="picture_1" fact="1.4363"/>
                <dgm:constr type="ctrY" for="ch" forName="picture_2" refType="h" refFor="ch" refForName="picture_1" fact="0.0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l" for="ch" forName="picture_3" refType="w" refFor="ch" refForName="picture_1" fact="1.2898"/>
                <dgm:constr type="ctrY" for="ch" forName="picture_3" refType="h" refFor="ch" refForName="picture_1" fact="0.227"/>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l" for="ch" forName="picture_4" refType="w" refFor="ch" refForName="picture_1" fact="1.21"/>
                <dgm:constr type="ctrY" for="ch" forName="picture_4" refType="h" refFor="ch" refForName="picture_1" fact="0.4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l" for="ch" forName="picture_5" refType="w" refFor="ch" refForName="picture_1" fact="1.21"/>
                <dgm:constr type="ctrY" for="ch" forName="picture_5" refType="h" refFor="ch" refForName="picture_1" fact="0.595"/>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l" for="ch" forName="picture_6" refType="w" refFor="ch" refForName="picture_1" fact="1.2898"/>
                <dgm:constr type="ctrY" for="ch" forName="picture_6" refType="h" refFor="ch" refForName="picture_1" fact="0.773"/>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l" for="ch" forName="picture_7" refType="w" refFor="ch" refForName="picture_1" fact="1.4363"/>
                <dgm:constr type="ctrY" for="ch" forName="picture_7" refType="h" refFor="ch" refForName="picture_1" fact="0.925"/>
                <dgm:constr type="l" for="ch" forName="line_7" refType="ctrX" refFor="ch" refForName="picture_1"/>
                <dgm:constr type="h" for="ch" forName="line_7"/>
                <dgm:constr type="r" for="ch" forName="line_7" refType="ctrX" refFor="ch" refForName="picture_7"/>
                <dgm:constr type="ctrY" for="ch" forName="line_7" refType="ctrY" refFor="ch" refForName="picture_7"/>
                <dgm:constr type="r" for="ch" forName="textparent_7" refType="w"/>
                <dgm:constr type="h" for="ch" forName="textparent_7" refType="h" refFor="ch" refForName="picture_7"/>
                <dgm:constr type="l" for="ch" forName="textparent_7" refType="r" refFor="ch" refForName="picture_7"/>
                <dgm:constr type="ctrY" for="ch" forName="textparent_7" refType="ctrY" refFor="ch" refForName="picture_7"/>
                <dgm:constr type="primFontSz" for="des" forName="text_7" refType="primFontSz" refFor="des" refForName="text_2" op="equ"/>
              </dgm:constrLst>
            </dgm:if>
            <dgm:else name="Name2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r" for="ch" forName="picture_2" refType="w"/>
                <dgm:constr type="rOff" for="ch" forName="picture_2" refType="w" refFor="ch" refForName="picture_1" fact="-1.4363"/>
                <dgm:constr type="ctrY" for="ch" forName="picture_2" refType="h" refFor="ch" refForName="picture_1" fact="0.0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r" for="ch" forName="picture_3" refType="w"/>
                <dgm:constr type="rOff" for="ch" forName="picture_3" refType="w" refFor="ch" refForName="picture_1" fact="-1.2898"/>
                <dgm:constr type="ctrY" for="ch" forName="picture_3" refType="h" refFor="ch" refForName="picture_1" fact="0.227"/>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r" for="ch" forName="picture_4" refType="w"/>
                <dgm:constr type="rOff" for="ch" forName="picture_4" refType="w" refFor="ch" refForName="picture_1" fact="-1.21"/>
                <dgm:constr type="ctrY" for="ch" forName="picture_4" refType="h" refFor="ch" refForName="picture_1" fact="0.4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r" for="ch" forName="picture_5" refType="w"/>
                <dgm:constr type="rOff" for="ch" forName="picture_5" refType="w" refFor="ch" refForName="picture_1" fact="-1.21"/>
                <dgm:constr type="ctrY" for="ch" forName="picture_5" refType="h" refFor="ch" refForName="picture_1" fact="0.595"/>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r" for="ch" forName="picture_6" refType="w"/>
                <dgm:constr type="rOff" for="ch" forName="picture_6" refType="w" refFor="ch" refForName="picture_1" fact="-1.2898"/>
                <dgm:constr type="ctrY" for="ch" forName="picture_6" refType="h" refFor="ch" refForName="picture_1" fact="0.773"/>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r" for="ch" forName="picture_7" refType="w"/>
                <dgm:constr type="rOff" for="ch" forName="picture_7" refType="w" refFor="ch" refForName="picture_1" fact="-1.4363"/>
                <dgm:constr type="ctrY" for="ch" forName="picture_7" refType="h" refFor="ch" refForName="picture_1" fact="0.925"/>
                <dgm:constr type="r" for="ch" forName="line_7" refType="ctrX" refFor="ch" refForName="picture_1"/>
                <dgm:constr type="h" for="ch" forName="line_7"/>
                <dgm:constr type="l" for="ch" forName="line_7" refType="ctrX" refFor="ch" refForName="picture_7"/>
                <dgm:constr type="ctrY" for="ch" forName="line_7" refType="ctrY" refFor="ch" refForName="picture_7"/>
                <dgm:constr type="l" for="ch" forName="textparent_7"/>
                <dgm:constr type="h" for="ch" forName="textparent_7" refType="h" refFor="ch" refForName="picture_7"/>
                <dgm:constr type="r" for="ch" forName="textparent_7" refType="l" refFor="ch" refForName="picture_7"/>
                <dgm:constr type="ctrY" for="ch" forName="textparent_7" refType="ctrY" refFor="ch" refForName="picture_7"/>
                <dgm:constr type="primFontSz" for="des" forName="text_7" refType="primFontSz" refFor="des" refForName="text_2" op="equ"/>
              </dgm:constrLst>
            </dgm:else>
          </dgm:choose>
        </dgm:else>
      </dgm:choose>
      <dgm:forEach name="wrapper" axis="self" ptType="parTrans">
        <dgm:forEach name="wrapper2" axis="self" ptType="sibTrans" st="2">
          <dgm:forEach name="pictureRepeat" axis="self">
            <dgm:layoutNode name="pictureRepeatNode" styleLbl="alignImgPlace1">
              <dgm:alg type="sp"/>
              <dgm:shape xmlns:r="http://schemas.openxmlformats.org/officeDocument/2006/relationships" type="ellipse" r:blip="" blipPhldr="1">
                <dgm:adjLst/>
              </dgm:shape>
              <dgm:presOf axis="self"/>
            </dgm:layoutNode>
          </dgm:forEach>
        </dgm:forEach>
      </dgm:forEach>
      <dgm:forEach name="Name28" axis="ch" ptType="sibTrans" hideLastTrans="0" cnt="1">
        <dgm:layoutNode name="picture_1">
          <dgm:alg type="sp"/>
          <dgm:shape xmlns:r="http://schemas.openxmlformats.org/officeDocument/2006/relationships" r:blip="">
            <dgm:adjLst/>
          </dgm:shape>
          <dgm:presOf/>
          <dgm:constrLst/>
          <dgm:forEach name="Name29" ref="pictureRepeat"/>
        </dgm:layoutNode>
      </dgm:forEach>
      <dgm:forEach name="Name30" axis="ch" ptType="node" cnt="1">
        <dgm:layoutNode name="text_1" styleLbl="node1">
          <dgm:varLst>
            <dgm:bulletEnabled val="1"/>
          </dgm:varLst>
          <dgm:alg type="tx">
            <dgm:param type="txAnchorVert" val="b"/>
            <dgm:param type="txAnchorVertCh" val="b"/>
            <dgm:param type="parTxRTLAlign" val="r"/>
            <dgm:param type="shpTxRTLAlignCh" val="r"/>
          </dgm:alg>
          <dgm:shape xmlns:r="http://schemas.openxmlformats.org/officeDocument/2006/relationships" type="rect" r:blip="" hideGeom="1">
            <dgm:adjLst/>
          </dgm:shape>
          <dgm:presOf axis="desOrSelf" ptType="node"/>
          <dgm:constrLst>
            <dgm:constr type="primFontSz" val="65"/>
            <dgm:constr type="lMarg"/>
            <dgm:constr type="rMarg"/>
            <dgm:constr type="tMarg"/>
            <dgm:constr type="bMarg"/>
          </dgm:constrLst>
          <dgm:ruleLst>
            <dgm:rule type="primFontSz" val="5" fact="NaN" max="NaN"/>
          </dgm:ruleLst>
        </dgm:layoutNode>
      </dgm:forEach>
      <dgm:forEach name="Name31" axis="ch" ptType="sibTrans" hideLastTrans="0" st="2" cnt="1">
        <dgm:layoutNode name="picture_2">
          <dgm:alg type="sp"/>
          <dgm:shape xmlns:r="http://schemas.openxmlformats.org/officeDocument/2006/relationships" r:blip="">
            <dgm:adjLst/>
          </dgm:shape>
          <dgm:presOf/>
          <dgm:constrLst/>
          <dgm:forEach name="Name32" ref="pictureRepeat"/>
        </dgm:layoutNode>
      </dgm:forEach>
      <dgm:forEach name="Name33" axis="ch" ptType="node" st="2" cnt="1">
        <dgm:layoutNode name="line_2" styleLbl="parChTrans1D1">
          <dgm:alg type="sp"/>
          <dgm:shape xmlns:r="http://schemas.openxmlformats.org/officeDocument/2006/relationships" type="line" r:blip="" zOrderOff="-100">
            <dgm:adjLst/>
          </dgm:shape>
          <dgm:presOf/>
        </dgm:layoutNode>
        <dgm:layoutNode name="textparent_2">
          <dgm:choose name="Name34">
            <dgm:if name="Name35" func="var" arg="dir" op="equ" val="norm">
              <dgm:alg type="lin">
                <dgm:param type="horzAlign" val="l"/>
              </dgm:alg>
            </dgm:if>
            <dgm:else name="Name36">
              <dgm:alg type="lin">
                <dgm:param type="horzAlign" val="r"/>
              </dgm:alg>
            </dgm:else>
          </dgm:choose>
          <dgm:shape xmlns:r="http://schemas.openxmlformats.org/officeDocument/2006/relationships" type="rect" r:blip="" hideGeom="1">
            <dgm:adjLst/>
          </dgm:shape>
          <dgm:constrLst>
            <dgm:constr type="userW" for="ch" forName="text_2" refType="w"/>
            <dgm:constr type="h" for="ch" forName="text_2" refType="h"/>
          </dgm:constrLst>
          <dgm:presOf/>
          <dgm:layoutNode name="text_2" styleLbl="revTx">
            <dgm:varLst>
              <dgm:bulletEnabled val="1"/>
            </dgm:varLst>
            <dgm:choose name="Name37">
              <dgm:if name="Name38" func="var" arg="dir" op="equ" val="norm">
                <dgm:alg type="tx">
                  <dgm:param type="parTxLTRAlign" val="l"/>
                  <dgm:param type="shpTxLTRAlignCh" val="l"/>
                  <dgm:param type="parTxRTLAlign" val="r"/>
                  <dgm:param type="shpTxRTLAlignCh" val="r"/>
                </dgm:alg>
              </dgm:if>
              <dgm:else name="Name39">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0" axis="ch" ptType="sibTrans" hideLastTrans="0" st="3" cnt="1">
        <dgm:layoutNode name="picture_3">
          <dgm:alg type="sp"/>
          <dgm:shape xmlns:r="http://schemas.openxmlformats.org/officeDocument/2006/relationships" r:blip="">
            <dgm:adjLst/>
          </dgm:shape>
          <dgm:presOf/>
          <dgm:constrLst/>
          <dgm:forEach name="Name41" ref="pictureRepeat"/>
        </dgm:layoutNode>
      </dgm:forEach>
      <dgm:forEach name="Name42" axis="ch" ptType="node" st="3" cnt="1">
        <dgm:layoutNode name="line_3" styleLbl="parChTrans1D1">
          <dgm:alg type="sp"/>
          <dgm:shape xmlns:r="http://schemas.openxmlformats.org/officeDocument/2006/relationships" type="line" r:blip="" zOrderOff="-100">
            <dgm:adjLst/>
          </dgm:shape>
          <dgm:presOf/>
        </dgm:layoutNode>
        <dgm:layoutNode name="textparent_3">
          <dgm:choose name="Name43">
            <dgm:if name="Name44" func="var" arg="dir" op="equ" val="norm">
              <dgm:alg type="lin">
                <dgm:param type="horzAlign" val="l"/>
              </dgm:alg>
            </dgm:if>
            <dgm:else name="Name45">
              <dgm:alg type="lin">
                <dgm:param type="horzAlign" val="r"/>
              </dgm:alg>
            </dgm:else>
          </dgm:choose>
          <dgm:shape xmlns:r="http://schemas.openxmlformats.org/officeDocument/2006/relationships" type="rect" r:blip="" hideGeom="1">
            <dgm:adjLst/>
          </dgm:shape>
          <dgm:constrLst>
            <dgm:constr type="userW" for="ch" forName="text_3" refType="w"/>
            <dgm:constr type="h" for="ch" forName="text_3" refType="h"/>
          </dgm:constrLst>
          <dgm:presOf/>
          <dgm:layoutNode name="text_3" styleLbl="revTx">
            <dgm:varLst>
              <dgm:bulletEnabled val="1"/>
            </dgm:varLst>
            <dgm:choose name="Name46">
              <dgm:if name="Name47" func="var" arg="dir" op="equ" val="norm">
                <dgm:alg type="tx">
                  <dgm:param type="parTxLTRAlign" val="l"/>
                  <dgm:param type="shpTxLTRAlignCh" val="l"/>
                  <dgm:param type="parTxRTLAlign" val="r"/>
                  <dgm:param type="shpTxRTLAlignCh" val="r"/>
                </dgm:alg>
              </dgm:if>
              <dgm:else name="Name48">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9" axis="ch" ptType="sibTrans" hideLastTrans="0" st="4" cnt="1">
        <dgm:layoutNode name="picture_4">
          <dgm:alg type="sp"/>
          <dgm:shape xmlns:r="http://schemas.openxmlformats.org/officeDocument/2006/relationships" r:blip="">
            <dgm:adjLst/>
          </dgm:shape>
          <dgm:presOf/>
          <dgm:constrLst/>
          <dgm:forEach name="Name50" ref="pictureRepeat"/>
        </dgm:layoutNode>
      </dgm:forEach>
      <dgm:forEach name="Name51" axis="ch" ptType="node" st="4" cnt="1">
        <dgm:layoutNode name="line_4" styleLbl="parChTrans1D1">
          <dgm:alg type="sp"/>
          <dgm:shape xmlns:r="http://schemas.openxmlformats.org/officeDocument/2006/relationships" type="line" r:blip="" zOrderOff="-100">
            <dgm:adjLst/>
          </dgm:shape>
          <dgm:presOf/>
        </dgm:layoutNode>
        <dgm:layoutNode name="textparent_4">
          <dgm:choose name="Name52">
            <dgm:if name="Name53" func="var" arg="dir" op="equ" val="norm">
              <dgm:alg type="lin">
                <dgm:param type="horzAlign" val="l"/>
              </dgm:alg>
            </dgm:if>
            <dgm:else name="Name54">
              <dgm:alg type="lin">
                <dgm:param type="horzAlign" val="r"/>
              </dgm:alg>
            </dgm:else>
          </dgm:choose>
          <dgm:shape xmlns:r="http://schemas.openxmlformats.org/officeDocument/2006/relationships" type="rect" r:blip="" hideGeom="1">
            <dgm:adjLst/>
          </dgm:shape>
          <dgm:constrLst>
            <dgm:constr type="userW" for="ch" forName="text_4" refType="w"/>
            <dgm:constr type="h" for="ch" forName="text_4" refType="h"/>
          </dgm:constrLst>
          <dgm:presOf/>
          <dgm:layoutNode name="text_4" styleLbl="revTx">
            <dgm:varLst>
              <dgm:bulletEnabled val="1"/>
            </dgm:varLst>
            <dgm:choose name="Name55">
              <dgm:if name="Name56" func="var" arg="dir" op="equ" val="norm">
                <dgm:alg type="tx">
                  <dgm:param type="parTxLTRAlign" val="l"/>
                  <dgm:param type="shpTxLTRAlignCh" val="l"/>
                  <dgm:param type="parTxRTLAlign" val="r"/>
                  <dgm:param type="shpTxRTLAlignCh" val="r"/>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58" axis="ch" ptType="sibTrans" hideLastTrans="0" st="5" cnt="1">
        <dgm:layoutNode name="picture_5">
          <dgm:alg type="sp"/>
          <dgm:shape xmlns:r="http://schemas.openxmlformats.org/officeDocument/2006/relationships" r:blip="">
            <dgm:adjLst/>
          </dgm:shape>
          <dgm:presOf/>
          <dgm:constrLst/>
          <dgm:forEach name="Name59" ref="pictureRepeat"/>
        </dgm:layoutNode>
      </dgm:forEach>
      <dgm:forEach name="Name60" axis="ch" ptType="node" st="5" cnt="1">
        <dgm:layoutNode name="line_5" styleLbl="parChTrans1D1">
          <dgm:alg type="sp"/>
          <dgm:shape xmlns:r="http://schemas.openxmlformats.org/officeDocument/2006/relationships" type="line" r:blip="" zOrderOff="-100">
            <dgm:adjLst/>
          </dgm:shape>
          <dgm:presOf/>
        </dgm:layoutNode>
        <dgm:layoutNode name="textparent_5">
          <dgm:choose name="Name61">
            <dgm:if name="Name62" func="var" arg="dir" op="equ" val="norm">
              <dgm:alg type="lin">
                <dgm:param type="horzAlign" val="l"/>
              </dgm:alg>
            </dgm:if>
            <dgm:else name="Name63">
              <dgm:alg type="lin">
                <dgm:param type="horzAlign" val="r"/>
              </dgm:alg>
            </dgm:else>
          </dgm:choose>
          <dgm:shape xmlns:r="http://schemas.openxmlformats.org/officeDocument/2006/relationships" type="rect" r:blip="" hideGeom="1">
            <dgm:adjLst/>
          </dgm:shape>
          <dgm:constrLst>
            <dgm:constr type="userW" for="ch" forName="text_5" refType="w"/>
            <dgm:constr type="h" for="ch" forName="text_5" refType="h"/>
          </dgm:constrLst>
          <dgm:presOf/>
          <dgm:layoutNode name="text_5" styleLbl="revTx">
            <dgm:varLst>
              <dgm:bulletEnabled val="1"/>
            </dgm:varLst>
            <dgm:choose name="Name64">
              <dgm:if name="Name65" func="var" arg="dir" op="equ" val="norm">
                <dgm:alg type="tx">
                  <dgm:param type="parTxLTRAlign" val="l"/>
                  <dgm:param type="shpTxLTRAlignCh" val="l"/>
                  <dgm:param type="parTxRTLAlign" val="r"/>
                  <dgm:param type="shpTxRTLAlignCh" val="r"/>
                </dgm:alg>
              </dgm:if>
              <dgm:else name="Name66">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67" axis="ch" ptType="sibTrans" hideLastTrans="0" st="6" cnt="1">
        <dgm:layoutNode name="picture_6">
          <dgm:alg type="sp"/>
          <dgm:shape xmlns:r="http://schemas.openxmlformats.org/officeDocument/2006/relationships" r:blip="">
            <dgm:adjLst/>
          </dgm:shape>
          <dgm:presOf/>
          <dgm:constrLst/>
          <dgm:forEach name="Name68" ref="pictureRepeat"/>
        </dgm:layoutNode>
      </dgm:forEach>
      <dgm:forEach name="Name69" axis="ch" ptType="node" st="6" cnt="1">
        <dgm:layoutNode name="line_6" styleLbl="parChTrans1D1">
          <dgm:alg type="sp"/>
          <dgm:shape xmlns:r="http://schemas.openxmlformats.org/officeDocument/2006/relationships" type="line" r:blip="" zOrderOff="-100">
            <dgm:adjLst/>
          </dgm:shape>
          <dgm:presOf/>
        </dgm:layoutNode>
        <dgm:layoutNode name="textparent_6">
          <dgm:choose name="Name70">
            <dgm:if name="Name71" func="var" arg="dir" op="equ" val="norm">
              <dgm:alg type="lin">
                <dgm:param type="horzAlign" val="l"/>
              </dgm:alg>
            </dgm:if>
            <dgm:else name="Name72">
              <dgm:alg type="lin">
                <dgm:param type="horzAlign" val="r"/>
              </dgm:alg>
            </dgm:else>
          </dgm:choose>
          <dgm:shape xmlns:r="http://schemas.openxmlformats.org/officeDocument/2006/relationships" type="rect" r:blip="" hideGeom="1">
            <dgm:adjLst/>
          </dgm:shape>
          <dgm:constrLst>
            <dgm:constr type="userW" for="ch" forName="text_6" refType="w"/>
            <dgm:constr type="h" for="ch" forName="text_6" refType="h"/>
          </dgm:constrLst>
          <dgm:presOf/>
          <dgm:layoutNode name="text_6" styleLbl="revTx">
            <dgm:varLst>
              <dgm:bulletEnabled val="1"/>
            </dgm:varLst>
            <dgm:choose name="Name73">
              <dgm:if name="Name74" func="var" arg="dir" op="equ" val="norm">
                <dgm:alg type="tx">
                  <dgm:param type="parTxLTRAlign" val="l"/>
                  <dgm:param type="shpTxLTRAlignCh" val="l"/>
                  <dgm:param type="parTxRTLAlign" val="r"/>
                  <dgm:param type="shpTxRTLAlignCh" val="r"/>
                </dgm:alg>
              </dgm:if>
              <dgm:else name="Name75">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76" axis="ch" ptType="sibTrans" hideLastTrans="0" st="7" cnt="1">
        <dgm:layoutNode name="picture_7">
          <dgm:alg type="sp"/>
          <dgm:shape xmlns:r="http://schemas.openxmlformats.org/officeDocument/2006/relationships" r:blip="">
            <dgm:adjLst/>
          </dgm:shape>
          <dgm:presOf/>
          <dgm:constrLst/>
          <dgm:forEach name="Name77" ref="pictureRepeat"/>
        </dgm:layoutNode>
      </dgm:forEach>
      <dgm:forEach name="Name78" axis="ch" ptType="node" st="7" cnt="1">
        <dgm:layoutNode name="line_7" styleLbl="parChTrans1D1">
          <dgm:alg type="sp"/>
          <dgm:shape xmlns:r="http://schemas.openxmlformats.org/officeDocument/2006/relationships" type="line" r:blip="" zOrderOff="-100">
            <dgm:adjLst/>
          </dgm:shape>
          <dgm:presOf/>
        </dgm:layoutNode>
        <dgm:layoutNode name="textparent_7">
          <dgm:choose name="Name79">
            <dgm:if name="Name80" func="var" arg="dir" op="equ" val="norm">
              <dgm:alg type="lin">
                <dgm:param type="horzAlign" val="l"/>
              </dgm:alg>
            </dgm:if>
            <dgm:else name="Name81">
              <dgm:alg type="lin">
                <dgm:param type="horzAlign" val="r"/>
              </dgm:alg>
            </dgm:else>
          </dgm:choose>
          <dgm:shape xmlns:r="http://schemas.openxmlformats.org/officeDocument/2006/relationships" type="rect" r:blip="" hideGeom="1">
            <dgm:adjLst/>
          </dgm:shape>
          <dgm:constrLst>
            <dgm:constr type="userW" for="ch" forName="text_7" refType="w"/>
            <dgm:constr type="h" for="ch" forName="text_7" refType="h"/>
          </dgm:constrLst>
          <dgm:presOf/>
          <dgm:layoutNode name="text_7" styleLbl="revTx">
            <dgm:varLst>
              <dgm:bulletEnabled val="1"/>
            </dgm:varLst>
            <dgm:choose name="Name82">
              <dgm:if name="Name83" func="var" arg="dir" op="equ" val="norm">
                <dgm:alg type="tx">
                  <dgm:param type="parTxLTRAlign" val="l"/>
                  <dgm:param type="shpTxLTRAlignCh" val="l"/>
                  <dgm:param type="parTxRTLAlign" val="r"/>
                  <dgm:param type="shpTxRTLAlignCh" val="r"/>
                </dgm:alg>
              </dgm:if>
              <dgm:else name="Name84">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3.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sv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1.sv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6.sv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31</xdr:col>
      <xdr:colOff>196850</xdr:colOff>
      <xdr:row>207</xdr:row>
      <xdr:rowOff>57150</xdr:rowOff>
    </xdr:to>
    <xdr:sp macro="" textlink="">
      <xdr:nvSpPr>
        <xdr:cNvPr id="4" name="Rectangle : coins arrondis 3">
          <a:extLst>
            <a:ext uri="{FF2B5EF4-FFF2-40B4-BE49-F238E27FC236}">
              <a16:creationId xmlns:a16="http://schemas.microsoft.com/office/drawing/2014/main" id="{487609D0-134B-402A-82C2-3CEB445F78AE}"/>
            </a:ext>
          </a:extLst>
        </xdr:cNvPr>
        <xdr:cNvSpPr>
          <a:spLocks/>
        </xdr:cNvSpPr>
      </xdr:nvSpPr>
      <xdr:spPr>
        <a:xfrm>
          <a:off x="0" y="0"/>
          <a:ext cx="11245850" cy="35979100"/>
        </a:xfrm>
        <a:prstGeom prst="roundRect">
          <a:avLst>
            <a:gd name="adj" fmla="val 3962"/>
          </a:avLst>
        </a:prstGeom>
        <a:noFill/>
        <a:ln w="9525" cap="flat" cmpd="sng" algn="ctr">
          <a:solidFill>
            <a:schemeClr val="bg1">
              <a:lumMod val="8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fr-FR" sz="1100"/>
        </a:p>
      </xdr:txBody>
    </xdr:sp>
    <xdr:clientData/>
  </xdr:twoCellAnchor>
  <xdr:twoCellAnchor editAs="absolute">
    <xdr:from>
      <xdr:col>17</xdr:col>
      <xdr:colOff>66115</xdr:colOff>
      <xdr:row>197</xdr:row>
      <xdr:rowOff>1120</xdr:rowOff>
    </xdr:from>
    <xdr:to>
      <xdr:col>18</xdr:col>
      <xdr:colOff>267821</xdr:colOff>
      <xdr:row>198</xdr:row>
      <xdr:rowOff>135218</xdr:rowOff>
    </xdr:to>
    <xdr:sp macro="" textlink="">
      <xdr:nvSpPr>
        <xdr:cNvPr id="2" name="Freeform 3">
          <a:extLst>
            <a:ext uri="{FF2B5EF4-FFF2-40B4-BE49-F238E27FC236}">
              <a16:creationId xmlns:a16="http://schemas.microsoft.com/office/drawing/2014/main" id="{00000000-0008-0000-0100-000002000000}"/>
            </a:ext>
          </a:extLst>
        </xdr:cNvPr>
        <xdr:cNvSpPr>
          <a:spLocks noChangeAspect="1"/>
        </xdr:cNvSpPr>
      </xdr:nvSpPr>
      <xdr:spPr bwMode="auto">
        <a:xfrm>
          <a:off x="5736665" y="33884720"/>
          <a:ext cx="633506" cy="337298"/>
        </a:xfrm>
        <a:custGeom>
          <a:avLst/>
          <a:gdLst>
            <a:gd name="T0" fmla="*/ 0 w 157"/>
            <a:gd name="T1" fmla="*/ 0 h 20"/>
            <a:gd name="T2" fmla="*/ 2147483646 w 157"/>
            <a:gd name="T3" fmla="*/ 2147483646 h 20"/>
            <a:gd name="T4" fmla="*/ 2147483646 w 157"/>
            <a:gd name="T5" fmla="*/ 2147483646 h 20"/>
            <a:gd name="T6" fmla="*/ 0 60000 65536"/>
            <a:gd name="T7" fmla="*/ 0 60000 65536"/>
            <a:gd name="T8" fmla="*/ 0 60000 65536"/>
            <a:gd name="T9" fmla="*/ 0 w 157"/>
            <a:gd name="T10" fmla="*/ 0 h 20"/>
            <a:gd name="T11" fmla="*/ 157 w 157"/>
            <a:gd name="T12" fmla="*/ 20 h 20"/>
          </a:gdLst>
          <a:ahLst/>
          <a:cxnLst>
            <a:cxn ang="T6">
              <a:pos x="T0" y="T1"/>
            </a:cxn>
            <a:cxn ang="T7">
              <a:pos x="T2" y="T3"/>
            </a:cxn>
            <a:cxn ang="T8">
              <a:pos x="T4" y="T5"/>
            </a:cxn>
          </a:cxnLst>
          <a:rect l="T9" t="T10" r="T11" b="T12"/>
          <a:pathLst>
            <a:path w="157" h="20">
              <a:moveTo>
                <a:pt x="0" y="0"/>
              </a:moveTo>
              <a:cubicBezTo>
                <a:pt x="23" y="10"/>
                <a:pt x="46" y="20"/>
                <a:pt x="72" y="20"/>
              </a:cubicBezTo>
              <a:cubicBezTo>
                <a:pt x="98" y="20"/>
                <a:pt x="143" y="6"/>
                <a:pt x="157" y="3"/>
              </a:cubicBezTo>
            </a:path>
          </a:pathLst>
        </a:custGeom>
        <a:solidFill>
          <a:sysClr val="window" lastClr="FFFFFF"/>
        </a:solidFill>
        <a:ln w="9525">
          <a:solidFill>
            <a:srgbClr val="000000"/>
          </a:solidFill>
          <a:round/>
          <a:headEnd/>
          <a:tailEnd/>
        </a:ln>
      </xdr:spPr>
    </xdr:sp>
    <xdr:clientData fPrintsWithSheet="0"/>
  </xdr:twoCellAnchor>
  <xdr:twoCellAnchor editAs="absolute">
    <xdr:from>
      <xdr:col>21</xdr:col>
      <xdr:colOff>53414</xdr:colOff>
      <xdr:row>196</xdr:row>
      <xdr:rowOff>116166</xdr:rowOff>
    </xdr:from>
    <xdr:to>
      <xdr:col>22</xdr:col>
      <xdr:colOff>270061</xdr:colOff>
      <xdr:row>198</xdr:row>
      <xdr:rowOff>32124</xdr:rowOff>
    </xdr:to>
    <xdr:sp macro="" textlink="">
      <xdr:nvSpPr>
        <xdr:cNvPr id="3" name="Freeform 4">
          <a:extLst>
            <a:ext uri="{FF2B5EF4-FFF2-40B4-BE49-F238E27FC236}">
              <a16:creationId xmlns:a16="http://schemas.microsoft.com/office/drawing/2014/main" id="{00000000-0008-0000-0100-000003000000}"/>
            </a:ext>
          </a:extLst>
        </xdr:cNvPr>
        <xdr:cNvSpPr>
          <a:spLocks noChangeAspect="1"/>
        </xdr:cNvSpPr>
      </xdr:nvSpPr>
      <xdr:spPr bwMode="auto">
        <a:xfrm>
          <a:off x="7146364" y="33790216"/>
          <a:ext cx="546847" cy="328708"/>
        </a:xfrm>
        <a:custGeom>
          <a:avLst/>
          <a:gdLst>
            <a:gd name="T0" fmla="*/ 0 w 169"/>
            <a:gd name="T1" fmla="*/ 2147483646 h 10"/>
            <a:gd name="T2" fmla="*/ 2147483646 w 169"/>
            <a:gd name="T3" fmla="*/ 0 h 10"/>
            <a:gd name="T4" fmla="*/ 2147483646 w 169"/>
            <a:gd name="T5" fmla="*/ 2147483646 h 10"/>
            <a:gd name="T6" fmla="*/ 0 60000 65536"/>
            <a:gd name="T7" fmla="*/ 0 60000 65536"/>
            <a:gd name="T8" fmla="*/ 0 60000 65536"/>
            <a:gd name="T9" fmla="*/ 0 w 169"/>
            <a:gd name="T10" fmla="*/ 0 h 10"/>
            <a:gd name="T11" fmla="*/ 169 w 169"/>
            <a:gd name="T12" fmla="*/ 10 h 10"/>
          </a:gdLst>
          <a:ahLst/>
          <a:cxnLst>
            <a:cxn ang="T6">
              <a:pos x="T0" y="T1"/>
            </a:cxn>
            <a:cxn ang="T7">
              <a:pos x="T2" y="T3"/>
            </a:cxn>
            <a:cxn ang="T8">
              <a:pos x="T4" y="T5"/>
            </a:cxn>
          </a:cxnLst>
          <a:rect l="T9" t="T10" r="T11" b="T12"/>
          <a:pathLst>
            <a:path w="169" h="10">
              <a:moveTo>
                <a:pt x="0" y="10"/>
              </a:moveTo>
              <a:cubicBezTo>
                <a:pt x="32" y="5"/>
                <a:pt x="64" y="0"/>
                <a:pt x="92" y="0"/>
              </a:cubicBezTo>
              <a:cubicBezTo>
                <a:pt x="120" y="0"/>
                <a:pt x="156" y="8"/>
                <a:pt x="169" y="9"/>
              </a:cubicBezTo>
            </a:path>
          </a:pathLst>
        </a:custGeom>
        <a:solidFill>
          <a:sysClr val="window" lastClr="FFFFFF"/>
        </a:solidFill>
        <a:ln w="9525">
          <a:solidFill>
            <a:srgbClr val="000000"/>
          </a:solidFill>
          <a:round/>
          <a:headEnd/>
          <a:tailEnd/>
        </a:ln>
      </xdr:spPr>
    </xdr:sp>
    <xdr:clientData fPrintsWithSheet="0"/>
  </xdr:twoCellAnchor>
  <xdr:twoCellAnchor editAs="absolute">
    <xdr:from>
      <xdr:col>26</xdr:col>
      <xdr:colOff>50800</xdr:colOff>
      <xdr:row>104</xdr:row>
      <xdr:rowOff>107950</xdr:rowOff>
    </xdr:from>
    <xdr:to>
      <xdr:col>26</xdr:col>
      <xdr:colOff>292100</xdr:colOff>
      <xdr:row>105</xdr:row>
      <xdr:rowOff>31750</xdr:rowOff>
    </xdr:to>
    <xdr:sp macro="" textlink="">
      <xdr:nvSpPr>
        <xdr:cNvPr id="7" name="AutoShape 83" hidden="1">
          <a:extLst>
            <a:ext uri="{FF2B5EF4-FFF2-40B4-BE49-F238E27FC236}">
              <a16:creationId xmlns:a16="http://schemas.microsoft.com/office/drawing/2014/main" id="{00000000-0008-0000-0100-000007000000}"/>
            </a:ext>
          </a:extLst>
        </xdr:cNvPr>
        <xdr:cNvSpPr>
          <a:spLocks noChangeAspect="1" noChangeArrowheads="1"/>
        </xdr:cNvSpPr>
      </xdr:nvSpPr>
      <xdr:spPr bwMode="auto">
        <a:xfrm>
          <a:off x="8623300" y="17411700"/>
          <a:ext cx="241300" cy="101600"/>
        </a:xfrm>
        <a:prstGeom prst="rightArrow">
          <a:avLst>
            <a:gd name="adj1" fmla="val 50000"/>
            <a:gd name="adj2" fmla="val 59375"/>
          </a:avLst>
        </a:prstGeom>
        <a:solidFill>
          <a:srgbClr val="FFFFFF"/>
        </a:solidFill>
        <a:ln w="9525">
          <a:solidFill>
            <a:srgbClr val="000000"/>
          </a:solidFill>
          <a:miter lim="800000"/>
          <a:headEnd/>
          <a:tailEnd/>
        </a:ln>
      </xdr:spPr>
    </xdr:sp>
    <xdr:clientData fLocksWithSheet="0" fPrintsWithSheet="0"/>
  </xdr:twoCellAnchor>
  <xdr:twoCellAnchor editAs="oneCell">
    <xdr:from>
      <xdr:col>29</xdr:col>
      <xdr:colOff>22411</xdr:colOff>
      <xdr:row>1</xdr:row>
      <xdr:rowOff>29883</xdr:rowOff>
    </xdr:from>
    <xdr:to>
      <xdr:col>30</xdr:col>
      <xdr:colOff>608105</xdr:colOff>
      <xdr:row>7</xdr:row>
      <xdr:rowOff>182283</xdr:rowOff>
    </xdr:to>
    <xdr:pic macro="[0]!'WorksheetToShow &quot;Menu&quot;'">
      <xdr:nvPicPr>
        <xdr:cNvPr id="8" name="Graphique 7" descr="Kiosque">
          <a:extLst>
            <a:ext uri="{FF2B5EF4-FFF2-40B4-BE49-F238E27FC236}">
              <a16:creationId xmlns:a16="http://schemas.microsoft.com/office/drawing/2014/main" id="{D00D72B1-133E-4170-9137-117CFD16E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65764" y="239059"/>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tx1">
              <a:lumMod val="95000"/>
              <a:lumOff val="5000"/>
            </a:schemeClr>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609343</xdr:colOff>
      <xdr:row>10</xdr:row>
      <xdr:rowOff>179333</xdr:rowOff>
    </xdr:from>
    <xdr:to>
      <xdr:col>4</xdr:col>
      <xdr:colOff>524678</xdr:colOff>
      <xdr:row>13</xdr:row>
      <xdr:rowOff>28413</xdr:rowOff>
    </xdr:to>
    <xdr:sp macro="[0]!'WorksheetToShow &quot;Details&quot;'" textlink="" fLocksText="0">
      <xdr:nvSpPr>
        <xdr:cNvPr id="4" name="Rectangle : coins arrondis 3">
          <a:extLst>
            <a:ext uri="{FF2B5EF4-FFF2-40B4-BE49-F238E27FC236}">
              <a16:creationId xmlns:a16="http://schemas.microsoft.com/office/drawing/2014/main" id="{59969840-7B97-45FF-AB8B-4264F673E394}"/>
            </a:ext>
          </a:extLst>
        </xdr:cNvPr>
        <xdr:cNvSpPr/>
      </xdr:nvSpPr>
      <xdr:spPr>
        <a:xfrm flipH="1">
          <a:off x="2133343" y="2046980"/>
          <a:ext cx="1439335" cy="409374"/>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Details</a:t>
          </a:r>
        </a:p>
      </xdr:txBody>
    </xdr:sp>
    <xdr:clientData fLocksWithSheet="0" fPrintsWithSheet="0"/>
  </xdr:twoCellAnchor>
  <xdr:twoCellAnchor editAs="absolute">
    <xdr:from>
      <xdr:col>2</xdr:col>
      <xdr:colOff>729877</xdr:colOff>
      <xdr:row>7</xdr:row>
      <xdr:rowOff>147917</xdr:rowOff>
    </xdr:from>
    <xdr:to>
      <xdr:col>4</xdr:col>
      <xdr:colOff>645212</xdr:colOff>
      <xdr:row>9</xdr:row>
      <xdr:rowOff>183762</xdr:rowOff>
    </xdr:to>
    <xdr:sp macro="[0]!'WorksheetToShow &quot;Deductibles&quot;'" textlink="" fLocksText="0">
      <xdr:nvSpPr>
        <xdr:cNvPr id="5" name="Rectangle : coins arrondis 4">
          <a:extLst>
            <a:ext uri="{FF2B5EF4-FFF2-40B4-BE49-F238E27FC236}">
              <a16:creationId xmlns:a16="http://schemas.microsoft.com/office/drawing/2014/main" id="{19220085-67E1-4327-84CF-D9A6B7A5E295}"/>
            </a:ext>
          </a:extLst>
        </xdr:cNvPr>
        <xdr:cNvSpPr/>
      </xdr:nvSpPr>
      <xdr:spPr>
        <a:xfrm flipH="1">
          <a:off x="2253877" y="1455270"/>
          <a:ext cx="1439335" cy="409374"/>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Dedactubles</a:t>
          </a:r>
        </a:p>
      </xdr:txBody>
    </xdr:sp>
    <xdr:clientData fLocksWithSheet="0" fPrintsWithSheet="0"/>
  </xdr:twoCellAnchor>
  <xdr:twoCellAnchor editAs="absolute">
    <xdr:from>
      <xdr:col>11</xdr:col>
      <xdr:colOff>80683</xdr:colOff>
      <xdr:row>12</xdr:row>
      <xdr:rowOff>170329</xdr:rowOff>
    </xdr:from>
    <xdr:to>
      <xdr:col>13</xdr:col>
      <xdr:colOff>141740</xdr:colOff>
      <xdr:row>15</xdr:row>
      <xdr:rowOff>23077</xdr:rowOff>
    </xdr:to>
    <xdr:sp macro="[0]!'WorksheetToShow &quot;LOP&quot;'" textlink="" fLocksText="0">
      <xdr:nvSpPr>
        <xdr:cNvPr id="6" name="Rectangle : coins arrondis 5">
          <a:extLst>
            <a:ext uri="{FF2B5EF4-FFF2-40B4-BE49-F238E27FC236}">
              <a16:creationId xmlns:a16="http://schemas.microsoft.com/office/drawing/2014/main" id="{3268E15B-2EDF-4EDF-B6BA-A75C90493150}"/>
            </a:ext>
          </a:extLst>
        </xdr:cNvPr>
        <xdr:cNvSpPr/>
      </xdr:nvSpPr>
      <xdr:spPr>
        <a:xfrm flipH="1">
          <a:off x="8462683" y="2411505"/>
          <a:ext cx="1585057" cy="413043"/>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LOP</a:t>
          </a:r>
        </a:p>
      </xdr:txBody>
    </xdr:sp>
    <xdr:clientData fLocksWithSheet="0" fPrintsWithSheet="0"/>
  </xdr:twoCellAnchor>
  <xdr:twoCellAnchor editAs="absolute">
    <xdr:from>
      <xdr:col>9</xdr:col>
      <xdr:colOff>415365</xdr:colOff>
      <xdr:row>15</xdr:row>
      <xdr:rowOff>84044</xdr:rowOff>
    </xdr:from>
    <xdr:to>
      <xdr:col>11</xdr:col>
      <xdr:colOff>474633</xdr:colOff>
      <xdr:row>17</xdr:row>
      <xdr:rowOff>126738</xdr:rowOff>
    </xdr:to>
    <xdr:sp macro="[0]!'WorksheetToShow &quot; Ull Brut&quot;'" textlink="" fLocksText="0">
      <xdr:nvSpPr>
        <xdr:cNvPr id="7" name="Rectangle : coins arrondis 6">
          <a:extLst>
            <a:ext uri="{FF2B5EF4-FFF2-40B4-BE49-F238E27FC236}">
              <a16:creationId xmlns:a16="http://schemas.microsoft.com/office/drawing/2014/main" id="{A65D248D-AA53-4DFB-8503-6613827C60F9}"/>
            </a:ext>
          </a:extLst>
        </xdr:cNvPr>
        <xdr:cNvSpPr/>
      </xdr:nvSpPr>
      <xdr:spPr>
        <a:xfrm flipH="1">
          <a:off x="7273365" y="2885515"/>
          <a:ext cx="1583268" cy="416223"/>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Brut Report</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12</xdr:col>
      <xdr:colOff>209924</xdr:colOff>
      <xdr:row>20</xdr:row>
      <xdr:rowOff>76574</xdr:rowOff>
    </xdr:from>
    <xdr:to>
      <xdr:col>13</xdr:col>
      <xdr:colOff>1031192</xdr:colOff>
      <xdr:row>22</xdr:row>
      <xdr:rowOff>113981</xdr:rowOff>
    </xdr:to>
    <xdr:sp macro="[0]!'WorksheetToShow &quot;Bunker DO&quot;'" textlink="" fLocksText="0">
      <xdr:nvSpPr>
        <xdr:cNvPr id="8" name="Rectangle : coins arrondis 7">
          <a:extLst>
            <a:ext uri="{FF2B5EF4-FFF2-40B4-BE49-F238E27FC236}">
              <a16:creationId xmlns:a16="http://schemas.microsoft.com/office/drawing/2014/main" id="{AA77DBDA-C15A-4826-BD7D-8B5558DA4347}"/>
            </a:ext>
          </a:extLst>
        </xdr:cNvPr>
        <xdr:cNvSpPr/>
      </xdr:nvSpPr>
      <xdr:spPr>
        <a:xfrm flipH="1">
          <a:off x="9353924" y="3811868"/>
          <a:ext cx="1583268" cy="410937"/>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Bunker GO</a:t>
          </a:r>
        </a:p>
      </xdr:txBody>
    </xdr:sp>
    <xdr:clientData fLocksWithSheet="0" fPrintsWithSheet="0"/>
  </xdr:twoCellAnchor>
  <xdr:twoCellAnchor editAs="absolute">
    <xdr:from>
      <xdr:col>12</xdr:col>
      <xdr:colOff>318247</xdr:colOff>
      <xdr:row>17</xdr:row>
      <xdr:rowOff>98986</xdr:rowOff>
    </xdr:from>
    <xdr:to>
      <xdr:col>13</xdr:col>
      <xdr:colOff>1139515</xdr:colOff>
      <xdr:row>19</xdr:row>
      <xdr:rowOff>137445</xdr:rowOff>
    </xdr:to>
    <xdr:sp macro="[0]!'WorksheetToShow &quot;Bunker FO&quot;'" textlink="" fLocksText="0">
      <xdr:nvSpPr>
        <xdr:cNvPr id="9" name="Rectangle : coins arrondis 8">
          <a:extLst>
            <a:ext uri="{FF2B5EF4-FFF2-40B4-BE49-F238E27FC236}">
              <a16:creationId xmlns:a16="http://schemas.microsoft.com/office/drawing/2014/main" id="{52A04342-C8E4-49C1-9FB7-BCBF305AF69B}"/>
            </a:ext>
          </a:extLst>
        </xdr:cNvPr>
        <xdr:cNvSpPr/>
      </xdr:nvSpPr>
      <xdr:spPr>
        <a:xfrm flipH="1">
          <a:off x="9462247" y="3273986"/>
          <a:ext cx="1583268" cy="411988"/>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Bunker FO</a:t>
          </a:r>
        </a:p>
      </xdr:txBody>
    </xdr:sp>
    <xdr:clientData fLocksWithSheet="0" fPrintsWithSheet="0"/>
  </xdr:twoCellAnchor>
  <xdr:twoCellAnchor editAs="absolute">
    <xdr:from>
      <xdr:col>2</xdr:col>
      <xdr:colOff>609600</xdr:colOff>
      <xdr:row>17</xdr:row>
      <xdr:rowOff>164353</xdr:rowOff>
    </xdr:from>
    <xdr:to>
      <xdr:col>4</xdr:col>
      <xdr:colOff>668868</xdr:colOff>
      <xdr:row>21</xdr:row>
      <xdr:rowOff>122062</xdr:rowOff>
    </xdr:to>
    <xdr:sp macro="[0]!'WorksheetToShow &quot;WedgeForm&quot;'" textlink="" fLocksText="0">
      <xdr:nvSpPr>
        <xdr:cNvPr id="10" name="Rectangle : coins arrondis 9">
          <a:extLst>
            <a:ext uri="{FF2B5EF4-FFF2-40B4-BE49-F238E27FC236}">
              <a16:creationId xmlns:a16="http://schemas.microsoft.com/office/drawing/2014/main" id="{B63EB576-0E77-44F3-A656-A72FB168729E}"/>
            </a:ext>
          </a:extLst>
        </xdr:cNvPr>
        <xdr:cNvSpPr/>
      </xdr:nvSpPr>
      <xdr:spPr>
        <a:xfrm flipH="1">
          <a:off x="2133600" y="3339353"/>
          <a:ext cx="1583268" cy="704768"/>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Wedge</a:t>
          </a:r>
          <a:r>
            <a:rPr lang="fr-FR" sz="16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formula</a:t>
          </a:r>
          <a:endParaRPr lang="fr-FR"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5</xdr:col>
      <xdr:colOff>411629</xdr:colOff>
      <xdr:row>8</xdr:row>
      <xdr:rowOff>37726</xdr:rowOff>
    </xdr:from>
    <xdr:to>
      <xdr:col>7</xdr:col>
      <xdr:colOff>326964</xdr:colOff>
      <xdr:row>10</xdr:row>
      <xdr:rowOff>73572</xdr:rowOff>
    </xdr:to>
    <xdr:sp macro="[0]!'WorksheetToShow &quot;Data&quot;'" textlink="" fLocksText="0">
      <xdr:nvSpPr>
        <xdr:cNvPr id="2" name="Rectangle : coins arrondis 1">
          <a:extLst>
            <a:ext uri="{FF2B5EF4-FFF2-40B4-BE49-F238E27FC236}">
              <a16:creationId xmlns:a16="http://schemas.microsoft.com/office/drawing/2014/main" id="{27AD0024-CBA2-4C45-BAD0-C69D924CBDA3}"/>
            </a:ext>
          </a:extLst>
        </xdr:cNvPr>
        <xdr:cNvSpPr/>
      </xdr:nvSpPr>
      <xdr:spPr>
        <a:xfrm flipH="1">
          <a:off x="4221629" y="1531844"/>
          <a:ext cx="1439335" cy="40937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Data</a:t>
          </a:r>
        </a:p>
      </xdr:txBody>
    </xdr:sp>
    <xdr:clientData fLocksWithSheet="0" fPrintsWithSheet="0"/>
  </xdr:twoCellAnchor>
  <xdr:twoCellAnchor editAs="absolute">
    <xdr:from>
      <xdr:col>5</xdr:col>
      <xdr:colOff>277905</xdr:colOff>
      <xdr:row>11</xdr:row>
      <xdr:rowOff>52667</xdr:rowOff>
    </xdr:from>
    <xdr:to>
      <xdr:col>7</xdr:col>
      <xdr:colOff>193241</xdr:colOff>
      <xdr:row>13</xdr:row>
      <xdr:rowOff>88512</xdr:rowOff>
    </xdr:to>
    <xdr:sp macro="[0]!'WorksheetToShow &quot;DS_REPORT&quot;'" textlink="" fLocksText="0">
      <xdr:nvSpPr>
        <xdr:cNvPr id="3" name="Rectangle : coins arrondis 2">
          <a:extLst>
            <a:ext uri="{FF2B5EF4-FFF2-40B4-BE49-F238E27FC236}">
              <a16:creationId xmlns:a16="http://schemas.microsoft.com/office/drawing/2014/main" id="{0CF4997E-E075-4F8E-B936-FE6B62415FE0}"/>
            </a:ext>
          </a:extLst>
        </xdr:cNvPr>
        <xdr:cNvSpPr/>
      </xdr:nvSpPr>
      <xdr:spPr>
        <a:xfrm flipH="1">
          <a:off x="4087905" y="2107079"/>
          <a:ext cx="1439336" cy="409374"/>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DS_REPORT</a:t>
          </a:r>
        </a:p>
      </xdr:txBody>
    </xdr:sp>
    <xdr:clientData fLocksWithSheet="0" fPrintsWithSheet="0"/>
  </xdr:twoCellAnchor>
  <xdr:twoCellAnchor editAs="absolute">
    <xdr:from>
      <xdr:col>2</xdr:col>
      <xdr:colOff>542365</xdr:colOff>
      <xdr:row>22</xdr:row>
      <xdr:rowOff>73584</xdr:rowOff>
    </xdr:from>
    <xdr:to>
      <xdr:col>4</xdr:col>
      <xdr:colOff>457701</xdr:colOff>
      <xdr:row>24</xdr:row>
      <xdr:rowOff>109431</xdr:rowOff>
    </xdr:to>
    <xdr:sp macro="[0]!'WorksheetToShow &quot;Tools&quot;'" textlink="" fLocksText="0">
      <xdr:nvSpPr>
        <xdr:cNvPr id="13" name="Rectangle : coins arrondis 12">
          <a:extLst>
            <a:ext uri="{FF2B5EF4-FFF2-40B4-BE49-F238E27FC236}">
              <a16:creationId xmlns:a16="http://schemas.microsoft.com/office/drawing/2014/main" id="{83499D5E-6C3D-4B66-9A03-95DE5F1DFCF7}"/>
            </a:ext>
          </a:extLst>
        </xdr:cNvPr>
        <xdr:cNvSpPr/>
      </xdr:nvSpPr>
      <xdr:spPr>
        <a:xfrm flipH="1">
          <a:off x="2066365" y="4182408"/>
          <a:ext cx="1439336" cy="409376"/>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Old Tools</a:t>
          </a:r>
        </a:p>
      </xdr:txBody>
    </xdr:sp>
    <xdr:clientData fLocksWithSheet="0" fPrintsWithSheet="0"/>
  </xdr:twoCellAnchor>
  <xdr:twoCellAnchor editAs="absolute">
    <xdr:from>
      <xdr:col>9</xdr:col>
      <xdr:colOff>378759</xdr:colOff>
      <xdr:row>18</xdr:row>
      <xdr:rowOff>73584</xdr:rowOff>
    </xdr:from>
    <xdr:to>
      <xdr:col>11</xdr:col>
      <xdr:colOff>292306</xdr:colOff>
      <xdr:row>20</xdr:row>
      <xdr:rowOff>113098</xdr:rowOff>
    </xdr:to>
    <xdr:sp macro="[0]!'WorksheetToShow &quot;Ull Sulph Ac&quot;'" textlink="" fLocksText="0">
      <xdr:nvSpPr>
        <xdr:cNvPr id="14" name="Rectangle : coins arrondis 13">
          <a:extLst>
            <a:ext uri="{FF2B5EF4-FFF2-40B4-BE49-F238E27FC236}">
              <a16:creationId xmlns:a16="http://schemas.microsoft.com/office/drawing/2014/main" id="{58F2130E-829F-4733-B5DC-3EA6BE539D5D}"/>
            </a:ext>
          </a:extLst>
        </xdr:cNvPr>
        <xdr:cNvSpPr/>
      </xdr:nvSpPr>
      <xdr:spPr>
        <a:xfrm flipH="1">
          <a:off x="7236759" y="3435349"/>
          <a:ext cx="1437547" cy="413043"/>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Ull</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SULP AC</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6</xdr:col>
      <xdr:colOff>372036</xdr:colOff>
      <xdr:row>21</xdr:row>
      <xdr:rowOff>51172</xdr:rowOff>
    </xdr:from>
    <xdr:to>
      <xdr:col>8</xdr:col>
      <xdr:colOff>287371</xdr:colOff>
      <xdr:row>23</xdr:row>
      <xdr:rowOff>87018</xdr:rowOff>
    </xdr:to>
    <xdr:sp macro="[0]!'WorksheetToShow &quot;FINAL AMO&quot;'" textlink="" fLocksText="0">
      <xdr:nvSpPr>
        <xdr:cNvPr id="15" name="Rectangle : coins arrondis 14">
          <a:extLst>
            <a:ext uri="{FF2B5EF4-FFF2-40B4-BE49-F238E27FC236}">
              <a16:creationId xmlns:a16="http://schemas.microsoft.com/office/drawing/2014/main" id="{F75E3B99-A45D-449A-976E-1CC7983AA95B}"/>
            </a:ext>
          </a:extLst>
        </xdr:cNvPr>
        <xdr:cNvSpPr/>
      </xdr:nvSpPr>
      <xdr:spPr>
        <a:xfrm rot="20907996" flipH="1">
          <a:off x="4944036" y="3973231"/>
          <a:ext cx="1439335" cy="40937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FINAL</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AMO</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6</xdr:col>
      <xdr:colOff>340658</xdr:colOff>
      <xdr:row>18</xdr:row>
      <xdr:rowOff>54533</xdr:rowOff>
    </xdr:from>
    <xdr:to>
      <xdr:col>8</xdr:col>
      <xdr:colOff>257782</xdr:colOff>
      <xdr:row>20</xdr:row>
      <xdr:rowOff>90378</xdr:rowOff>
    </xdr:to>
    <xdr:sp macro="[0]!'WorksheetToShow &quot;INI AMMONIAC&quot;'" textlink="" fLocksText="0">
      <xdr:nvSpPr>
        <xdr:cNvPr id="16" name="Rectangle : coins arrondis 15">
          <a:extLst>
            <a:ext uri="{FF2B5EF4-FFF2-40B4-BE49-F238E27FC236}">
              <a16:creationId xmlns:a16="http://schemas.microsoft.com/office/drawing/2014/main" id="{41B17EED-AD8B-4CD1-96B6-DA289866D7E5}"/>
            </a:ext>
          </a:extLst>
        </xdr:cNvPr>
        <xdr:cNvSpPr/>
      </xdr:nvSpPr>
      <xdr:spPr>
        <a:xfrm rot="20907996" flipH="1">
          <a:off x="4912658" y="3416298"/>
          <a:ext cx="1441124" cy="409374"/>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INI AMONIA</a:t>
          </a:r>
        </a:p>
      </xdr:txBody>
    </xdr:sp>
    <xdr:clientData fLocksWithSheet="0" fPrintsWithSheet="0"/>
  </xdr:twoCellAnchor>
  <xdr:twoCellAnchor editAs="absolute">
    <xdr:from>
      <xdr:col>6</xdr:col>
      <xdr:colOff>401170</xdr:colOff>
      <xdr:row>24</xdr:row>
      <xdr:rowOff>136711</xdr:rowOff>
    </xdr:from>
    <xdr:to>
      <xdr:col>8</xdr:col>
      <xdr:colOff>318294</xdr:colOff>
      <xdr:row>26</xdr:row>
      <xdr:rowOff>171504</xdr:rowOff>
    </xdr:to>
    <xdr:sp macro="[0]!'WorksheetToShow &quot;AMO Dsty&quot;'" textlink="" fLocksText="0">
      <xdr:nvSpPr>
        <xdr:cNvPr id="20" name="Rectangle : coins arrondis 19">
          <a:extLst>
            <a:ext uri="{FF2B5EF4-FFF2-40B4-BE49-F238E27FC236}">
              <a16:creationId xmlns:a16="http://schemas.microsoft.com/office/drawing/2014/main" id="{9AEB5DB2-EA45-490F-A48B-88B46688C298}"/>
            </a:ext>
          </a:extLst>
        </xdr:cNvPr>
        <xdr:cNvSpPr/>
      </xdr:nvSpPr>
      <xdr:spPr>
        <a:xfrm rot="21401006" flipH="1">
          <a:off x="4973170" y="4619064"/>
          <a:ext cx="1441124" cy="408322"/>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AMO</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Dsty</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oneCell">
    <xdr:from>
      <xdr:col>0</xdr:col>
      <xdr:colOff>304800</xdr:colOff>
      <xdr:row>9</xdr:row>
      <xdr:rowOff>22411</xdr:rowOff>
    </xdr:from>
    <xdr:to>
      <xdr:col>2</xdr:col>
      <xdr:colOff>0</xdr:colOff>
      <xdr:row>15</xdr:row>
      <xdr:rowOff>134470</xdr:rowOff>
    </xdr:to>
    <xdr:pic macro="[0]!ImageOn_Cliquer">
      <xdr:nvPicPr>
        <xdr:cNvPr id="17" name="ImageOn">
          <a:extLst>
            <a:ext uri="{FF2B5EF4-FFF2-40B4-BE49-F238E27FC236}">
              <a16:creationId xmlns:a16="http://schemas.microsoft.com/office/drawing/2014/main" id="{33B28737-2953-407A-919D-4522AF0895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1703293"/>
          <a:ext cx="1219200" cy="1234888"/>
        </a:xfrm>
        <a:prstGeom prst="rect">
          <a:avLst/>
        </a:prstGeom>
      </xdr:spPr>
    </xdr:pic>
    <xdr:clientData/>
  </xdr:twoCellAnchor>
  <xdr:twoCellAnchor editAs="oneCell">
    <xdr:from>
      <xdr:col>13</xdr:col>
      <xdr:colOff>1531471</xdr:colOff>
      <xdr:row>8</xdr:row>
      <xdr:rowOff>137084</xdr:rowOff>
    </xdr:from>
    <xdr:to>
      <xdr:col>15</xdr:col>
      <xdr:colOff>815789</xdr:colOff>
      <xdr:row>15</xdr:row>
      <xdr:rowOff>67234</xdr:rowOff>
    </xdr:to>
    <xdr:pic macro="[0]!ImageOff_Cliquer">
      <xdr:nvPicPr>
        <xdr:cNvPr id="18" name="ImageOff">
          <a:extLst>
            <a:ext uri="{FF2B5EF4-FFF2-40B4-BE49-F238E27FC236}">
              <a16:creationId xmlns:a16="http://schemas.microsoft.com/office/drawing/2014/main" id="{E75FBEEF-A9BC-4D49-AA56-113F757B4AC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437471" y="1631202"/>
          <a:ext cx="1219200" cy="12375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10</xdr:col>
      <xdr:colOff>389559</xdr:colOff>
      <xdr:row>5</xdr:row>
      <xdr:rowOff>139424</xdr:rowOff>
    </xdr:to>
    <xdr:pic macro="[0]!'WorksheetToShow &quot;Menu&quot;'">
      <xdr:nvPicPr>
        <xdr:cNvPr id="6" name="Graphique 5" descr="Kiosque">
          <a:extLst>
            <a:ext uri="{FF2B5EF4-FFF2-40B4-BE49-F238E27FC236}">
              <a16:creationId xmlns:a16="http://schemas.microsoft.com/office/drawing/2014/main" id="{709CA044-FE4A-488A-AD45-B70E5445A5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867650" y="19050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40</xdr:col>
      <xdr:colOff>0</xdr:colOff>
      <xdr:row>2</xdr:row>
      <xdr:rowOff>0</xdr:rowOff>
    </xdr:from>
    <xdr:to>
      <xdr:col>41</xdr:col>
      <xdr:colOff>307009</xdr:colOff>
      <xdr:row>7</xdr:row>
      <xdr:rowOff>25124</xdr:rowOff>
    </xdr:to>
    <xdr:pic macro="[0]!'WorksheetToShow &quot;Menu&quot;'">
      <xdr:nvPicPr>
        <xdr:cNvPr id="2" name="Graphique 1" descr="Kiosque">
          <a:extLst>
            <a:ext uri="{FF2B5EF4-FFF2-40B4-BE49-F238E27FC236}">
              <a16:creationId xmlns:a16="http://schemas.microsoft.com/office/drawing/2014/main" id="{044CACA8-4E35-4336-AAD8-952A0954E47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55100" y="45085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40</xdr:col>
      <xdr:colOff>0</xdr:colOff>
      <xdr:row>3</xdr:row>
      <xdr:rowOff>0</xdr:rowOff>
    </xdr:from>
    <xdr:to>
      <xdr:col>41</xdr:col>
      <xdr:colOff>307009</xdr:colOff>
      <xdr:row>8</xdr:row>
      <xdr:rowOff>158474</xdr:rowOff>
    </xdr:to>
    <xdr:pic macro="[0]!'WorksheetToShow &quot;Menu&quot;'">
      <xdr:nvPicPr>
        <xdr:cNvPr id="2" name="Graphique 1" descr="Kiosque">
          <a:extLst>
            <a:ext uri="{FF2B5EF4-FFF2-40B4-BE49-F238E27FC236}">
              <a16:creationId xmlns:a16="http://schemas.microsoft.com/office/drawing/2014/main" id="{167F4D45-C1DE-4BAC-93BC-04DAD9E275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45550" y="47625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0</xdr:colOff>
      <xdr:row>3</xdr:row>
      <xdr:rowOff>0</xdr:rowOff>
    </xdr:from>
    <xdr:to>
      <xdr:col>26</xdr:col>
      <xdr:colOff>273050</xdr:colOff>
      <xdr:row>8</xdr:row>
      <xdr:rowOff>69850</xdr:rowOff>
    </xdr:to>
    <xdr:pic macro="[0]!'WorksheetToShow &quot;Menu&quot;'">
      <xdr:nvPicPr>
        <xdr:cNvPr id="4" name="Graphique 3" descr="Kiosque">
          <a:extLst>
            <a:ext uri="{FF2B5EF4-FFF2-40B4-BE49-F238E27FC236}">
              <a16:creationId xmlns:a16="http://schemas.microsoft.com/office/drawing/2014/main" id="{34E2C4EB-882F-4DD0-AC86-1B2A82CBF56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99550" y="4762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lumMod val="65000"/>
            </a:schemeClr>
          </a:contourClr>
        </a:sp3d>
      </xdr:spPr>
    </xdr:pic>
    <xdr:clientData/>
  </xdr:twoCellAnchor>
  <xdr:twoCellAnchor editAs="oneCell">
    <xdr:from>
      <xdr:col>14</xdr:col>
      <xdr:colOff>57150</xdr:colOff>
      <xdr:row>12</xdr:row>
      <xdr:rowOff>31750</xdr:rowOff>
    </xdr:from>
    <xdr:to>
      <xdr:col>35</xdr:col>
      <xdr:colOff>146050</xdr:colOff>
      <xdr:row>60</xdr:row>
      <xdr:rowOff>44450</xdr:rowOff>
    </xdr:to>
    <xdr:pic>
      <xdr:nvPicPr>
        <xdr:cNvPr id="7" name="Image 6">
          <a:extLst>
            <a:ext uri="{FF2B5EF4-FFF2-40B4-BE49-F238E27FC236}">
              <a16:creationId xmlns:a16="http://schemas.microsoft.com/office/drawing/2014/main" id="{B4D06563-F0A8-4A76-A56C-1426F61A479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85200" y="2089150"/>
          <a:ext cx="7143750" cy="8851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0</xdr:colOff>
      <xdr:row>7</xdr:row>
      <xdr:rowOff>0</xdr:rowOff>
    </xdr:from>
    <xdr:to>
      <xdr:col>20</xdr:col>
      <xdr:colOff>342900</xdr:colOff>
      <xdr:row>12</xdr:row>
      <xdr:rowOff>57150</xdr:rowOff>
    </xdr:to>
    <xdr:pic macro="[0]!'WorksheetToShow &quot;Menu&quot;'">
      <xdr:nvPicPr>
        <xdr:cNvPr id="3" name="Graphique 2" descr="Kiosque">
          <a:extLst>
            <a:ext uri="{FF2B5EF4-FFF2-40B4-BE49-F238E27FC236}">
              <a16:creationId xmlns:a16="http://schemas.microsoft.com/office/drawing/2014/main" id="{A20CE72E-25C2-4A4B-B0D8-989F67919A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801350" y="10795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tx1"/>
          </a:contourClr>
        </a:sp3d>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381000</xdr:colOff>
      <xdr:row>54</xdr:row>
      <xdr:rowOff>0</xdr:rowOff>
    </xdr:from>
    <xdr:ext cx="38100" cy="0"/>
    <xdr:grpSp>
      <xdr:nvGrpSpPr>
        <xdr:cNvPr id="2" name="Shape 2">
          <a:extLst>
            <a:ext uri="{FF2B5EF4-FFF2-40B4-BE49-F238E27FC236}">
              <a16:creationId xmlns:a16="http://schemas.microsoft.com/office/drawing/2014/main" id="{E4ED6D31-2295-4311-A6D0-2C32B841D70C}"/>
            </a:ext>
          </a:extLst>
        </xdr:cNvPr>
        <xdr:cNvGrpSpPr/>
      </xdr:nvGrpSpPr>
      <xdr:grpSpPr>
        <a:xfrm>
          <a:off x="1333500" y="8515350"/>
          <a:ext cx="38100" cy="0"/>
          <a:chOff x="1333500" y="8515350"/>
          <a:chExt cx="38100" cy="0"/>
        </a:xfrm>
      </xdr:grpSpPr>
      <xdr:cxnSp macro="">
        <xdr:nvCxnSpPr>
          <xdr:cNvPr id="3" name="Shape 24">
            <a:extLst>
              <a:ext uri="{FF2B5EF4-FFF2-40B4-BE49-F238E27FC236}">
                <a16:creationId xmlns:a16="http://schemas.microsoft.com/office/drawing/2014/main" id="{7DE583AF-03F6-4BB5-9FD2-F1CCF95BB1C5}"/>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oneCellAnchor>
    <xdr:from>
      <xdr:col>1</xdr:col>
      <xdr:colOff>695325</xdr:colOff>
      <xdr:row>61</xdr:row>
      <xdr:rowOff>95250</xdr:rowOff>
    </xdr:from>
    <xdr:ext cx="38100" cy="209550"/>
    <xdr:grpSp>
      <xdr:nvGrpSpPr>
        <xdr:cNvPr id="20" name="Shape 2">
          <a:extLst>
            <a:ext uri="{FF2B5EF4-FFF2-40B4-BE49-F238E27FC236}">
              <a16:creationId xmlns:a16="http://schemas.microsoft.com/office/drawing/2014/main" id="{F4A75416-1B8D-4D8D-9952-DE59C42EA63E}"/>
            </a:ext>
          </a:extLst>
        </xdr:cNvPr>
        <xdr:cNvGrpSpPr/>
      </xdr:nvGrpSpPr>
      <xdr:grpSpPr>
        <a:xfrm>
          <a:off x="1647825" y="9721850"/>
          <a:ext cx="38100" cy="209550"/>
          <a:chOff x="5346000" y="3675225"/>
          <a:chExt cx="0" cy="209550"/>
        </a:xfrm>
      </xdr:grpSpPr>
      <xdr:cxnSp macro="">
        <xdr:nvCxnSpPr>
          <xdr:cNvPr id="21" name="Shape 3">
            <a:extLst>
              <a:ext uri="{FF2B5EF4-FFF2-40B4-BE49-F238E27FC236}">
                <a16:creationId xmlns:a16="http://schemas.microsoft.com/office/drawing/2014/main" id="{E587A15B-FA54-4697-9782-077B92F702A1}"/>
              </a:ext>
            </a:extLst>
          </xdr:cNvPr>
          <xdr:cNvCxnSpPr/>
        </xdr:nvCxnSpPr>
        <xdr:spPr>
          <a:xfrm>
            <a:off x="5346000" y="3675225"/>
            <a:ext cx="0" cy="20955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oneCellAnchor>
    <xdr:from>
      <xdr:col>1</xdr:col>
      <xdr:colOff>381000</xdr:colOff>
      <xdr:row>54</xdr:row>
      <xdr:rowOff>0</xdr:rowOff>
    </xdr:from>
    <xdr:ext cx="38100" cy="0"/>
    <xdr:grpSp>
      <xdr:nvGrpSpPr>
        <xdr:cNvPr id="25" name="Shape 2">
          <a:extLst>
            <a:ext uri="{FF2B5EF4-FFF2-40B4-BE49-F238E27FC236}">
              <a16:creationId xmlns:a16="http://schemas.microsoft.com/office/drawing/2014/main" id="{3010773C-C53B-41C9-81F7-EA38EE4594E0}"/>
            </a:ext>
          </a:extLst>
        </xdr:cNvPr>
        <xdr:cNvGrpSpPr/>
      </xdr:nvGrpSpPr>
      <xdr:grpSpPr>
        <a:xfrm>
          <a:off x="1333500" y="8515350"/>
          <a:ext cx="38100" cy="0"/>
          <a:chOff x="1333500" y="8515350"/>
          <a:chExt cx="38100" cy="0"/>
        </a:xfrm>
      </xdr:grpSpPr>
      <xdr:cxnSp macro="">
        <xdr:nvCxnSpPr>
          <xdr:cNvPr id="26" name="Shape 24">
            <a:extLst>
              <a:ext uri="{FF2B5EF4-FFF2-40B4-BE49-F238E27FC236}">
                <a16:creationId xmlns:a16="http://schemas.microsoft.com/office/drawing/2014/main" id="{B03B4DAE-0F84-4CD5-B447-2D8C5DAF2B38}"/>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11</xdr:col>
      <xdr:colOff>527050</xdr:colOff>
      <xdr:row>0</xdr:row>
      <xdr:rowOff>63500</xdr:rowOff>
    </xdr:from>
    <xdr:to>
      <xdr:col>13</xdr:col>
      <xdr:colOff>44450</xdr:colOff>
      <xdr:row>6</xdr:row>
      <xdr:rowOff>120650</xdr:rowOff>
    </xdr:to>
    <xdr:pic macro="[0]!'WorksheetToShow &quot;Menu&quot;'">
      <xdr:nvPicPr>
        <xdr:cNvPr id="27" name="Graphique 26" descr="Kiosque">
          <a:extLst>
            <a:ext uri="{FF2B5EF4-FFF2-40B4-BE49-F238E27FC236}">
              <a16:creationId xmlns:a16="http://schemas.microsoft.com/office/drawing/2014/main" id="{79A57F49-BEDB-4827-BE70-FA3FD715348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34450" y="635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twoCellAnchor editAs="oneCell">
    <xdr:from>
      <xdr:col>14</xdr:col>
      <xdr:colOff>0</xdr:colOff>
      <xdr:row>2</xdr:row>
      <xdr:rowOff>0</xdr:rowOff>
    </xdr:from>
    <xdr:to>
      <xdr:col>15</xdr:col>
      <xdr:colOff>282863</xdr:colOff>
      <xdr:row>8</xdr:row>
      <xdr:rowOff>47913</xdr:rowOff>
    </xdr:to>
    <xdr:pic macro="[0]!Image27_Cliquer">
      <xdr:nvPicPr>
        <xdr:cNvPr id="28" name="Image 27">
          <a:extLst>
            <a:ext uri="{FF2B5EF4-FFF2-40B4-BE49-F238E27FC236}">
              <a16:creationId xmlns:a16="http://schemas.microsoft.com/office/drawing/2014/main" id="{315C499B-EF3D-488C-B23C-DB98BF68952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502900" y="279400"/>
          <a:ext cx="981363" cy="981363"/>
        </a:xfrm>
        <a:prstGeom prst="rect">
          <a:avLst/>
        </a:prstGeom>
      </xdr:spPr>
    </xdr:pic>
    <xdr:clientData fLocksWithSheet="0"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11</xdr:col>
      <xdr:colOff>476250</xdr:colOff>
      <xdr:row>1</xdr:row>
      <xdr:rowOff>19050</xdr:rowOff>
    </xdr:from>
    <xdr:to>
      <xdr:col>12</xdr:col>
      <xdr:colOff>692150</xdr:colOff>
      <xdr:row>7</xdr:row>
      <xdr:rowOff>19050</xdr:rowOff>
    </xdr:to>
    <xdr:pic macro="[0]!'WorksheetToShow &quot;Menu&quot;'">
      <xdr:nvPicPr>
        <xdr:cNvPr id="3" name="Graphique 2" descr="Kiosque">
          <a:extLst>
            <a:ext uri="{FF2B5EF4-FFF2-40B4-BE49-F238E27FC236}">
              <a16:creationId xmlns:a16="http://schemas.microsoft.com/office/drawing/2014/main" id="{FF218173-D19D-4ECD-967E-6C0A07A083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8250" y="1587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twoCellAnchor editAs="oneCell">
    <xdr:from>
      <xdr:col>14</xdr:col>
      <xdr:colOff>0</xdr:colOff>
      <xdr:row>2</xdr:row>
      <xdr:rowOff>0</xdr:rowOff>
    </xdr:from>
    <xdr:to>
      <xdr:col>15</xdr:col>
      <xdr:colOff>282863</xdr:colOff>
      <xdr:row>8</xdr:row>
      <xdr:rowOff>47913</xdr:rowOff>
    </xdr:to>
    <xdr:pic macro="[0]!Image17_Cliquer">
      <xdr:nvPicPr>
        <xdr:cNvPr id="18" name="Image 17">
          <a:extLst>
            <a:ext uri="{FF2B5EF4-FFF2-40B4-BE49-F238E27FC236}">
              <a16:creationId xmlns:a16="http://schemas.microsoft.com/office/drawing/2014/main" id="{2CF92019-91CF-475B-9DC3-ECB948E6ED7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7500" y="279400"/>
          <a:ext cx="981363" cy="981363"/>
        </a:xfrm>
        <a:prstGeom prst="rect">
          <a:avLst/>
        </a:prstGeom>
      </xdr:spPr>
    </xdr:pic>
    <xdr:clientData fLocksWithSheet="0" fPrintsWithSheet="0"/>
  </xdr:twoCellAnchor>
</xdr:wsDr>
</file>

<file path=xl/drawings/drawing10.xml><?xml version="1.0" encoding="utf-8"?>
<xdr:wsDr xmlns:xdr="http://schemas.openxmlformats.org/drawingml/2006/spreadsheetDrawing" xmlns:a="http://schemas.openxmlformats.org/drawingml/2006/main">
  <xdr:oneCellAnchor>
    <xdr:from>
      <xdr:col>0</xdr:col>
      <xdr:colOff>104775</xdr:colOff>
      <xdr:row>9</xdr:row>
      <xdr:rowOff>28575</xdr:rowOff>
    </xdr:from>
    <xdr:ext cx="95250" cy="104775"/>
    <xdr:sp macro="" textlink="">
      <xdr:nvSpPr>
        <xdr:cNvPr id="6" name="Shape 36">
          <a:extLst>
            <a:ext uri="{FF2B5EF4-FFF2-40B4-BE49-F238E27FC236}">
              <a16:creationId xmlns:a16="http://schemas.microsoft.com/office/drawing/2014/main" id="{7FDCA04A-C7CF-41CD-85BA-2ABBAAC90A51}"/>
            </a:ext>
          </a:extLst>
        </xdr:cNvPr>
        <xdr:cNvSpPr/>
      </xdr:nvSpPr>
      <xdr:spPr>
        <a:xfrm>
          <a:off x="104775" y="1628775"/>
          <a:ext cx="95250" cy="10477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647700</xdr:colOff>
      <xdr:row>9</xdr:row>
      <xdr:rowOff>28575</xdr:rowOff>
    </xdr:from>
    <xdr:ext cx="85725" cy="104775"/>
    <xdr:sp macro="" textlink="">
      <xdr:nvSpPr>
        <xdr:cNvPr id="7" name="Shape 33">
          <a:extLst>
            <a:ext uri="{FF2B5EF4-FFF2-40B4-BE49-F238E27FC236}">
              <a16:creationId xmlns:a16="http://schemas.microsoft.com/office/drawing/2014/main" id="{C7BE6381-2927-4D95-9B11-C83A34923F91}"/>
            </a:ext>
          </a:extLst>
        </xdr:cNvPr>
        <xdr:cNvSpPr/>
      </xdr:nvSpPr>
      <xdr:spPr>
        <a:xfrm>
          <a:off x="1676400" y="1628775"/>
          <a:ext cx="85725"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4</xdr:col>
      <xdr:colOff>581025</xdr:colOff>
      <xdr:row>9</xdr:row>
      <xdr:rowOff>28575</xdr:rowOff>
    </xdr:from>
    <xdr:ext cx="85725" cy="104775"/>
    <xdr:sp macro="" textlink="">
      <xdr:nvSpPr>
        <xdr:cNvPr id="8" name="Shape 48">
          <a:extLst>
            <a:ext uri="{FF2B5EF4-FFF2-40B4-BE49-F238E27FC236}">
              <a16:creationId xmlns:a16="http://schemas.microsoft.com/office/drawing/2014/main" id="{43732743-C633-4AB2-A3A2-65D7D3E8CC98}"/>
            </a:ext>
          </a:extLst>
        </xdr:cNvPr>
        <xdr:cNvSpPr/>
      </xdr:nvSpPr>
      <xdr:spPr>
        <a:xfrm>
          <a:off x="3159125" y="1628775"/>
          <a:ext cx="85725"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10</xdr:row>
      <xdr:rowOff>28575</xdr:rowOff>
    </xdr:from>
    <xdr:ext cx="95250" cy="104775"/>
    <xdr:sp macro="" textlink="">
      <xdr:nvSpPr>
        <xdr:cNvPr id="9" name="Shape 38">
          <a:extLst>
            <a:ext uri="{FF2B5EF4-FFF2-40B4-BE49-F238E27FC236}">
              <a16:creationId xmlns:a16="http://schemas.microsoft.com/office/drawing/2014/main" id="{021C3A1F-4F16-4C3E-807D-0CF69038544F}"/>
            </a:ext>
          </a:extLst>
        </xdr:cNvPr>
        <xdr:cNvSpPr/>
      </xdr:nvSpPr>
      <xdr:spPr>
        <a:xfrm>
          <a:off x="104775" y="1800225"/>
          <a:ext cx="95250"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647700</xdr:colOff>
      <xdr:row>10</xdr:row>
      <xdr:rowOff>28575</xdr:rowOff>
    </xdr:from>
    <xdr:ext cx="85725" cy="104775"/>
    <xdr:sp macro="" textlink="">
      <xdr:nvSpPr>
        <xdr:cNvPr id="10" name="Shape 33">
          <a:extLst>
            <a:ext uri="{FF2B5EF4-FFF2-40B4-BE49-F238E27FC236}">
              <a16:creationId xmlns:a16="http://schemas.microsoft.com/office/drawing/2014/main" id="{ED524BB7-1F44-421A-B82F-2DF18E81C5DA}"/>
            </a:ext>
          </a:extLst>
        </xdr:cNvPr>
        <xdr:cNvSpPr/>
      </xdr:nvSpPr>
      <xdr:spPr>
        <a:xfrm>
          <a:off x="1676400" y="1800225"/>
          <a:ext cx="85725"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12</xdr:row>
      <xdr:rowOff>28575</xdr:rowOff>
    </xdr:from>
    <xdr:ext cx="95250" cy="104775"/>
    <xdr:sp macro="" textlink="">
      <xdr:nvSpPr>
        <xdr:cNvPr id="11" name="Shape 37">
          <a:extLst>
            <a:ext uri="{FF2B5EF4-FFF2-40B4-BE49-F238E27FC236}">
              <a16:creationId xmlns:a16="http://schemas.microsoft.com/office/drawing/2014/main" id="{5DA534F9-8341-417B-A0F5-7AD548C24685}"/>
            </a:ext>
          </a:extLst>
        </xdr:cNvPr>
        <xdr:cNvSpPr/>
      </xdr:nvSpPr>
      <xdr:spPr>
        <a:xfrm>
          <a:off x="104775" y="2143125"/>
          <a:ext cx="95250"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14</xdr:row>
      <xdr:rowOff>28575</xdr:rowOff>
    </xdr:from>
    <xdr:ext cx="95250" cy="104775"/>
    <xdr:sp macro="" textlink="">
      <xdr:nvSpPr>
        <xdr:cNvPr id="12" name="Shape 38">
          <a:extLst>
            <a:ext uri="{FF2B5EF4-FFF2-40B4-BE49-F238E27FC236}">
              <a16:creationId xmlns:a16="http://schemas.microsoft.com/office/drawing/2014/main" id="{CD16A97B-8DEF-4AED-A0EE-ADDCBB59D659}"/>
            </a:ext>
          </a:extLst>
        </xdr:cNvPr>
        <xdr:cNvSpPr/>
      </xdr:nvSpPr>
      <xdr:spPr>
        <a:xfrm>
          <a:off x="104775" y="2486025"/>
          <a:ext cx="95250"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twoCellAnchor editAs="oneCell">
    <xdr:from>
      <xdr:col>13</xdr:col>
      <xdr:colOff>641350</xdr:colOff>
      <xdr:row>1</xdr:row>
      <xdr:rowOff>127000</xdr:rowOff>
    </xdr:from>
    <xdr:to>
      <xdr:col>15</xdr:col>
      <xdr:colOff>158750</xdr:colOff>
      <xdr:row>6</xdr:row>
      <xdr:rowOff>88900</xdr:rowOff>
    </xdr:to>
    <xdr:pic macro="[0]!'WorksheetToShow &quot;Menu&quot;'">
      <xdr:nvPicPr>
        <xdr:cNvPr id="15" name="Graphique 14" descr="Kiosque">
          <a:extLst>
            <a:ext uri="{FF2B5EF4-FFF2-40B4-BE49-F238E27FC236}">
              <a16:creationId xmlns:a16="http://schemas.microsoft.com/office/drawing/2014/main" id="{225F25C9-F172-4280-8EC1-087103C7FCF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1900" y="2857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1.xml><?xml version="1.0" encoding="utf-8"?>
<xdr:wsDr xmlns:xdr="http://schemas.openxmlformats.org/drawingml/2006/spreadsheetDrawing" xmlns:a="http://schemas.openxmlformats.org/drawingml/2006/main">
  <xdr:oneCellAnchor>
    <xdr:from>
      <xdr:col>3</xdr:col>
      <xdr:colOff>419100</xdr:colOff>
      <xdr:row>54</xdr:row>
      <xdr:rowOff>0</xdr:rowOff>
    </xdr:from>
    <xdr:ext cx="38100" cy="0"/>
    <xdr:grpSp>
      <xdr:nvGrpSpPr>
        <xdr:cNvPr id="2" name="Shape 2">
          <a:extLst>
            <a:ext uri="{FF2B5EF4-FFF2-40B4-BE49-F238E27FC236}">
              <a16:creationId xmlns:a16="http://schemas.microsoft.com/office/drawing/2014/main" id="{E6F5381D-08AB-4952-8F3E-CC2F213DD3D9}"/>
            </a:ext>
          </a:extLst>
        </xdr:cNvPr>
        <xdr:cNvGrpSpPr/>
      </xdr:nvGrpSpPr>
      <xdr:grpSpPr>
        <a:xfrm>
          <a:off x="1838187" y="8691217"/>
          <a:ext cx="38100" cy="0"/>
          <a:chOff x="1841500" y="8616950"/>
          <a:chExt cx="38100" cy="0"/>
        </a:xfrm>
      </xdr:grpSpPr>
      <xdr:cxnSp macro="">
        <xdr:nvCxnSpPr>
          <xdr:cNvPr id="3" name="Shape 5">
            <a:extLst>
              <a:ext uri="{FF2B5EF4-FFF2-40B4-BE49-F238E27FC236}">
                <a16:creationId xmlns:a16="http://schemas.microsoft.com/office/drawing/2014/main" id="{15BBAFD9-CF9E-4237-BFF1-697BDFEB6C86}"/>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12</xdr:col>
      <xdr:colOff>12700</xdr:colOff>
      <xdr:row>1</xdr:row>
      <xdr:rowOff>139700</xdr:rowOff>
    </xdr:from>
    <xdr:to>
      <xdr:col>13</xdr:col>
      <xdr:colOff>139700</xdr:colOff>
      <xdr:row>7</xdr:row>
      <xdr:rowOff>133350</xdr:rowOff>
    </xdr:to>
    <xdr:pic macro="[0]!'WorksheetToShow &quot;Menu&quot;'">
      <xdr:nvPicPr>
        <xdr:cNvPr id="16" name="Graphique 15" descr="Kiosque">
          <a:extLst>
            <a:ext uri="{FF2B5EF4-FFF2-40B4-BE49-F238E27FC236}">
              <a16:creationId xmlns:a16="http://schemas.microsoft.com/office/drawing/2014/main" id="{66730F4A-0A2C-46D6-90F5-A29FD21E4C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51600" y="3746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twoCellAnchor editAs="oneCell">
    <xdr:from>
      <xdr:col>22</xdr:col>
      <xdr:colOff>0</xdr:colOff>
      <xdr:row>1</xdr:row>
      <xdr:rowOff>154608</xdr:rowOff>
    </xdr:from>
    <xdr:to>
      <xdr:col>23</xdr:col>
      <xdr:colOff>280102</xdr:colOff>
      <xdr:row>8</xdr:row>
      <xdr:rowOff>4015</xdr:rowOff>
    </xdr:to>
    <xdr:pic macro="[0]!Image16_Cliquer">
      <xdr:nvPicPr>
        <xdr:cNvPr id="18" name="Image 16">
          <a:extLst>
            <a:ext uri="{FF2B5EF4-FFF2-40B4-BE49-F238E27FC236}">
              <a16:creationId xmlns:a16="http://schemas.microsoft.com/office/drawing/2014/main" id="{6BD5ADA1-E680-40E0-B55F-711056EB046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343348" y="392043"/>
          <a:ext cx="981363" cy="981363"/>
        </a:xfrm>
        <a:prstGeom prst="rect">
          <a:avLst/>
        </a:prstGeom>
      </xdr:spPr>
    </xdr:pic>
    <xdr:clientData fLocksWithSheet="0" fPrintsWithSheet="0"/>
  </xdr:twoCellAnchor>
</xdr:wsDr>
</file>

<file path=xl/drawings/drawing12.xml><?xml version="1.0" encoding="utf-8"?>
<xdr:wsDr xmlns:xdr="http://schemas.openxmlformats.org/drawingml/2006/spreadsheetDrawing" xmlns:a="http://schemas.openxmlformats.org/drawingml/2006/main">
  <xdr:oneCellAnchor>
    <xdr:from>
      <xdr:col>3</xdr:col>
      <xdr:colOff>419100</xdr:colOff>
      <xdr:row>54</xdr:row>
      <xdr:rowOff>0</xdr:rowOff>
    </xdr:from>
    <xdr:ext cx="38100" cy="0"/>
    <xdr:grpSp>
      <xdr:nvGrpSpPr>
        <xdr:cNvPr id="2" name="Shape 2">
          <a:extLst>
            <a:ext uri="{FF2B5EF4-FFF2-40B4-BE49-F238E27FC236}">
              <a16:creationId xmlns:a16="http://schemas.microsoft.com/office/drawing/2014/main" id="{28E7F95E-6307-46BA-B264-87671C4F4DF6}"/>
            </a:ext>
          </a:extLst>
        </xdr:cNvPr>
        <xdr:cNvGrpSpPr/>
      </xdr:nvGrpSpPr>
      <xdr:grpSpPr>
        <a:xfrm>
          <a:off x="1841500" y="8616950"/>
          <a:ext cx="38100" cy="0"/>
          <a:chOff x="1841500" y="8616950"/>
          <a:chExt cx="38100" cy="0"/>
        </a:xfrm>
      </xdr:grpSpPr>
      <xdr:cxnSp macro="">
        <xdr:nvCxnSpPr>
          <xdr:cNvPr id="3" name="Shape 5">
            <a:extLst>
              <a:ext uri="{FF2B5EF4-FFF2-40B4-BE49-F238E27FC236}">
                <a16:creationId xmlns:a16="http://schemas.microsoft.com/office/drawing/2014/main" id="{C8262135-0BEF-42EA-A030-18011CAD78A1}"/>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18</xdr:col>
      <xdr:colOff>88900</xdr:colOff>
      <xdr:row>0</xdr:row>
      <xdr:rowOff>33867</xdr:rowOff>
    </xdr:from>
    <xdr:to>
      <xdr:col>19</xdr:col>
      <xdr:colOff>421217</xdr:colOff>
      <xdr:row>6</xdr:row>
      <xdr:rowOff>42334</xdr:rowOff>
    </xdr:to>
    <xdr:pic macro="[0]!'WorksheetToShow &quot;Menu&quot;'">
      <xdr:nvPicPr>
        <xdr:cNvPr id="11" name="Graphique 10" descr="Kiosque">
          <a:extLst>
            <a:ext uri="{FF2B5EF4-FFF2-40B4-BE49-F238E27FC236}">
              <a16:creationId xmlns:a16="http://schemas.microsoft.com/office/drawing/2014/main" id="{52877C59-0D55-4310-B722-99D41490D6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03950" y="33867"/>
          <a:ext cx="1030817" cy="1005417"/>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twoCellAnchor editAs="oneCell">
    <xdr:from>
      <xdr:col>19</xdr:col>
      <xdr:colOff>590550</xdr:colOff>
      <xdr:row>2</xdr:row>
      <xdr:rowOff>2207</xdr:rowOff>
    </xdr:from>
    <xdr:to>
      <xdr:col>21</xdr:col>
      <xdr:colOff>412750</xdr:colOff>
      <xdr:row>9</xdr:row>
      <xdr:rowOff>95250</xdr:rowOff>
    </xdr:to>
    <xdr:graphicFrame macro="[0]!Image61_Cliquer">
      <xdr:nvGraphicFramePr>
        <xdr:cNvPr id="13" name="Diagramme 12">
          <a:extLst>
            <a:ext uri="{FF2B5EF4-FFF2-40B4-BE49-F238E27FC236}">
              <a16:creationId xmlns:a16="http://schemas.microsoft.com/office/drawing/2014/main" id="{3F70C995-21A6-4F4A-9C6F-2E1EE1D1400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fLocksWithSheet="0" fPrintsWithSheet="0"/>
  </xdr:twoCellAnchor>
</xdr:wsDr>
</file>

<file path=xl/drawings/drawing13.xml><?xml version="1.0" encoding="utf-8"?>
<xdr:wsDr xmlns:xdr="http://schemas.openxmlformats.org/drawingml/2006/spreadsheetDrawing" xmlns:a="http://schemas.openxmlformats.org/drawingml/2006/main">
  <xdr:twoCellAnchor>
    <xdr:from>
      <xdr:col>5</xdr:col>
      <xdr:colOff>255988</xdr:colOff>
      <xdr:row>8</xdr:row>
      <xdr:rowOff>146050</xdr:rowOff>
    </xdr:from>
    <xdr:to>
      <xdr:col>17</xdr:col>
      <xdr:colOff>153939</xdr:colOff>
      <xdr:row>10</xdr:row>
      <xdr:rowOff>0</xdr:rowOff>
    </xdr:to>
    <xdr:sp macro="" textlink="">
      <xdr:nvSpPr>
        <xdr:cNvPr id="4" name="AutoShape 6">
          <a:extLst>
            <a:ext uri="{FF2B5EF4-FFF2-40B4-BE49-F238E27FC236}">
              <a16:creationId xmlns:a16="http://schemas.microsoft.com/office/drawing/2014/main" id="{00000000-0008-0000-0200-000004000000}"/>
            </a:ext>
          </a:extLst>
        </xdr:cNvPr>
        <xdr:cNvSpPr>
          <a:spLocks noChangeArrowheads="1"/>
        </xdr:cNvSpPr>
      </xdr:nvSpPr>
      <xdr:spPr bwMode="auto">
        <a:xfrm>
          <a:off x="1686342" y="1531505"/>
          <a:ext cx="4298052" cy="283697"/>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editAs="oneCell">
    <xdr:from>
      <xdr:col>27</xdr:col>
      <xdr:colOff>160354</xdr:colOff>
      <xdr:row>2</xdr:row>
      <xdr:rowOff>115453</xdr:rowOff>
    </xdr:from>
    <xdr:to>
      <xdr:col>28</xdr:col>
      <xdr:colOff>339949</xdr:colOff>
      <xdr:row>8</xdr:row>
      <xdr:rowOff>6412</xdr:rowOff>
    </xdr:to>
    <xdr:pic macro="[0]!Image13_Cliquer">
      <xdr:nvPicPr>
        <xdr:cNvPr id="14" name="Image 13">
          <a:extLst>
            <a:ext uri="{FF2B5EF4-FFF2-40B4-BE49-F238E27FC236}">
              <a16:creationId xmlns:a16="http://schemas.microsoft.com/office/drawing/2014/main" id="{87FD4BB3-08B6-4ABE-8D37-1E06D09012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61162" y="410504"/>
          <a:ext cx="981363" cy="981363"/>
        </a:xfrm>
        <a:prstGeom prst="rect">
          <a:avLst/>
        </a:prstGeom>
      </xdr:spPr>
    </xdr:pic>
    <xdr:clientData fLocksWithSheet="0" fPrintsWithSheet="0"/>
  </xdr:twoCellAnchor>
  <xdr:twoCellAnchor editAs="oneCell">
    <xdr:from>
      <xdr:col>25</xdr:col>
      <xdr:colOff>173181</xdr:colOff>
      <xdr:row>1</xdr:row>
      <xdr:rowOff>160352</xdr:rowOff>
    </xdr:from>
    <xdr:to>
      <xdr:col>26</xdr:col>
      <xdr:colOff>760460</xdr:colOff>
      <xdr:row>6</xdr:row>
      <xdr:rowOff>176773</xdr:rowOff>
    </xdr:to>
    <xdr:pic macro="[0]!'WorksheetToShow &quot;Menu&quot;'">
      <xdr:nvPicPr>
        <xdr:cNvPr id="9" name="Graphique 8" descr="Kiosque">
          <a:extLst>
            <a:ext uri="{FF2B5EF4-FFF2-40B4-BE49-F238E27FC236}">
              <a16:creationId xmlns:a16="http://schemas.microsoft.com/office/drawing/2014/main" id="{DB2DA002-1D48-4D41-A5EA-E51EB81886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845100" y="275807"/>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12700</xdr:colOff>
      <xdr:row>8</xdr:row>
      <xdr:rowOff>152400</xdr:rowOff>
    </xdr:from>
    <xdr:to>
      <xdr:col>12</xdr:col>
      <xdr:colOff>387350</xdr:colOff>
      <xdr:row>10</xdr:row>
      <xdr:rowOff>12700</xdr:rowOff>
    </xdr:to>
    <xdr:sp macro=""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1612900" y="1600200"/>
          <a:ext cx="3797300" cy="2794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txBody>
        <a:bodyPr/>
        <a:lstStyle/>
        <a:p>
          <a:endParaRPr lang="fr-FR"/>
        </a:p>
      </xdr:txBody>
    </xdr:sp>
    <xdr:clientData/>
  </xdr:twoCellAnchor>
  <xdr:twoCellAnchor editAs="absolute">
    <xdr:from>
      <xdr:col>22</xdr:col>
      <xdr:colOff>171450</xdr:colOff>
      <xdr:row>3</xdr:row>
      <xdr:rowOff>25400</xdr:rowOff>
    </xdr:from>
    <xdr:to>
      <xdr:col>24</xdr:col>
      <xdr:colOff>355600</xdr:colOff>
      <xdr:row>8</xdr:row>
      <xdr:rowOff>114300</xdr:rowOff>
    </xdr:to>
    <xdr:pic macro="[0]!Image10_Cliquer">
      <xdr:nvPicPr>
        <xdr:cNvPr id="11" name="Image 10">
          <a:extLst>
            <a:ext uri="{FF2B5EF4-FFF2-40B4-BE49-F238E27FC236}">
              <a16:creationId xmlns:a16="http://schemas.microsoft.com/office/drawing/2014/main" id="{98DBE3AA-3EC8-434F-8B7B-168BB2ECFB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47200" y="596900"/>
          <a:ext cx="984250" cy="984250"/>
        </a:xfrm>
        <a:prstGeom prst="rect">
          <a:avLst/>
        </a:prstGeom>
      </xdr:spPr>
    </xdr:pic>
    <xdr:clientData fLocksWithSheet="0" fPrintsWithSheet="0"/>
  </xdr:twoCellAnchor>
  <xdr:twoCellAnchor editAs="oneCell">
    <xdr:from>
      <xdr:col>19</xdr:col>
      <xdr:colOff>304800</xdr:colOff>
      <xdr:row>2</xdr:row>
      <xdr:rowOff>139700</xdr:rowOff>
    </xdr:from>
    <xdr:to>
      <xdr:col>22</xdr:col>
      <xdr:colOff>19050</xdr:colOff>
      <xdr:row>7</xdr:row>
      <xdr:rowOff>101600</xdr:rowOff>
    </xdr:to>
    <xdr:pic macro="[0]!'WorksheetToShow &quot;Menu&quot;'">
      <xdr:nvPicPr>
        <xdr:cNvPr id="8" name="Graphique 7" descr="Kiosque">
          <a:extLst>
            <a:ext uri="{FF2B5EF4-FFF2-40B4-BE49-F238E27FC236}">
              <a16:creationId xmlns:a16="http://schemas.microsoft.com/office/drawing/2014/main" id="{98D7B9B0-3840-40CF-9400-8600FB5E61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280400" y="5207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88900</xdr:colOff>
      <xdr:row>9</xdr:row>
      <xdr:rowOff>0</xdr:rowOff>
    </xdr:from>
    <xdr:to>
      <xdr:col>16</xdr:col>
      <xdr:colOff>139700</xdr:colOff>
      <xdr:row>10</xdr:row>
      <xdr:rowOff>6350</xdr:rowOff>
    </xdr:to>
    <xdr:sp macro="" textlink="">
      <xdr:nvSpPr>
        <xdr:cNvPr id="3" name="AutoShape 14">
          <a:extLst>
            <a:ext uri="{FF2B5EF4-FFF2-40B4-BE49-F238E27FC236}">
              <a16:creationId xmlns:a16="http://schemas.microsoft.com/office/drawing/2014/main" id="{00000000-0008-0000-0400-000003000000}"/>
            </a:ext>
          </a:extLst>
        </xdr:cNvPr>
        <xdr:cNvSpPr>
          <a:spLocks noChangeArrowheads="1"/>
        </xdr:cNvSpPr>
      </xdr:nvSpPr>
      <xdr:spPr bwMode="auto">
        <a:xfrm>
          <a:off x="2006600" y="1485900"/>
          <a:ext cx="3390900" cy="2540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xdr:from>
      <xdr:col>6</xdr:col>
      <xdr:colOff>88900</xdr:colOff>
      <xdr:row>9</xdr:row>
      <xdr:rowOff>0</xdr:rowOff>
    </xdr:from>
    <xdr:to>
      <xdr:col>16</xdr:col>
      <xdr:colOff>139700</xdr:colOff>
      <xdr:row>10</xdr:row>
      <xdr:rowOff>6350</xdr:rowOff>
    </xdr:to>
    <xdr:sp macro="" textlink="">
      <xdr:nvSpPr>
        <xdr:cNvPr id="7" name="AutoShape 14">
          <a:extLst>
            <a:ext uri="{FF2B5EF4-FFF2-40B4-BE49-F238E27FC236}">
              <a16:creationId xmlns:a16="http://schemas.microsoft.com/office/drawing/2014/main" id="{00000000-0008-0000-0400-000007000000}"/>
            </a:ext>
          </a:extLst>
        </xdr:cNvPr>
        <xdr:cNvSpPr>
          <a:spLocks noChangeArrowheads="1"/>
        </xdr:cNvSpPr>
      </xdr:nvSpPr>
      <xdr:spPr bwMode="auto">
        <a:xfrm>
          <a:off x="2006600" y="1485900"/>
          <a:ext cx="3390900" cy="2540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editAs="oneCell">
    <xdr:from>
      <xdr:col>29</xdr:col>
      <xdr:colOff>260350</xdr:colOff>
      <xdr:row>3</xdr:row>
      <xdr:rowOff>44450</xdr:rowOff>
    </xdr:from>
    <xdr:to>
      <xdr:col>32</xdr:col>
      <xdr:colOff>228600</xdr:colOff>
      <xdr:row>8</xdr:row>
      <xdr:rowOff>88900</xdr:rowOff>
    </xdr:to>
    <xdr:pic macro="[0]!Image12_Cliquer">
      <xdr:nvPicPr>
        <xdr:cNvPr id="13" name="Image 12">
          <a:extLst>
            <a:ext uri="{FF2B5EF4-FFF2-40B4-BE49-F238E27FC236}">
              <a16:creationId xmlns:a16="http://schemas.microsoft.com/office/drawing/2014/main" id="{50292C08-F0D7-4D2D-8658-D5AB7A1CB6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759950" y="596900"/>
          <a:ext cx="901700" cy="901700"/>
        </a:xfrm>
        <a:prstGeom prst="rect">
          <a:avLst/>
        </a:prstGeom>
      </xdr:spPr>
    </xdr:pic>
    <xdr:clientData fLocksWithSheet="0" fPrintsWithSheet="0"/>
  </xdr:twoCellAnchor>
  <xdr:twoCellAnchor editAs="oneCell">
    <xdr:from>
      <xdr:col>26</xdr:col>
      <xdr:colOff>112059</xdr:colOff>
      <xdr:row>3</xdr:row>
      <xdr:rowOff>104588</xdr:rowOff>
    </xdr:from>
    <xdr:to>
      <xdr:col>29</xdr:col>
      <xdr:colOff>85165</xdr:colOff>
      <xdr:row>9</xdr:row>
      <xdr:rowOff>10458</xdr:rowOff>
    </xdr:to>
    <xdr:pic macro="[0]!'WorksheetToShow &quot;Menu&quot;'">
      <xdr:nvPicPr>
        <xdr:cNvPr id="10" name="Graphique 9" descr="Kiosque">
          <a:extLst>
            <a:ext uri="{FF2B5EF4-FFF2-40B4-BE49-F238E27FC236}">
              <a16:creationId xmlns:a16="http://schemas.microsoft.com/office/drawing/2014/main" id="{F6C153B1-6125-4A89-9B49-4AE4598508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673353" y="664882"/>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icham_garroum/Documents/OCP/JORF%20LASFAR/MT%20CLIPPER%20ORI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icham_garroum/Desktop/VBAfiles/OGC/OGC_TOOL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icham_garroum/Desktop/VBAfiles/OGC/CALCUL%20BRUT%20(NAVIRE).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hicham_garroum/AppData/Roaming/Microsoft/AddIns/T54.xla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Startup" Target="tables.xla"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hicham_garroum/Desktop/VBAfiles/vb/DS%20SANS%20MOT%20DE%20PAS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ing"/>
      <sheetName val="Calculation INITIAL"/>
      <sheetName val="Calculation FINAL"/>
      <sheetName val="Density table"/>
      <sheetName val="Thermal correction"/>
      <sheetName val="Density"/>
    </sheetNames>
    <sheetDataSet>
      <sheetData sheetId="0" refreshError="1"/>
      <sheetData sheetId="1">
        <row r="9">
          <cell r="E9" t="str">
            <v xml:space="preserve"> CLIPPER ORION</v>
          </cell>
        </row>
        <row r="32">
          <cell r="M32">
            <v>6897.64</v>
          </cell>
          <cell r="Q32">
            <v>6900.3</v>
          </cell>
          <cell r="U32">
            <v>7841.21</v>
          </cell>
          <cell r="Y32">
            <v>7846.74</v>
          </cell>
          <cell r="AC32">
            <v>7836.17</v>
          </cell>
          <cell r="AG32">
            <v>7844.8</v>
          </cell>
          <cell r="AK32">
            <v>7540.18</v>
          </cell>
          <cell r="AL32">
            <v>7548.69</v>
          </cell>
        </row>
        <row r="42">
          <cell r="M42">
            <v>37714.746539861437</v>
          </cell>
          <cell r="AC42">
            <v>37713.063000000002</v>
          </cell>
        </row>
      </sheetData>
      <sheetData sheetId="2">
        <row r="42">
          <cell r="M42">
            <v>142.72733031274711</v>
          </cell>
          <cell r="AC42">
            <v>39903.968000000001</v>
          </cell>
        </row>
      </sheetData>
      <sheetData sheetId="3">
        <row r="3">
          <cell r="A3">
            <v>-35</v>
          </cell>
          <cell r="B3">
            <v>0.68389999999999995</v>
          </cell>
          <cell r="E3">
            <v>-50</v>
          </cell>
          <cell r="F3">
            <v>0.99785699999999999</v>
          </cell>
        </row>
        <row r="4">
          <cell r="A4">
            <v>-34.9</v>
          </cell>
          <cell r="B4">
            <v>0.68379999999999996</v>
          </cell>
          <cell r="E4">
            <v>-49</v>
          </cell>
          <cell r="F4">
            <v>0.99788900000000003</v>
          </cell>
        </row>
        <row r="5">
          <cell r="A5">
            <v>-34.799999999999997</v>
          </cell>
          <cell r="B5">
            <v>0.68359999999999999</v>
          </cell>
          <cell r="E5">
            <v>-48</v>
          </cell>
          <cell r="F5">
            <v>0.99792199999999998</v>
          </cell>
        </row>
        <row r="6">
          <cell r="A6">
            <v>-34.700000000000003</v>
          </cell>
          <cell r="B6">
            <v>0.6835</v>
          </cell>
          <cell r="E6">
            <v>-47</v>
          </cell>
          <cell r="F6">
            <v>0.99795500000000004</v>
          </cell>
        </row>
        <row r="7">
          <cell r="A7">
            <v>-34.6</v>
          </cell>
          <cell r="B7">
            <v>0.68330000000000002</v>
          </cell>
          <cell r="E7">
            <v>-46</v>
          </cell>
          <cell r="F7">
            <v>0.99798799999999999</v>
          </cell>
        </row>
        <row r="8">
          <cell r="A8">
            <v>-34.5</v>
          </cell>
          <cell r="B8">
            <v>0.68320000000000003</v>
          </cell>
          <cell r="E8">
            <v>-45</v>
          </cell>
          <cell r="F8">
            <v>0.99802100000000005</v>
          </cell>
        </row>
        <row r="9">
          <cell r="A9">
            <v>-34.4</v>
          </cell>
          <cell r="B9">
            <v>0.68310000000000004</v>
          </cell>
          <cell r="E9">
            <v>-44</v>
          </cell>
          <cell r="F9">
            <v>0.998054</v>
          </cell>
        </row>
        <row r="10">
          <cell r="A10">
            <v>-34.299999999999997</v>
          </cell>
          <cell r="B10">
            <v>0.68300000000000005</v>
          </cell>
          <cell r="E10">
            <v>-43</v>
          </cell>
          <cell r="F10">
            <v>0.99808699999999995</v>
          </cell>
        </row>
        <row r="11">
          <cell r="A11">
            <v>-34.200000000000003</v>
          </cell>
          <cell r="B11">
            <v>0.68279999999999996</v>
          </cell>
          <cell r="E11">
            <v>-42</v>
          </cell>
          <cell r="F11">
            <v>0.99812000000000001</v>
          </cell>
        </row>
        <row r="12">
          <cell r="A12">
            <v>-34.1</v>
          </cell>
          <cell r="B12">
            <v>0.68269999999999997</v>
          </cell>
          <cell r="E12">
            <v>-41</v>
          </cell>
          <cell r="F12">
            <v>0.99815299999999996</v>
          </cell>
        </row>
        <row r="13">
          <cell r="A13">
            <v>-34</v>
          </cell>
          <cell r="B13">
            <v>0.68259999999999998</v>
          </cell>
          <cell r="E13">
            <v>-40</v>
          </cell>
          <cell r="F13">
            <v>0.99818600000000002</v>
          </cell>
        </row>
        <row r="14">
          <cell r="A14">
            <v>-33.9</v>
          </cell>
          <cell r="B14">
            <v>0.6825</v>
          </cell>
          <cell r="E14">
            <v>-39</v>
          </cell>
          <cell r="F14">
            <v>0.99821899999999997</v>
          </cell>
        </row>
        <row r="15">
          <cell r="A15">
            <v>-33.799999999999997</v>
          </cell>
          <cell r="B15">
            <v>0.68240000000000001</v>
          </cell>
          <cell r="E15">
            <v>-38</v>
          </cell>
          <cell r="F15">
            <v>0.99825200000000003</v>
          </cell>
        </row>
        <row r="16">
          <cell r="A16">
            <v>-33.700000000000003</v>
          </cell>
          <cell r="B16">
            <v>0.68220000000000003</v>
          </cell>
          <cell r="E16">
            <v>-37</v>
          </cell>
          <cell r="F16">
            <v>0.99828499999999998</v>
          </cell>
        </row>
        <row r="17">
          <cell r="A17">
            <v>-33.6</v>
          </cell>
          <cell r="B17">
            <v>0.68210000000000004</v>
          </cell>
          <cell r="E17">
            <v>-36</v>
          </cell>
          <cell r="F17">
            <v>0.99831800000000004</v>
          </cell>
        </row>
        <row r="18">
          <cell r="A18">
            <v>-33.5</v>
          </cell>
          <cell r="B18">
            <v>0.68200000000000005</v>
          </cell>
          <cell r="E18">
            <v>-35</v>
          </cell>
          <cell r="F18">
            <v>0.99835099999999999</v>
          </cell>
        </row>
        <row r="19">
          <cell r="A19">
            <v>-33.4</v>
          </cell>
          <cell r="B19">
            <v>0.68189999999999995</v>
          </cell>
          <cell r="E19">
            <v>-34</v>
          </cell>
          <cell r="F19">
            <v>0.99838400000000005</v>
          </cell>
        </row>
        <row r="20">
          <cell r="A20">
            <v>-33.299999999999997</v>
          </cell>
          <cell r="B20">
            <v>0.68179999999999996</v>
          </cell>
          <cell r="E20">
            <v>-33</v>
          </cell>
          <cell r="F20">
            <v>0.998417</v>
          </cell>
        </row>
        <row r="21">
          <cell r="A21">
            <v>-33.200000000000003</v>
          </cell>
          <cell r="B21">
            <v>0.68159999999999998</v>
          </cell>
          <cell r="E21">
            <v>-32</v>
          </cell>
          <cell r="F21">
            <v>0.99844999999999995</v>
          </cell>
        </row>
        <row r="22">
          <cell r="A22">
            <v>-33.1</v>
          </cell>
          <cell r="B22">
            <v>0.68149999999999999</v>
          </cell>
          <cell r="E22">
            <v>-31</v>
          </cell>
          <cell r="F22">
            <v>0.99848300000000001</v>
          </cell>
        </row>
        <row r="23">
          <cell r="A23">
            <v>-33</v>
          </cell>
          <cell r="B23">
            <v>0.68140000000000001</v>
          </cell>
          <cell r="E23">
            <v>-30</v>
          </cell>
          <cell r="F23">
            <v>0.99851599999999996</v>
          </cell>
        </row>
        <row r="24">
          <cell r="A24">
            <v>-32.9</v>
          </cell>
          <cell r="B24">
            <v>0.68130000000000002</v>
          </cell>
          <cell r="E24">
            <v>-29</v>
          </cell>
          <cell r="F24">
            <v>0.99854900000000002</v>
          </cell>
        </row>
        <row r="25">
          <cell r="A25">
            <v>-32.799999999999997</v>
          </cell>
          <cell r="B25">
            <v>0.68120000000000003</v>
          </cell>
          <cell r="E25">
            <v>-28</v>
          </cell>
          <cell r="F25">
            <v>0.99858199999999997</v>
          </cell>
        </row>
        <row r="26">
          <cell r="A26">
            <v>-32.700000000000003</v>
          </cell>
          <cell r="B26">
            <v>0.68100000000000005</v>
          </cell>
          <cell r="E26">
            <v>-27</v>
          </cell>
          <cell r="F26">
            <v>0.99861500000000003</v>
          </cell>
        </row>
        <row r="27">
          <cell r="A27">
            <v>-32.6</v>
          </cell>
          <cell r="B27">
            <v>0.68089999999999995</v>
          </cell>
          <cell r="E27">
            <v>-26</v>
          </cell>
          <cell r="F27">
            <v>0.99864799999999998</v>
          </cell>
        </row>
        <row r="28">
          <cell r="A28">
            <v>-32.5</v>
          </cell>
          <cell r="B28">
            <v>0.68079999999999996</v>
          </cell>
          <cell r="E28">
            <v>-25</v>
          </cell>
          <cell r="F28">
            <v>0.99868100000000004</v>
          </cell>
        </row>
        <row r="29">
          <cell r="A29">
            <v>-32.4</v>
          </cell>
          <cell r="B29">
            <v>0.68069999999999997</v>
          </cell>
          <cell r="E29">
            <v>-24</v>
          </cell>
          <cell r="F29">
            <v>0.99871399999999999</v>
          </cell>
        </row>
        <row r="30">
          <cell r="A30">
            <v>-32.299999999999997</v>
          </cell>
          <cell r="B30">
            <v>0.68049999999999999</v>
          </cell>
          <cell r="E30">
            <v>-23</v>
          </cell>
          <cell r="F30">
            <v>0.99874700000000005</v>
          </cell>
        </row>
        <row r="31">
          <cell r="A31">
            <v>-32.200000000000003</v>
          </cell>
          <cell r="B31">
            <v>0.6804</v>
          </cell>
          <cell r="E31">
            <v>-22</v>
          </cell>
          <cell r="F31">
            <v>0.99877899999999997</v>
          </cell>
        </row>
        <row r="32">
          <cell r="A32">
            <v>-32.1</v>
          </cell>
          <cell r="B32">
            <v>0.68020000000000003</v>
          </cell>
          <cell r="E32">
            <v>-21</v>
          </cell>
          <cell r="F32">
            <v>0.99881200000000003</v>
          </cell>
        </row>
        <row r="33">
          <cell r="A33">
            <v>-32</v>
          </cell>
          <cell r="B33">
            <v>0.68010000000000004</v>
          </cell>
          <cell r="E33">
            <v>-20</v>
          </cell>
          <cell r="F33">
            <v>0.99884499999999998</v>
          </cell>
        </row>
        <row r="34">
          <cell r="A34">
            <v>-31.9</v>
          </cell>
          <cell r="B34">
            <v>0.68</v>
          </cell>
          <cell r="E34">
            <v>-19</v>
          </cell>
          <cell r="F34">
            <v>0.99887800000000004</v>
          </cell>
        </row>
        <row r="35">
          <cell r="A35">
            <v>-31.8</v>
          </cell>
          <cell r="B35">
            <v>0.67989999999999995</v>
          </cell>
          <cell r="E35">
            <v>-18</v>
          </cell>
          <cell r="F35">
            <v>0.99891099999999999</v>
          </cell>
        </row>
        <row r="36">
          <cell r="A36">
            <v>-31.7</v>
          </cell>
          <cell r="B36">
            <v>0.67969999999999997</v>
          </cell>
          <cell r="E36">
            <v>-17</v>
          </cell>
          <cell r="F36">
            <v>0.99894400000000005</v>
          </cell>
        </row>
        <row r="37">
          <cell r="A37">
            <v>-31.6</v>
          </cell>
          <cell r="B37">
            <v>0.67959999999999998</v>
          </cell>
          <cell r="E37">
            <v>-16</v>
          </cell>
          <cell r="F37">
            <v>0.998977</v>
          </cell>
        </row>
        <row r="38">
          <cell r="A38">
            <v>-31.5</v>
          </cell>
          <cell r="B38">
            <v>0.67949999999999999</v>
          </cell>
          <cell r="E38">
            <v>-15</v>
          </cell>
          <cell r="F38">
            <v>0.99900999999999995</v>
          </cell>
        </row>
        <row r="39">
          <cell r="A39">
            <v>-31.4</v>
          </cell>
          <cell r="B39">
            <v>0.6794</v>
          </cell>
          <cell r="E39">
            <v>-14</v>
          </cell>
          <cell r="F39">
            <v>0.99904300000000001</v>
          </cell>
        </row>
        <row r="40">
          <cell r="A40">
            <v>-31.3</v>
          </cell>
          <cell r="B40">
            <v>0.67930000000000001</v>
          </cell>
          <cell r="E40">
            <v>-13</v>
          </cell>
          <cell r="F40">
            <v>0.99907599999999996</v>
          </cell>
        </row>
        <row r="41">
          <cell r="A41">
            <v>-31.2</v>
          </cell>
          <cell r="B41">
            <v>0.67910000000000004</v>
          </cell>
          <cell r="E41">
            <v>-12</v>
          </cell>
          <cell r="F41">
            <v>0.99910900000000002</v>
          </cell>
        </row>
        <row r="42">
          <cell r="A42">
            <v>-31.1</v>
          </cell>
          <cell r="B42">
            <v>0.67900000000000005</v>
          </cell>
          <cell r="E42">
            <v>-11</v>
          </cell>
          <cell r="F42">
            <v>0.99914199999999997</v>
          </cell>
        </row>
        <row r="43">
          <cell r="A43">
            <v>-31</v>
          </cell>
          <cell r="B43">
            <v>0.67889999999999995</v>
          </cell>
          <cell r="E43">
            <v>-10</v>
          </cell>
          <cell r="F43">
            <v>0.99917500000000004</v>
          </cell>
        </row>
        <row r="44">
          <cell r="A44">
            <v>-30.9</v>
          </cell>
          <cell r="B44">
            <v>0.67879999999999996</v>
          </cell>
          <cell r="E44">
            <v>-9</v>
          </cell>
          <cell r="F44">
            <v>0.99920799999999999</v>
          </cell>
        </row>
        <row r="45">
          <cell r="A45">
            <v>-30.8</v>
          </cell>
          <cell r="B45">
            <v>0.67869999999999997</v>
          </cell>
          <cell r="E45">
            <v>-8</v>
          </cell>
          <cell r="F45">
            <v>0.99924100000000005</v>
          </cell>
        </row>
        <row r="46">
          <cell r="A46">
            <v>-30.7</v>
          </cell>
          <cell r="B46">
            <v>0.67849999999999999</v>
          </cell>
          <cell r="E46">
            <v>-7</v>
          </cell>
          <cell r="F46">
            <v>0.999274</v>
          </cell>
        </row>
        <row r="47">
          <cell r="A47">
            <v>-30.6</v>
          </cell>
          <cell r="B47">
            <v>0.6784</v>
          </cell>
          <cell r="E47">
            <v>-6</v>
          </cell>
          <cell r="F47">
            <v>0.99930699999999995</v>
          </cell>
        </row>
        <row r="48">
          <cell r="A48">
            <v>-30.5</v>
          </cell>
          <cell r="B48">
            <v>0.67830000000000001</v>
          </cell>
          <cell r="E48">
            <v>-5</v>
          </cell>
          <cell r="F48">
            <v>0.99934000000000001</v>
          </cell>
        </row>
        <row r="49">
          <cell r="A49">
            <v>-30.4</v>
          </cell>
          <cell r="B49">
            <v>0.67820000000000003</v>
          </cell>
          <cell r="E49">
            <v>-4</v>
          </cell>
          <cell r="F49">
            <v>0.99937299999999996</v>
          </cell>
        </row>
        <row r="50">
          <cell r="A50">
            <v>-30.3</v>
          </cell>
          <cell r="B50">
            <v>0.67810000000000004</v>
          </cell>
          <cell r="E50">
            <v>-3</v>
          </cell>
          <cell r="F50">
            <v>0.99940600000000002</v>
          </cell>
        </row>
        <row r="51">
          <cell r="A51">
            <v>-30.2</v>
          </cell>
          <cell r="B51">
            <v>0.67789999999999995</v>
          </cell>
          <cell r="E51">
            <v>-2</v>
          </cell>
          <cell r="F51">
            <v>0.99943899999999997</v>
          </cell>
        </row>
        <row r="52">
          <cell r="A52">
            <v>-30.1</v>
          </cell>
          <cell r="B52">
            <v>0.67779999999999996</v>
          </cell>
          <cell r="E52">
            <v>-1</v>
          </cell>
          <cell r="F52">
            <v>0.99947200000000003</v>
          </cell>
        </row>
        <row r="53">
          <cell r="A53">
            <v>-30</v>
          </cell>
          <cell r="B53">
            <v>0.67769999999999997</v>
          </cell>
          <cell r="E53">
            <v>0</v>
          </cell>
          <cell r="F53">
            <v>0.99950499999999998</v>
          </cell>
        </row>
        <row r="54">
          <cell r="A54">
            <v>-29.9</v>
          </cell>
          <cell r="B54">
            <v>0.67759999999999998</v>
          </cell>
          <cell r="E54">
            <v>1</v>
          </cell>
          <cell r="F54">
            <v>0.99953800000000004</v>
          </cell>
        </row>
        <row r="55">
          <cell r="A55">
            <v>-29.8</v>
          </cell>
          <cell r="B55">
            <v>0.6774</v>
          </cell>
          <cell r="E55">
            <v>2</v>
          </cell>
          <cell r="F55">
            <v>0.99957099999999999</v>
          </cell>
        </row>
        <row r="56">
          <cell r="A56">
            <v>-29.7</v>
          </cell>
          <cell r="B56">
            <v>0.67730000000000001</v>
          </cell>
          <cell r="E56">
            <v>3</v>
          </cell>
          <cell r="F56">
            <v>0.99960400000000005</v>
          </cell>
        </row>
        <row r="57">
          <cell r="A57">
            <v>-29.6</v>
          </cell>
          <cell r="B57">
            <v>0.67710000000000004</v>
          </cell>
          <cell r="E57">
            <v>4</v>
          </cell>
          <cell r="F57">
            <v>0.999637</v>
          </cell>
        </row>
        <row r="58">
          <cell r="A58">
            <v>-29.5</v>
          </cell>
          <cell r="B58">
            <v>0.67700000000000005</v>
          </cell>
          <cell r="E58">
            <v>5</v>
          </cell>
          <cell r="F58">
            <v>0.99966999999999995</v>
          </cell>
        </row>
        <row r="59">
          <cell r="A59">
            <v>-29.4</v>
          </cell>
          <cell r="B59">
            <v>0.67689999999999995</v>
          </cell>
          <cell r="E59">
            <v>6</v>
          </cell>
          <cell r="F59">
            <v>0.99970300000000001</v>
          </cell>
        </row>
        <row r="60">
          <cell r="A60">
            <v>-29.3</v>
          </cell>
          <cell r="B60">
            <v>0.67679999999999996</v>
          </cell>
          <cell r="E60">
            <v>7</v>
          </cell>
          <cell r="F60">
            <v>0.99973599999999996</v>
          </cell>
        </row>
        <row r="61">
          <cell r="A61">
            <v>-29.2</v>
          </cell>
          <cell r="B61">
            <v>0.67659999999999998</v>
          </cell>
          <cell r="E61">
            <v>8</v>
          </cell>
          <cell r="F61">
            <v>0.99976900000000002</v>
          </cell>
        </row>
        <row r="62">
          <cell r="A62">
            <v>-29.1</v>
          </cell>
          <cell r="B62">
            <v>0.67649999999999999</v>
          </cell>
          <cell r="E62">
            <v>9</v>
          </cell>
          <cell r="F62">
            <v>0.99980199999999997</v>
          </cell>
        </row>
        <row r="63">
          <cell r="A63">
            <v>-29</v>
          </cell>
          <cell r="B63">
            <v>0.6764</v>
          </cell>
          <cell r="E63">
            <v>10</v>
          </cell>
          <cell r="F63">
            <v>0.99983500000000003</v>
          </cell>
        </row>
        <row r="64">
          <cell r="A64">
            <v>-28.9</v>
          </cell>
          <cell r="B64">
            <v>0.67630000000000001</v>
          </cell>
          <cell r="E64">
            <v>11</v>
          </cell>
          <cell r="F64">
            <v>0.99986799999999998</v>
          </cell>
        </row>
        <row r="65">
          <cell r="A65">
            <v>-28.8</v>
          </cell>
          <cell r="B65">
            <v>0.67620000000000002</v>
          </cell>
          <cell r="E65">
            <v>12</v>
          </cell>
          <cell r="F65">
            <v>0.99990100000000004</v>
          </cell>
        </row>
        <row r="66">
          <cell r="A66">
            <v>-28.7</v>
          </cell>
          <cell r="B66">
            <v>0.67600000000000005</v>
          </cell>
          <cell r="E66">
            <v>13</v>
          </cell>
          <cell r="F66">
            <v>0.99993399999999999</v>
          </cell>
        </row>
        <row r="67">
          <cell r="A67">
            <v>-28.6</v>
          </cell>
          <cell r="B67">
            <v>0.67589999999999995</v>
          </cell>
          <cell r="E67">
            <v>14</v>
          </cell>
          <cell r="F67">
            <v>0.99996700000000005</v>
          </cell>
        </row>
        <row r="68">
          <cell r="A68">
            <v>-28.5</v>
          </cell>
          <cell r="B68">
            <v>0.67579999999999996</v>
          </cell>
          <cell r="E68">
            <v>15</v>
          </cell>
          <cell r="F68">
            <v>1</v>
          </cell>
        </row>
        <row r="69">
          <cell r="A69">
            <v>-28.4</v>
          </cell>
          <cell r="B69">
            <v>0.67569999999999997</v>
          </cell>
          <cell r="E69">
            <v>16</v>
          </cell>
          <cell r="F69">
            <v>1.0000329999999999</v>
          </cell>
        </row>
        <row r="70">
          <cell r="A70">
            <v>-28.3</v>
          </cell>
          <cell r="B70">
            <v>0.67559999999999998</v>
          </cell>
          <cell r="E70">
            <v>17</v>
          </cell>
          <cell r="F70">
            <v>1.0000659999999999</v>
          </cell>
        </row>
        <row r="71">
          <cell r="A71">
            <v>-28.2</v>
          </cell>
          <cell r="B71">
            <v>0.6754</v>
          </cell>
          <cell r="E71">
            <v>18</v>
          </cell>
          <cell r="F71">
            <v>1.0000990000000001</v>
          </cell>
        </row>
        <row r="72">
          <cell r="A72">
            <v>-28.1</v>
          </cell>
          <cell r="B72">
            <v>0.67530000000000001</v>
          </cell>
          <cell r="E72">
            <v>19</v>
          </cell>
          <cell r="F72">
            <v>1.000132</v>
          </cell>
        </row>
        <row r="73">
          <cell r="A73">
            <v>-28</v>
          </cell>
          <cell r="B73">
            <v>0.67520000000000002</v>
          </cell>
          <cell r="E73">
            <v>20</v>
          </cell>
          <cell r="F73">
            <v>1.000165</v>
          </cell>
        </row>
        <row r="74">
          <cell r="A74">
            <v>-27.9</v>
          </cell>
          <cell r="B74">
            <v>0.67510000000000003</v>
          </cell>
          <cell r="E74">
            <v>21</v>
          </cell>
          <cell r="F74">
            <v>1.0001979999999999</v>
          </cell>
        </row>
        <row r="75">
          <cell r="A75">
            <v>-27.8</v>
          </cell>
          <cell r="B75">
            <v>0.67490000000000006</v>
          </cell>
          <cell r="E75">
            <v>22</v>
          </cell>
          <cell r="F75">
            <v>1.0002310000000001</v>
          </cell>
        </row>
        <row r="76">
          <cell r="A76">
            <v>-27.7</v>
          </cell>
          <cell r="B76">
            <v>0.67479999999999996</v>
          </cell>
          <cell r="E76">
            <v>23</v>
          </cell>
          <cell r="F76">
            <v>1.000264</v>
          </cell>
        </row>
        <row r="77">
          <cell r="A77">
            <v>-27.6</v>
          </cell>
          <cell r="B77">
            <v>0.67459999999999998</v>
          </cell>
          <cell r="E77">
            <v>24</v>
          </cell>
          <cell r="F77">
            <v>1.000297</v>
          </cell>
        </row>
        <row r="78">
          <cell r="A78">
            <v>-27.5</v>
          </cell>
          <cell r="B78">
            <v>0.67449999999999999</v>
          </cell>
          <cell r="E78">
            <v>25</v>
          </cell>
          <cell r="F78">
            <v>1.0003299999999999</v>
          </cell>
        </row>
        <row r="79">
          <cell r="A79">
            <v>-27.4</v>
          </cell>
          <cell r="B79">
            <v>0.6744</v>
          </cell>
          <cell r="E79">
            <v>26</v>
          </cell>
          <cell r="F79">
            <v>1.0003629999999999</v>
          </cell>
        </row>
        <row r="80">
          <cell r="A80">
            <v>-27.3</v>
          </cell>
          <cell r="B80">
            <v>0.67430000000000001</v>
          </cell>
          <cell r="E80">
            <v>27</v>
          </cell>
          <cell r="F80">
            <v>1.0003960000000001</v>
          </cell>
        </row>
        <row r="81">
          <cell r="A81">
            <v>-27.2</v>
          </cell>
          <cell r="B81">
            <v>0.67410000000000003</v>
          </cell>
          <cell r="E81">
            <v>28</v>
          </cell>
          <cell r="F81">
            <v>1.000429</v>
          </cell>
        </row>
        <row r="82">
          <cell r="A82">
            <v>-27.1</v>
          </cell>
          <cell r="B82">
            <v>0.67400000000000004</v>
          </cell>
          <cell r="E82">
            <v>29</v>
          </cell>
          <cell r="F82">
            <v>1.000462</v>
          </cell>
        </row>
        <row r="83">
          <cell r="A83">
            <v>-27</v>
          </cell>
          <cell r="B83">
            <v>0.67390000000000005</v>
          </cell>
          <cell r="E83">
            <v>30</v>
          </cell>
          <cell r="F83">
            <v>1.0004949999999999</v>
          </cell>
        </row>
        <row r="84">
          <cell r="A84">
            <v>-26.9</v>
          </cell>
          <cell r="B84">
            <v>0.67379999999999995</v>
          </cell>
          <cell r="E84">
            <v>31</v>
          </cell>
          <cell r="F84">
            <v>1.0005280000000001</v>
          </cell>
        </row>
        <row r="85">
          <cell r="A85">
            <v>-26.8</v>
          </cell>
          <cell r="B85">
            <v>0.67369999999999997</v>
          </cell>
          <cell r="E85">
            <v>32</v>
          </cell>
          <cell r="F85">
            <v>1.000561</v>
          </cell>
        </row>
        <row r="86">
          <cell r="A86">
            <v>-26.7</v>
          </cell>
          <cell r="B86">
            <v>0.67349999999999999</v>
          </cell>
          <cell r="E86">
            <v>33</v>
          </cell>
          <cell r="F86">
            <v>1.000594</v>
          </cell>
        </row>
        <row r="87">
          <cell r="A87">
            <v>-26.6</v>
          </cell>
          <cell r="B87">
            <v>0.6734</v>
          </cell>
          <cell r="E87">
            <v>34</v>
          </cell>
          <cell r="F87">
            <v>1.0006269999999999</v>
          </cell>
        </row>
        <row r="88">
          <cell r="A88">
            <v>-26.5</v>
          </cell>
          <cell r="B88">
            <v>0.67330000000000001</v>
          </cell>
          <cell r="E88">
            <v>35</v>
          </cell>
          <cell r="F88">
            <v>1.0006600000000001</v>
          </cell>
        </row>
        <row r="89">
          <cell r="A89">
            <v>-26.4</v>
          </cell>
          <cell r="B89">
            <v>0.67320000000000002</v>
          </cell>
          <cell r="E89">
            <v>36</v>
          </cell>
          <cell r="F89">
            <v>1.0006930000000001</v>
          </cell>
        </row>
        <row r="90">
          <cell r="A90">
            <v>-26.3</v>
          </cell>
          <cell r="B90">
            <v>0.67300000000000004</v>
          </cell>
          <cell r="E90">
            <v>37</v>
          </cell>
          <cell r="F90">
            <v>1.000726</v>
          </cell>
        </row>
        <row r="91">
          <cell r="A91">
            <v>-26.2</v>
          </cell>
          <cell r="B91">
            <v>0.67290000000000005</v>
          </cell>
          <cell r="E91">
            <v>38</v>
          </cell>
          <cell r="F91">
            <v>1.000759</v>
          </cell>
        </row>
        <row r="92">
          <cell r="A92">
            <v>-26.1</v>
          </cell>
          <cell r="B92">
            <v>0.67269999999999996</v>
          </cell>
          <cell r="E92">
            <v>39</v>
          </cell>
          <cell r="F92">
            <v>1.0007919999999999</v>
          </cell>
        </row>
        <row r="93">
          <cell r="A93">
            <v>-26</v>
          </cell>
          <cell r="B93">
            <v>0.67259999999999998</v>
          </cell>
          <cell r="E93">
            <v>40</v>
          </cell>
          <cell r="F93">
            <v>1.0008250000000001</v>
          </cell>
        </row>
        <row r="94">
          <cell r="A94">
            <v>-25.9</v>
          </cell>
          <cell r="B94">
            <v>0.67249999999999999</v>
          </cell>
          <cell r="E94">
            <v>41</v>
          </cell>
          <cell r="F94">
            <v>1.000858</v>
          </cell>
        </row>
        <row r="95">
          <cell r="A95">
            <v>-25.8</v>
          </cell>
          <cell r="B95">
            <v>0.6724</v>
          </cell>
          <cell r="E95">
            <v>42</v>
          </cell>
          <cell r="F95">
            <v>1.000891</v>
          </cell>
        </row>
        <row r="96">
          <cell r="A96">
            <v>-25.7</v>
          </cell>
          <cell r="B96">
            <v>0.67220000000000002</v>
          </cell>
          <cell r="E96">
            <v>43</v>
          </cell>
          <cell r="F96">
            <v>1.0009239999999999</v>
          </cell>
        </row>
        <row r="97">
          <cell r="A97">
            <v>-25.6</v>
          </cell>
          <cell r="B97">
            <v>0.67210000000000003</v>
          </cell>
          <cell r="E97">
            <v>44</v>
          </cell>
          <cell r="F97">
            <v>1.0009570000000001</v>
          </cell>
        </row>
        <row r="98">
          <cell r="A98">
            <v>-25.5</v>
          </cell>
          <cell r="B98">
            <v>0.67200000000000004</v>
          </cell>
          <cell r="E98">
            <v>45</v>
          </cell>
          <cell r="F98">
            <v>1.00099</v>
          </cell>
        </row>
        <row r="99">
          <cell r="A99">
            <v>-25.4</v>
          </cell>
          <cell r="B99">
            <v>0.67190000000000005</v>
          </cell>
          <cell r="E99">
            <v>46</v>
          </cell>
          <cell r="F99">
            <v>1.001023</v>
          </cell>
        </row>
        <row r="100">
          <cell r="A100">
            <v>-25.3</v>
          </cell>
          <cell r="B100">
            <v>0.67179999999999995</v>
          </cell>
          <cell r="E100">
            <v>47</v>
          </cell>
          <cell r="F100">
            <v>1.0010559999999999</v>
          </cell>
        </row>
        <row r="101">
          <cell r="A101">
            <v>-25.2</v>
          </cell>
          <cell r="B101">
            <v>0.67159999999999997</v>
          </cell>
          <cell r="E101">
            <v>48</v>
          </cell>
          <cell r="F101">
            <v>1.0010889999999999</v>
          </cell>
        </row>
        <row r="102">
          <cell r="A102">
            <v>-25.1</v>
          </cell>
          <cell r="B102">
            <v>0.67149999999999999</v>
          </cell>
          <cell r="E102">
            <v>49</v>
          </cell>
          <cell r="F102">
            <v>1.0011220000000001</v>
          </cell>
        </row>
        <row r="103">
          <cell r="A103">
            <v>-25</v>
          </cell>
          <cell r="B103">
            <v>0.6714</v>
          </cell>
          <cell r="E103">
            <v>50</v>
          </cell>
          <cell r="F103">
            <v>1.001155</v>
          </cell>
        </row>
        <row r="104">
          <cell r="A104">
            <v>-24.9</v>
          </cell>
          <cell r="B104">
            <v>0.67130000000000001</v>
          </cell>
        </row>
        <row r="105">
          <cell r="A105">
            <v>-24.8</v>
          </cell>
          <cell r="B105">
            <v>0.67110000000000003</v>
          </cell>
        </row>
        <row r="106">
          <cell r="A106">
            <v>-24.7</v>
          </cell>
          <cell r="B106">
            <v>0.67100000000000004</v>
          </cell>
        </row>
        <row r="107">
          <cell r="A107">
            <v>-24.6</v>
          </cell>
          <cell r="B107">
            <v>0.67079999999999995</v>
          </cell>
        </row>
        <row r="108">
          <cell r="A108">
            <v>-24.5</v>
          </cell>
          <cell r="B108">
            <v>0.67069999999999996</v>
          </cell>
        </row>
        <row r="109">
          <cell r="A109">
            <v>-24.4</v>
          </cell>
          <cell r="B109">
            <v>0.67059999999999997</v>
          </cell>
        </row>
        <row r="110">
          <cell r="A110">
            <v>-24.3</v>
          </cell>
          <cell r="B110">
            <v>0.67049999999999998</v>
          </cell>
        </row>
        <row r="111">
          <cell r="A111">
            <v>-24.2</v>
          </cell>
          <cell r="B111">
            <v>0.67030000000000001</v>
          </cell>
        </row>
        <row r="112">
          <cell r="A112">
            <v>-24.1</v>
          </cell>
          <cell r="B112">
            <v>0.67020000000000002</v>
          </cell>
        </row>
        <row r="113">
          <cell r="A113">
            <v>-24</v>
          </cell>
          <cell r="B113">
            <v>0.67010000000000003</v>
          </cell>
        </row>
        <row r="114">
          <cell r="A114">
            <v>-23.9</v>
          </cell>
          <cell r="B114">
            <v>0.67</v>
          </cell>
        </row>
        <row r="115">
          <cell r="A115">
            <v>-23.8</v>
          </cell>
          <cell r="B115">
            <v>0.66990000000000005</v>
          </cell>
        </row>
        <row r="116">
          <cell r="A116">
            <v>-23.7</v>
          </cell>
          <cell r="B116">
            <v>0.66969999999999996</v>
          </cell>
        </row>
        <row r="117">
          <cell r="A117">
            <v>-23.6</v>
          </cell>
          <cell r="B117">
            <v>0.66959999999999997</v>
          </cell>
        </row>
        <row r="118">
          <cell r="A118">
            <v>-23.5</v>
          </cell>
          <cell r="B118">
            <v>0.66949999999999998</v>
          </cell>
        </row>
        <row r="119">
          <cell r="A119">
            <v>-23.4</v>
          </cell>
          <cell r="B119">
            <v>0.6694</v>
          </cell>
        </row>
        <row r="120">
          <cell r="A120">
            <v>-23.3</v>
          </cell>
          <cell r="B120">
            <v>0.66920000000000002</v>
          </cell>
        </row>
        <row r="121">
          <cell r="A121">
            <v>-23.2</v>
          </cell>
          <cell r="B121">
            <v>0.66910000000000003</v>
          </cell>
        </row>
        <row r="122">
          <cell r="A122">
            <v>-23.1</v>
          </cell>
          <cell r="B122">
            <v>0.66890000000000005</v>
          </cell>
        </row>
        <row r="123">
          <cell r="A123">
            <v>-23</v>
          </cell>
          <cell r="B123">
            <v>0.66879999999999995</v>
          </cell>
        </row>
        <row r="124">
          <cell r="A124">
            <v>-22.9</v>
          </cell>
          <cell r="B124">
            <v>0.66869999999999996</v>
          </cell>
        </row>
        <row r="125">
          <cell r="A125">
            <v>-22.8</v>
          </cell>
          <cell r="B125">
            <v>0.66859999999999997</v>
          </cell>
        </row>
        <row r="126">
          <cell r="A126">
            <v>-22.7</v>
          </cell>
          <cell r="B126">
            <v>0.66839999999999999</v>
          </cell>
        </row>
        <row r="127">
          <cell r="A127">
            <v>-22.6</v>
          </cell>
          <cell r="B127">
            <v>0.66830000000000001</v>
          </cell>
        </row>
        <row r="128">
          <cell r="A128">
            <v>-22.5</v>
          </cell>
          <cell r="B128">
            <v>0.66820000000000002</v>
          </cell>
        </row>
        <row r="129">
          <cell r="A129">
            <v>-22.4</v>
          </cell>
          <cell r="B129">
            <v>0.66810000000000003</v>
          </cell>
        </row>
        <row r="130">
          <cell r="A130">
            <v>-22.3</v>
          </cell>
          <cell r="B130">
            <v>0.66800000000000004</v>
          </cell>
        </row>
        <row r="131">
          <cell r="A131">
            <v>-22.2</v>
          </cell>
          <cell r="B131">
            <v>0.66779999999999995</v>
          </cell>
        </row>
        <row r="132">
          <cell r="A132">
            <v>-22.1</v>
          </cell>
          <cell r="B132">
            <v>0.66769999999999996</v>
          </cell>
        </row>
        <row r="133">
          <cell r="A133">
            <v>-22</v>
          </cell>
          <cell r="B133">
            <v>0.66759999999999997</v>
          </cell>
        </row>
        <row r="134">
          <cell r="A134">
            <v>-21.9</v>
          </cell>
          <cell r="B134">
            <v>0.66749999999999998</v>
          </cell>
        </row>
        <row r="135">
          <cell r="A135">
            <v>-21.8</v>
          </cell>
          <cell r="B135">
            <v>0.6673</v>
          </cell>
        </row>
        <row r="136">
          <cell r="A136">
            <v>-21.7</v>
          </cell>
          <cell r="B136">
            <v>0.66720000000000002</v>
          </cell>
        </row>
        <row r="137">
          <cell r="A137">
            <v>-21.6</v>
          </cell>
          <cell r="B137">
            <v>0.66700000000000004</v>
          </cell>
        </row>
        <row r="138">
          <cell r="A138">
            <v>-21.5</v>
          </cell>
          <cell r="B138">
            <v>0.66690000000000005</v>
          </cell>
        </row>
        <row r="139">
          <cell r="A139">
            <v>-21.4</v>
          </cell>
          <cell r="B139">
            <v>0.66679999999999995</v>
          </cell>
        </row>
        <row r="140">
          <cell r="A140">
            <v>-21.3</v>
          </cell>
          <cell r="B140">
            <v>0.66669999999999996</v>
          </cell>
        </row>
        <row r="141">
          <cell r="A141">
            <v>-21.2</v>
          </cell>
          <cell r="B141">
            <v>0.66649999999999998</v>
          </cell>
        </row>
        <row r="142">
          <cell r="A142">
            <v>-21.1</v>
          </cell>
          <cell r="B142">
            <v>0.66639999999999999</v>
          </cell>
        </row>
        <row r="143">
          <cell r="A143">
            <v>-21</v>
          </cell>
          <cell r="B143">
            <v>0.6663</v>
          </cell>
        </row>
        <row r="144">
          <cell r="A144">
            <v>-20.9</v>
          </cell>
          <cell r="B144">
            <v>0.66620000000000001</v>
          </cell>
        </row>
        <row r="145">
          <cell r="A145">
            <v>-20.8</v>
          </cell>
          <cell r="B145">
            <v>0.66600000000000004</v>
          </cell>
        </row>
        <row r="146">
          <cell r="A146">
            <v>-20.7</v>
          </cell>
          <cell r="B146">
            <v>0.66590000000000005</v>
          </cell>
        </row>
        <row r="147">
          <cell r="A147">
            <v>-20.6</v>
          </cell>
          <cell r="B147">
            <v>0.66569999999999996</v>
          </cell>
        </row>
        <row r="148">
          <cell r="A148">
            <v>-20.5</v>
          </cell>
          <cell r="B148">
            <v>0.66559999999999997</v>
          </cell>
        </row>
        <row r="149">
          <cell r="A149">
            <v>-20.399999999999999</v>
          </cell>
          <cell r="B149">
            <v>0.66549999999999998</v>
          </cell>
        </row>
        <row r="150">
          <cell r="A150">
            <v>-20.3</v>
          </cell>
          <cell r="B150">
            <v>0.66539999999999999</v>
          </cell>
        </row>
        <row r="151">
          <cell r="A151">
            <v>-20.2</v>
          </cell>
          <cell r="B151">
            <v>0.66520000000000001</v>
          </cell>
        </row>
        <row r="152">
          <cell r="A152">
            <v>-20.100000000000001</v>
          </cell>
          <cell r="B152">
            <v>0.66510000000000002</v>
          </cell>
        </row>
        <row r="153">
          <cell r="A153">
            <v>-20</v>
          </cell>
          <cell r="B153">
            <v>0.66500000000000004</v>
          </cell>
        </row>
        <row r="154">
          <cell r="A154">
            <v>-19.899999999999999</v>
          </cell>
          <cell r="B154">
            <v>0.66490000000000005</v>
          </cell>
        </row>
        <row r="155">
          <cell r="A155">
            <v>-19.8</v>
          </cell>
          <cell r="B155">
            <v>0.66479999999999995</v>
          </cell>
        </row>
        <row r="156">
          <cell r="A156">
            <v>-19.7</v>
          </cell>
          <cell r="B156">
            <v>0.66459999999999997</v>
          </cell>
        </row>
        <row r="157">
          <cell r="A157">
            <v>-19.600000000000001</v>
          </cell>
          <cell r="B157">
            <v>0.66449999999999998</v>
          </cell>
        </row>
        <row r="158">
          <cell r="A158">
            <v>-19.5</v>
          </cell>
          <cell r="B158">
            <v>0.66439999999999999</v>
          </cell>
        </row>
        <row r="159">
          <cell r="A159">
            <v>-19.399999999999999</v>
          </cell>
          <cell r="B159">
            <v>0.6643</v>
          </cell>
        </row>
        <row r="160">
          <cell r="A160">
            <v>-19.3</v>
          </cell>
          <cell r="B160">
            <v>0.66410000000000002</v>
          </cell>
        </row>
        <row r="161">
          <cell r="A161">
            <v>-19.2</v>
          </cell>
          <cell r="B161">
            <v>0.66400000000000003</v>
          </cell>
        </row>
        <row r="162">
          <cell r="A162">
            <v>-19.100000000000001</v>
          </cell>
          <cell r="B162">
            <v>0.66379999999999995</v>
          </cell>
        </row>
        <row r="163">
          <cell r="A163">
            <v>-19</v>
          </cell>
          <cell r="B163">
            <v>0.66369999999999996</v>
          </cell>
        </row>
        <row r="164">
          <cell r="A164">
            <v>-18.899999999999999</v>
          </cell>
          <cell r="B164">
            <v>0.66359999999999997</v>
          </cell>
        </row>
        <row r="165">
          <cell r="A165">
            <v>-18.8</v>
          </cell>
          <cell r="B165">
            <v>0.66349999999999998</v>
          </cell>
        </row>
        <row r="166">
          <cell r="A166">
            <v>-18.7</v>
          </cell>
          <cell r="B166">
            <v>0.6633</v>
          </cell>
        </row>
        <row r="167">
          <cell r="A167">
            <v>-18.600000000000001</v>
          </cell>
          <cell r="B167">
            <v>0.66320000000000001</v>
          </cell>
        </row>
        <row r="168">
          <cell r="A168">
            <v>-18.5</v>
          </cell>
          <cell r="B168">
            <v>0.66310000000000002</v>
          </cell>
        </row>
        <row r="169">
          <cell r="A169">
            <v>-18.399999999999999</v>
          </cell>
          <cell r="B169">
            <v>0.66300000000000003</v>
          </cell>
        </row>
        <row r="170">
          <cell r="A170">
            <v>-18.3</v>
          </cell>
          <cell r="B170">
            <v>0.66279999999999994</v>
          </cell>
        </row>
        <row r="171">
          <cell r="A171">
            <v>-18.2</v>
          </cell>
          <cell r="B171">
            <v>0.66269999999999996</v>
          </cell>
        </row>
        <row r="172">
          <cell r="A172">
            <v>-18.100000000000001</v>
          </cell>
          <cell r="B172">
            <v>0.66249999999999998</v>
          </cell>
        </row>
        <row r="173">
          <cell r="A173">
            <v>-18</v>
          </cell>
          <cell r="B173">
            <v>0.66239999999999999</v>
          </cell>
        </row>
        <row r="174">
          <cell r="A174">
            <v>-17.899999999999999</v>
          </cell>
          <cell r="B174">
            <v>0.6623</v>
          </cell>
        </row>
        <row r="175">
          <cell r="A175">
            <v>-17.8</v>
          </cell>
          <cell r="B175">
            <v>0.66220000000000001</v>
          </cell>
        </row>
        <row r="176">
          <cell r="A176">
            <v>-17.7</v>
          </cell>
          <cell r="B176">
            <v>0.66200000000000003</v>
          </cell>
        </row>
        <row r="177">
          <cell r="A177">
            <v>-17.600000000000001</v>
          </cell>
          <cell r="B177">
            <v>0.66190000000000004</v>
          </cell>
        </row>
        <row r="178">
          <cell r="A178">
            <v>-17.5</v>
          </cell>
          <cell r="B178">
            <v>0.66180000000000005</v>
          </cell>
        </row>
        <row r="179">
          <cell r="A179">
            <v>-17.399999999999999</v>
          </cell>
          <cell r="B179">
            <v>0.66169999999999995</v>
          </cell>
        </row>
        <row r="180">
          <cell r="A180">
            <v>-17.3</v>
          </cell>
          <cell r="B180">
            <v>0.66149999999999998</v>
          </cell>
        </row>
        <row r="181">
          <cell r="A181">
            <v>-17.2</v>
          </cell>
          <cell r="B181">
            <v>0.66139999999999999</v>
          </cell>
        </row>
        <row r="182">
          <cell r="A182">
            <v>-17.100000000000001</v>
          </cell>
          <cell r="B182">
            <v>0.66120000000000001</v>
          </cell>
        </row>
        <row r="183">
          <cell r="A183">
            <v>-17</v>
          </cell>
          <cell r="B183">
            <v>0.66110000000000002</v>
          </cell>
        </row>
        <row r="184">
          <cell r="A184">
            <v>-16.899999999999999</v>
          </cell>
          <cell r="B184">
            <v>0.66100000000000003</v>
          </cell>
        </row>
        <row r="185">
          <cell r="A185">
            <v>-16.8</v>
          </cell>
          <cell r="B185">
            <v>0.66090000000000004</v>
          </cell>
        </row>
        <row r="186">
          <cell r="A186">
            <v>-16.7</v>
          </cell>
          <cell r="B186">
            <v>0.66069999999999995</v>
          </cell>
        </row>
        <row r="187">
          <cell r="A187">
            <v>-16.600000000000001</v>
          </cell>
          <cell r="B187">
            <v>0.66059999999999997</v>
          </cell>
        </row>
        <row r="188">
          <cell r="A188">
            <v>-16.5</v>
          </cell>
          <cell r="B188">
            <v>0.66049999999999998</v>
          </cell>
        </row>
        <row r="189">
          <cell r="A189">
            <v>-16.399999999999999</v>
          </cell>
          <cell r="B189">
            <v>0.66039999999999999</v>
          </cell>
        </row>
        <row r="190">
          <cell r="A190">
            <v>-16.3</v>
          </cell>
          <cell r="B190">
            <v>0.66020000000000001</v>
          </cell>
        </row>
        <row r="191">
          <cell r="A191">
            <v>-16.2</v>
          </cell>
          <cell r="B191">
            <v>0.66010000000000002</v>
          </cell>
        </row>
        <row r="192">
          <cell r="A192">
            <v>-16.100000000000001</v>
          </cell>
          <cell r="B192">
            <v>0.65990000000000004</v>
          </cell>
        </row>
        <row r="193">
          <cell r="A193">
            <v>-16</v>
          </cell>
          <cell r="B193">
            <v>0.65980000000000005</v>
          </cell>
        </row>
        <row r="194">
          <cell r="A194">
            <v>-15.9</v>
          </cell>
          <cell r="B194">
            <v>0.65969999999999995</v>
          </cell>
        </row>
        <row r="195">
          <cell r="A195">
            <v>-15.8</v>
          </cell>
          <cell r="B195">
            <v>0.65959999999999996</v>
          </cell>
        </row>
        <row r="196">
          <cell r="A196">
            <v>-15.7</v>
          </cell>
          <cell r="B196">
            <v>0.65939999999999999</v>
          </cell>
        </row>
        <row r="197">
          <cell r="A197">
            <v>-15.6</v>
          </cell>
          <cell r="B197">
            <v>0.6593</v>
          </cell>
        </row>
        <row r="198">
          <cell r="A198">
            <v>-15.5</v>
          </cell>
          <cell r="B198">
            <v>0.65920000000000001</v>
          </cell>
        </row>
        <row r="199">
          <cell r="A199">
            <v>-15.4</v>
          </cell>
          <cell r="B199">
            <v>0.65910000000000002</v>
          </cell>
        </row>
        <row r="200">
          <cell r="A200">
            <v>-15.3</v>
          </cell>
          <cell r="B200">
            <v>0.65890000000000004</v>
          </cell>
        </row>
        <row r="201">
          <cell r="A201">
            <v>-15.2</v>
          </cell>
          <cell r="B201">
            <v>0.65880000000000005</v>
          </cell>
        </row>
        <row r="202">
          <cell r="A202">
            <v>-15.1</v>
          </cell>
          <cell r="B202">
            <v>0.65859999999999996</v>
          </cell>
        </row>
        <row r="203">
          <cell r="A203">
            <v>-15</v>
          </cell>
          <cell r="B203">
            <v>0.65849999999999997</v>
          </cell>
        </row>
        <row r="204">
          <cell r="A204">
            <v>-14.9</v>
          </cell>
          <cell r="B204">
            <v>0.65839999999999999</v>
          </cell>
        </row>
        <row r="205">
          <cell r="A205">
            <v>-14.8</v>
          </cell>
          <cell r="B205">
            <v>0.6583</v>
          </cell>
        </row>
        <row r="206">
          <cell r="A206">
            <v>-14.7</v>
          </cell>
          <cell r="B206">
            <v>0.65810000000000002</v>
          </cell>
        </row>
        <row r="207">
          <cell r="A207">
            <v>-14.6</v>
          </cell>
          <cell r="B207">
            <v>0.65800000000000003</v>
          </cell>
        </row>
        <row r="208">
          <cell r="A208">
            <v>-14.5</v>
          </cell>
          <cell r="B208">
            <v>0.65790000000000004</v>
          </cell>
        </row>
        <row r="209">
          <cell r="A209">
            <v>-14.4</v>
          </cell>
          <cell r="B209">
            <v>0.65780000000000005</v>
          </cell>
        </row>
        <row r="210">
          <cell r="A210">
            <v>-14.3</v>
          </cell>
          <cell r="B210">
            <v>0.65759999999999996</v>
          </cell>
        </row>
        <row r="211">
          <cell r="A211">
            <v>-14.2</v>
          </cell>
          <cell r="B211">
            <v>0.65749999999999997</v>
          </cell>
        </row>
        <row r="212">
          <cell r="A212">
            <v>-14.1</v>
          </cell>
          <cell r="B212">
            <v>0.6573</v>
          </cell>
        </row>
        <row r="213">
          <cell r="A213">
            <v>-14</v>
          </cell>
          <cell r="B213">
            <v>0.65720000000000001</v>
          </cell>
        </row>
        <row r="214">
          <cell r="A214">
            <v>-13.9</v>
          </cell>
          <cell r="B214">
            <v>0.65710000000000002</v>
          </cell>
        </row>
        <row r="215">
          <cell r="A215">
            <v>-13.8</v>
          </cell>
          <cell r="B215">
            <v>0.65700000000000003</v>
          </cell>
        </row>
        <row r="216">
          <cell r="A216">
            <v>-13.7</v>
          </cell>
          <cell r="B216">
            <v>0.65680000000000005</v>
          </cell>
        </row>
        <row r="217">
          <cell r="A217">
            <v>-13.6</v>
          </cell>
          <cell r="B217">
            <v>0.65669999999999995</v>
          </cell>
        </row>
        <row r="218">
          <cell r="A218">
            <v>-13.5</v>
          </cell>
          <cell r="B218">
            <v>0.65659999999999996</v>
          </cell>
        </row>
        <row r="219">
          <cell r="A219">
            <v>-13.4</v>
          </cell>
          <cell r="B219">
            <v>0.65649999999999997</v>
          </cell>
        </row>
        <row r="220">
          <cell r="A220">
            <v>-13.3</v>
          </cell>
          <cell r="B220">
            <v>0.65629999999999999</v>
          </cell>
        </row>
        <row r="221">
          <cell r="A221">
            <v>-13.2</v>
          </cell>
          <cell r="B221">
            <v>0.65620000000000001</v>
          </cell>
        </row>
        <row r="222">
          <cell r="A222">
            <v>-13.1</v>
          </cell>
          <cell r="B222">
            <v>0.65600000000000003</v>
          </cell>
        </row>
        <row r="223">
          <cell r="A223">
            <v>-13</v>
          </cell>
          <cell r="B223">
            <v>0.65590000000000004</v>
          </cell>
        </row>
        <row r="224">
          <cell r="A224">
            <v>-12.9</v>
          </cell>
          <cell r="B224">
            <v>0.65580000000000005</v>
          </cell>
        </row>
        <row r="225">
          <cell r="A225">
            <v>-12.8</v>
          </cell>
          <cell r="B225">
            <v>0.65569999999999995</v>
          </cell>
        </row>
        <row r="226">
          <cell r="A226">
            <v>-12.7</v>
          </cell>
          <cell r="B226">
            <v>0.65549999999999997</v>
          </cell>
        </row>
        <row r="227">
          <cell r="A227">
            <v>-12.6</v>
          </cell>
          <cell r="B227">
            <v>0.65539999999999998</v>
          </cell>
        </row>
        <row r="228">
          <cell r="A228">
            <v>-12.5</v>
          </cell>
          <cell r="B228">
            <v>0.65529999999999999</v>
          </cell>
        </row>
        <row r="229">
          <cell r="A229">
            <v>-12.4</v>
          </cell>
          <cell r="B229">
            <v>0.6552</v>
          </cell>
        </row>
        <row r="230">
          <cell r="A230">
            <v>-12.3</v>
          </cell>
          <cell r="B230">
            <v>0.65500000000000003</v>
          </cell>
        </row>
        <row r="231">
          <cell r="A231">
            <v>-12.2</v>
          </cell>
          <cell r="B231">
            <v>0.65490000000000004</v>
          </cell>
        </row>
        <row r="232">
          <cell r="A232">
            <v>-12.1</v>
          </cell>
          <cell r="B232">
            <v>0.65469999999999995</v>
          </cell>
        </row>
        <row r="233">
          <cell r="A233">
            <v>-12</v>
          </cell>
          <cell r="B233">
            <v>0.65459999999999996</v>
          </cell>
        </row>
        <row r="234">
          <cell r="A234">
            <v>-11.9</v>
          </cell>
          <cell r="B234">
            <v>0.65449999999999997</v>
          </cell>
        </row>
        <row r="235">
          <cell r="A235">
            <v>-11.8</v>
          </cell>
          <cell r="B235">
            <v>0.65439999999999998</v>
          </cell>
        </row>
        <row r="236">
          <cell r="A236">
            <v>-11.7</v>
          </cell>
          <cell r="B236">
            <v>0.6542</v>
          </cell>
        </row>
        <row r="237">
          <cell r="A237">
            <v>-11.6</v>
          </cell>
          <cell r="B237">
            <v>0.65410000000000001</v>
          </cell>
        </row>
        <row r="238">
          <cell r="A238">
            <v>-11.5</v>
          </cell>
          <cell r="B238">
            <v>0.65400000000000003</v>
          </cell>
        </row>
        <row r="239">
          <cell r="A239">
            <v>-11.4</v>
          </cell>
          <cell r="B239">
            <v>0.65390000000000004</v>
          </cell>
        </row>
        <row r="240">
          <cell r="A240">
            <v>-11.3</v>
          </cell>
          <cell r="B240">
            <v>0.65369999999999995</v>
          </cell>
        </row>
        <row r="241">
          <cell r="A241">
            <v>-11.2</v>
          </cell>
          <cell r="B241">
            <v>0.65359999999999996</v>
          </cell>
        </row>
        <row r="242">
          <cell r="A242">
            <v>-11.1</v>
          </cell>
          <cell r="B242">
            <v>0.65339999999999998</v>
          </cell>
        </row>
        <row r="243">
          <cell r="A243">
            <v>-11</v>
          </cell>
          <cell r="B243">
            <v>0.65329999999999999</v>
          </cell>
        </row>
        <row r="244">
          <cell r="A244">
            <v>-10.9</v>
          </cell>
          <cell r="B244">
            <v>0.6532</v>
          </cell>
        </row>
        <row r="245">
          <cell r="A245">
            <v>-10.8</v>
          </cell>
          <cell r="B245">
            <v>0.65310000000000001</v>
          </cell>
        </row>
        <row r="246">
          <cell r="A246">
            <v>-10.7</v>
          </cell>
          <cell r="B246">
            <v>0.65290000000000004</v>
          </cell>
        </row>
        <row r="247">
          <cell r="A247">
            <v>-10.6</v>
          </cell>
          <cell r="B247">
            <v>0.65280000000000005</v>
          </cell>
        </row>
        <row r="248">
          <cell r="A248">
            <v>-10.5</v>
          </cell>
          <cell r="B248">
            <v>0.65269999999999995</v>
          </cell>
        </row>
        <row r="249">
          <cell r="A249">
            <v>-10.4</v>
          </cell>
          <cell r="B249">
            <v>0.65259999999999996</v>
          </cell>
        </row>
        <row r="250">
          <cell r="A250">
            <v>-10.3</v>
          </cell>
          <cell r="B250">
            <v>0.65239999999999998</v>
          </cell>
        </row>
        <row r="251">
          <cell r="A251">
            <v>-10.199999999999999</v>
          </cell>
          <cell r="B251">
            <v>0.65229999999999999</v>
          </cell>
        </row>
        <row r="252">
          <cell r="A252">
            <v>-10.1</v>
          </cell>
          <cell r="B252">
            <v>0.65210000000000001</v>
          </cell>
        </row>
        <row r="253">
          <cell r="A253">
            <v>-10</v>
          </cell>
          <cell r="B253">
            <v>0.65200000000000002</v>
          </cell>
        </row>
        <row r="254">
          <cell r="A254">
            <v>-9.9</v>
          </cell>
          <cell r="B254">
            <v>0.65190000000000003</v>
          </cell>
        </row>
        <row r="255">
          <cell r="A255">
            <v>-9.8000000000000007</v>
          </cell>
          <cell r="B255">
            <v>0.65169999999999995</v>
          </cell>
        </row>
        <row r="256">
          <cell r="A256">
            <v>-9.6999999999999993</v>
          </cell>
          <cell r="B256">
            <v>0.65159999999999996</v>
          </cell>
        </row>
        <row r="257">
          <cell r="A257">
            <v>-9.6</v>
          </cell>
          <cell r="B257">
            <v>0.65139999999999998</v>
          </cell>
        </row>
        <row r="258">
          <cell r="A258">
            <v>-9.5</v>
          </cell>
          <cell r="B258">
            <v>0.65129999999999999</v>
          </cell>
        </row>
        <row r="259">
          <cell r="A259">
            <v>-9.4</v>
          </cell>
          <cell r="B259">
            <v>0.6512</v>
          </cell>
        </row>
        <row r="260">
          <cell r="A260">
            <v>-9.3000000000000007</v>
          </cell>
          <cell r="B260">
            <v>0.65110000000000001</v>
          </cell>
        </row>
        <row r="261">
          <cell r="A261">
            <v>-9.1999999999999993</v>
          </cell>
          <cell r="B261">
            <v>0.65090000000000003</v>
          </cell>
        </row>
        <row r="262">
          <cell r="A262">
            <v>-9.1</v>
          </cell>
          <cell r="B262">
            <v>0.65080000000000005</v>
          </cell>
        </row>
        <row r="263">
          <cell r="A263">
            <v>-9</v>
          </cell>
          <cell r="B263">
            <v>0.65069999999999995</v>
          </cell>
        </row>
        <row r="264">
          <cell r="A264">
            <v>-8.9</v>
          </cell>
          <cell r="B264">
            <v>0.65059999999999996</v>
          </cell>
        </row>
        <row r="265">
          <cell r="A265">
            <v>-8.8000000000000007</v>
          </cell>
          <cell r="B265">
            <v>0.65039999999999998</v>
          </cell>
        </row>
        <row r="266">
          <cell r="A266">
            <v>-8.6999999999999993</v>
          </cell>
          <cell r="B266">
            <v>0.65029999999999999</v>
          </cell>
        </row>
        <row r="267">
          <cell r="A267">
            <v>-8.6</v>
          </cell>
          <cell r="B267">
            <v>0.65010000000000001</v>
          </cell>
        </row>
        <row r="268">
          <cell r="A268">
            <v>-8.5</v>
          </cell>
          <cell r="B268">
            <v>0.65</v>
          </cell>
        </row>
        <row r="269">
          <cell r="A269">
            <v>-8.4</v>
          </cell>
          <cell r="B269">
            <v>0.64990000000000003</v>
          </cell>
        </row>
        <row r="270">
          <cell r="A270">
            <v>-8.3000000000000007</v>
          </cell>
          <cell r="B270">
            <v>0.64970000000000006</v>
          </cell>
        </row>
        <row r="271">
          <cell r="A271">
            <v>-8.1999999999999993</v>
          </cell>
          <cell r="B271">
            <v>0.64959999999999996</v>
          </cell>
        </row>
        <row r="272">
          <cell r="A272">
            <v>-8.1</v>
          </cell>
          <cell r="B272">
            <v>0.64939999999999998</v>
          </cell>
        </row>
        <row r="273">
          <cell r="A273">
            <v>-8</v>
          </cell>
          <cell r="B273">
            <v>0.64929999999999999</v>
          </cell>
        </row>
        <row r="274">
          <cell r="A274">
            <v>-7.9</v>
          </cell>
          <cell r="B274">
            <v>0.6492</v>
          </cell>
        </row>
        <row r="275">
          <cell r="A275">
            <v>-7.8</v>
          </cell>
          <cell r="B275">
            <v>0.64910000000000001</v>
          </cell>
        </row>
        <row r="276">
          <cell r="A276">
            <v>-7.7</v>
          </cell>
          <cell r="B276">
            <v>0.64890000000000003</v>
          </cell>
        </row>
        <row r="277">
          <cell r="A277">
            <v>-7.6</v>
          </cell>
          <cell r="B277">
            <v>0.64880000000000004</v>
          </cell>
        </row>
        <row r="278">
          <cell r="A278">
            <v>-7.5</v>
          </cell>
          <cell r="B278">
            <v>0.64870000000000005</v>
          </cell>
        </row>
        <row r="279">
          <cell r="A279">
            <v>-7.4</v>
          </cell>
          <cell r="B279">
            <v>0.64859999999999995</v>
          </cell>
        </row>
        <row r="280">
          <cell r="A280">
            <v>-7.3</v>
          </cell>
          <cell r="B280">
            <v>0.64839999999999998</v>
          </cell>
        </row>
        <row r="281">
          <cell r="A281">
            <v>-7.2</v>
          </cell>
          <cell r="B281">
            <v>0.64829999999999999</v>
          </cell>
        </row>
        <row r="282">
          <cell r="A282">
            <v>-7.1</v>
          </cell>
          <cell r="B282">
            <v>0.64810000000000001</v>
          </cell>
        </row>
        <row r="283">
          <cell r="A283">
            <v>-7</v>
          </cell>
          <cell r="B283">
            <v>0.64800000000000002</v>
          </cell>
        </row>
        <row r="284">
          <cell r="A284">
            <v>-6.9</v>
          </cell>
          <cell r="B284">
            <v>0.64790000000000003</v>
          </cell>
        </row>
        <row r="285">
          <cell r="A285">
            <v>-6.8</v>
          </cell>
          <cell r="B285">
            <v>0.64770000000000005</v>
          </cell>
        </row>
        <row r="286">
          <cell r="A286">
            <v>-6.7</v>
          </cell>
          <cell r="B286">
            <v>0.64759999999999995</v>
          </cell>
        </row>
        <row r="287">
          <cell r="A287">
            <v>-6.6</v>
          </cell>
          <cell r="B287">
            <v>0.64739999999999998</v>
          </cell>
        </row>
        <row r="288">
          <cell r="A288">
            <v>-6.5</v>
          </cell>
          <cell r="B288">
            <v>0.64729999999999999</v>
          </cell>
        </row>
        <row r="289">
          <cell r="A289">
            <v>-6.4</v>
          </cell>
          <cell r="B289">
            <v>0.6472</v>
          </cell>
        </row>
        <row r="290">
          <cell r="A290">
            <v>-6.3</v>
          </cell>
          <cell r="B290">
            <v>0.64710000000000001</v>
          </cell>
        </row>
        <row r="291">
          <cell r="A291">
            <v>-6.2</v>
          </cell>
          <cell r="B291">
            <v>0.64690000000000003</v>
          </cell>
        </row>
        <row r="292">
          <cell r="A292">
            <v>-6.1</v>
          </cell>
          <cell r="B292">
            <v>0.64680000000000004</v>
          </cell>
        </row>
        <row r="293">
          <cell r="A293">
            <v>-6</v>
          </cell>
          <cell r="B293">
            <v>0.64670000000000005</v>
          </cell>
        </row>
        <row r="294">
          <cell r="A294">
            <v>-5.9</v>
          </cell>
          <cell r="B294">
            <v>0.64659999999999995</v>
          </cell>
        </row>
        <row r="295">
          <cell r="A295">
            <v>-5.8</v>
          </cell>
          <cell r="B295">
            <v>0.64639999999999997</v>
          </cell>
        </row>
        <row r="296">
          <cell r="A296">
            <v>-5.7</v>
          </cell>
          <cell r="B296">
            <v>0.64629999999999999</v>
          </cell>
        </row>
        <row r="297">
          <cell r="A297">
            <v>-5.6</v>
          </cell>
          <cell r="B297">
            <v>0.64610000000000001</v>
          </cell>
        </row>
        <row r="298">
          <cell r="A298">
            <v>-5.5</v>
          </cell>
          <cell r="B298">
            <v>0.64600000000000002</v>
          </cell>
        </row>
        <row r="299">
          <cell r="A299">
            <v>-5.4</v>
          </cell>
          <cell r="B299">
            <v>0.64590000000000003</v>
          </cell>
        </row>
        <row r="300">
          <cell r="A300">
            <v>-5.3</v>
          </cell>
          <cell r="B300">
            <v>0.64570000000000005</v>
          </cell>
        </row>
        <row r="301">
          <cell r="A301">
            <v>-5.2</v>
          </cell>
          <cell r="B301">
            <v>0.64559999999999995</v>
          </cell>
        </row>
        <row r="302">
          <cell r="A302">
            <v>-5.0999999999999996</v>
          </cell>
          <cell r="B302">
            <v>0.64539999999999997</v>
          </cell>
        </row>
        <row r="303">
          <cell r="A303">
            <v>-5</v>
          </cell>
          <cell r="B303">
            <v>0.64529999999999998</v>
          </cell>
        </row>
        <row r="304">
          <cell r="A304">
            <v>-4.9000000000000004</v>
          </cell>
          <cell r="B304">
            <v>0.6452</v>
          </cell>
        </row>
        <row r="305">
          <cell r="A305">
            <v>-4.8</v>
          </cell>
          <cell r="B305">
            <v>0.64510000000000001</v>
          </cell>
        </row>
        <row r="306">
          <cell r="A306">
            <v>-4.7</v>
          </cell>
          <cell r="B306">
            <v>0.64490000000000003</v>
          </cell>
        </row>
        <row r="307">
          <cell r="A307">
            <v>-4.5999999999999996</v>
          </cell>
          <cell r="B307">
            <v>0.64480000000000004</v>
          </cell>
        </row>
        <row r="308">
          <cell r="A308">
            <v>-4.5</v>
          </cell>
          <cell r="B308">
            <v>0.64470000000000005</v>
          </cell>
        </row>
        <row r="309">
          <cell r="A309">
            <v>-4.4000000000000004</v>
          </cell>
          <cell r="B309">
            <v>0.64459999999999995</v>
          </cell>
        </row>
        <row r="310">
          <cell r="A310">
            <v>-4.3</v>
          </cell>
          <cell r="B310">
            <v>0.64439999999999997</v>
          </cell>
        </row>
        <row r="311">
          <cell r="A311">
            <v>-4.2</v>
          </cell>
          <cell r="B311">
            <v>0.64429999999999998</v>
          </cell>
        </row>
        <row r="312">
          <cell r="A312">
            <v>-4.0999999999999996</v>
          </cell>
          <cell r="B312">
            <v>0.64410000000000001</v>
          </cell>
        </row>
        <row r="313">
          <cell r="A313">
            <v>-4</v>
          </cell>
          <cell r="B313">
            <v>0.64400000000000002</v>
          </cell>
        </row>
        <row r="314">
          <cell r="A314">
            <v>-3.9</v>
          </cell>
          <cell r="B314">
            <v>0.64390000000000003</v>
          </cell>
        </row>
        <row r="315">
          <cell r="A315">
            <v>-3.8</v>
          </cell>
          <cell r="B315">
            <v>0.64370000000000005</v>
          </cell>
        </row>
        <row r="316">
          <cell r="A316">
            <v>-3.7</v>
          </cell>
          <cell r="B316">
            <v>0.64359999999999995</v>
          </cell>
        </row>
        <row r="317">
          <cell r="A317">
            <v>-3.6</v>
          </cell>
          <cell r="B317">
            <v>0.64339999999999997</v>
          </cell>
        </row>
        <row r="318">
          <cell r="A318">
            <v>-3.5</v>
          </cell>
          <cell r="B318">
            <v>0.64329999999999998</v>
          </cell>
        </row>
        <row r="319">
          <cell r="A319">
            <v>-3.4</v>
          </cell>
          <cell r="B319">
            <v>0.64319999999999999</v>
          </cell>
        </row>
        <row r="320">
          <cell r="A320">
            <v>-3.3</v>
          </cell>
          <cell r="B320">
            <v>0.64300000000000002</v>
          </cell>
        </row>
        <row r="321">
          <cell r="A321">
            <v>-3.2</v>
          </cell>
          <cell r="B321">
            <v>0.64290000000000003</v>
          </cell>
        </row>
        <row r="322">
          <cell r="A322">
            <v>-3.1</v>
          </cell>
          <cell r="B322">
            <v>0.64270000000000005</v>
          </cell>
        </row>
        <row r="323">
          <cell r="A323">
            <v>-3</v>
          </cell>
          <cell r="B323">
            <v>0.64259999999999995</v>
          </cell>
        </row>
        <row r="324">
          <cell r="A324">
            <v>-2.9</v>
          </cell>
          <cell r="B324">
            <v>0.64249999999999996</v>
          </cell>
        </row>
        <row r="325">
          <cell r="A325">
            <v>-2.8</v>
          </cell>
          <cell r="B325">
            <v>0.64239999999999997</v>
          </cell>
        </row>
        <row r="326">
          <cell r="A326">
            <v>-2.7</v>
          </cell>
          <cell r="B326">
            <v>0.64219999999999999</v>
          </cell>
        </row>
        <row r="327">
          <cell r="A327">
            <v>-2.6</v>
          </cell>
          <cell r="B327">
            <v>0.6421</v>
          </cell>
        </row>
        <row r="328">
          <cell r="A328">
            <v>-2.5</v>
          </cell>
          <cell r="B328">
            <v>0.64200000000000002</v>
          </cell>
        </row>
        <row r="329">
          <cell r="A329">
            <v>-2.4</v>
          </cell>
          <cell r="B329">
            <v>0.64190000000000003</v>
          </cell>
        </row>
        <row r="330">
          <cell r="A330">
            <v>-2.2999999999999998</v>
          </cell>
          <cell r="B330">
            <v>0.64170000000000005</v>
          </cell>
        </row>
        <row r="331">
          <cell r="A331">
            <v>-2.2000000000000002</v>
          </cell>
          <cell r="B331">
            <v>0.64159999999999995</v>
          </cell>
        </row>
        <row r="332">
          <cell r="A332">
            <v>-2.1</v>
          </cell>
          <cell r="B332">
            <v>0.64139999999999997</v>
          </cell>
        </row>
        <row r="333">
          <cell r="A333">
            <v>-2</v>
          </cell>
          <cell r="B333">
            <v>0.64129999999999998</v>
          </cell>
        </row>
        <row r="334">
          <cell r="A334">
            <v>-1.9</v>
          </cell>
          <cell r="B334">
            <v>0.64119999999999999</v>
          </cell>
        </row>
        <row r="335">
          <cell r="A335">
            <v>-1.8</v>
          </cell>
          <cell r="B335">
            <v>0.64100000000000001</v>
          </cell>
        </row>
        <row r="336">
          <cell r="A336">
            <v>-1.7</v>
          </cell>
          <cell r="B336">
            <v>0.64090000000000003</v>
          </cell>
        </row>
        <row r="337">
          <cell r="A337">
            <v>-1.6</v>
          </cell>
          <cell r="B337">
            <v>0.64070000000000005</v>
          </cell>
        </row>
        <row r="338">
          <cell r="A338">
            <v>-1.5</v>
          </cell>
          <cell r="B338">
            <v>0.64059999999999995</v>
          </cell>
        </row>
        <row r="339">
          <cell r="A339">
            <v>-1.4</v>
          </cell>
          <cell r="B339">
            <v>0.64049999999999996</v>
          </cell>
        </row>
        <row r="340">
          <cell r="A340">
            <v>-1.3</v>
          </cell>
          <cell r="B340">
            <v>0.64029999999999998</v>
          </cell>
        </row>
        <row r="341">
          <cell r="A341">
            <v>-1.2</v>
          </cell>
          <cell r="B341">
            <v>0.64019999999999999</v>
          </cell>
        </row>
        <row r="342">
          <cell r="A342">
            <v>-1.1000000000000001</v>
          </cell>
          <cell r="B342">
            <v>0.64</v>
          </cell>
        </row>
        <row r="343">
          <cell r="A343">
            <v>-1</v>
          </cell>
          <cell r="B343">
            <v>0.63990000000000002</v>
          </cell>
        </row>
        <row r="344">
          <cell r="A344">
            <v>-0.9</v>
          </cell>
          <cell r="B344">
            <v>0.63980000000000004</v>
          </cell>
        </row>
        <row r="345">
          <cell r="A345">
            <v>-0.8</v>
          </cell>
          <cell r="B345">
            <v>0.63959999999999995</v>
          </cell>
        </row>
        <row r="346">
          <cell r="A346">
            <v>-0.7</v>
          </cell>
          <cell r="B346">
            <v>0.63949999999999996</v>
          </cell>
        </row>
        <row r="347">
          <cell r="A347">
            <v>-0.6</v>
          </cell>
          <cell r="B347">
            <v>0.63929999999999998</v>
          </cell>
        </row>
        <row r="348">
          <cell r="A348">
            <v>-0.5</v>
          </cell>
          <cell r="B348">
            <v>0.63919999999999999</v>
          </cell>
        </row>
        <row r="349">
          <cell r="A349">
            <v>-0.4</v>
          </cell>
          <cell r="B349">
            <v>0.6391</v>
          </cell>
        </row>
        <row r="350">
          <cell r="A350">
            <v>-0.3</v>
          </cell>
          <cell r="B350">
            <v>0.63900000000000001</v>
          </cell>
        </row>
        <row r="351">
          <cell r="A351">
            <v>-0.2</v>
          </cell>
          <cell r="B351">
            <v>0.63880000000000003</v>
          </cell>
        </row>
        <row r="352">
          <cell r="A352">
            <v>-0.1</v>
          </cell>
          <cell r="B352">
            <v>0.63870000000000005</v>
          </cell>
        </row>
        <row r="353">
          <cell r="A353">
            <v>0</v>
          </cell>
          <cell r="B353">
            <v>0.63859999999999995</v>
          </cell>
        </row>
        <row r="354">
          <cell r="A354">
            <v>0.1</v>
          </cell>
          <cell r="B354">
            <v>0.63849999999999996</v>
          </cell>
        </row>
        <row r="355">
          <cell r="A355">
            <v>0.2</v>
          </cell>
          <cell r="B355">
            <v>0.63829999999999998</v>
          </cell>
        </row>
        <row r="356">
          <cell r="A356">
            <v>0.3</v>
          </cell>
          <cell r="B356">
            <v>0.63819999999999999</v>
          </cell>
        </row>
        <row r="357">
          <cell r="A357">
            <v>0.4</v>
          </cell>
          <cell r="B357">
            <v>0.63800000000000001</v>
          </cell>
        </row>
        <row r="358">
          <cell r="A358">
            <v>0.5</v>
          </cell>
          <cell r="B358">
            <v>0.63790000000000002</v>
          </cell>
        </row>
        <row r="359">
          <cell r="A359">
            <v>0.6</v>
          </cell>
          <cell r="B359">
            <v>0.63780000000000003</v>
          </cell>
        </row>
        <row r="360">
          <cell r="A360">
            <v>0.7</v>
          </cell>
          <cell r="B360">
            <v>0.63759999999999994</v>
          </cell>
        </row>
        <row r="361">
          <cell r="A361">
            <v>0.8</v>
          </cell>
          <cell r="B361">
            <v>0.63749999999999996</v>
          </cell>
        </row>
        <row r="362">
          <cell r="A362">
            <v>0.9</v>
          </cell>
          <cell r="B362">
            <v>0.63729999999999998</v>
          </cell>
        </row>
        <row r="363">
          <cell r="A363">
            <v>1</v>
          </cell>
          <cell r="B363">
            <v>0.63719999999999999</v>
          </cell>
        </row>
        <row r="364">
          <cell r="A364">
            <v>1.1000000000000001</v>
          </cell>
          <cell r="B364">
            <v>0.6371</v>
          </cell>
        </row>
        <row r="365">
          <cell r="A365">
            <v>1.2</v>
          </cell>
          <cell r="B365">
            <v>0.63690000000000002</v>
          </cell>
        </row>
        <row r="366">
          <cell r="A366">
            <v>1.3</v>
          </cell>
          <cell r="B366">
            <v>0.63680000000000003</v>
          </cell>
        </row>
        <row r="367">
          <cell r="A367">
            <v>1.4</v>
          </cell>
          <cell r="B367">
            <v>0.63660000000000005</v>
          </cell>
        </row>
        <row r="368">
          <cell r="A368">
            <v>1.5</v>
          </cell>
          <cell r="B368">
            <v>0.63649999999999995</v>
          </cell>
        </row>
        <row r="369">
          <cell r="A369">
            <v>1.6</v>
          </cell>
          <cell r="B369">
            <v>0.63639999999999997</v>
          </cell>
        </row>
        <row r="370">
          <cell r="A370">
            <v>1.7</v>
          </cell>
          <cell r="B370">
            <v>0.63619999999999999</v>
          </cell>
        </row>
        <row r="371">
          <cell r="A371">
            <v>1.8</v>
          </cell>
          <cell r="B371">
            <v>0.6361</v>
          </cell>
        </row>
        <row r="372">
          <cell r="A372">
            <v>1.9</v>
          </cell>
          <cell r="B372">
            <v>0.63590000000000002</v>
          </cell>
        </row>
        <row r="373">
          <cell r="A373">
            <v>2</v>
          </cell>
          <cell r="B373">
            <v>0.63580000000000003</v>
          </cell>
        </row>
        <row r="374">
          <cell r="A374">
            <v>2.1</v>
          </cell>
          <cell r="B374">
            <v>0.63570000000000004</v>
          </cell>
        </row>
        <row r="375">
          <cell r="A375">
            <v>2.2000000000000002</v>
          </cell>
          <cell r="B375">
            <v>0.63549999999999995</v>
          </cell>
        </row>
        <row r="376">
          <cell r="A376">
            <v>2.2999999999999998</v>
          </cell>
          <cell r="B376">
            <v>0.63539999999999996</v>
          </cell>
        </row>
        <row r="377">
          <cell r="A377">
            <v>2.4</v>
          </cell>
          <cell r="B377">
            <v>0.63519999999999999</v>
          </cell>
        </row>
        <row r="378">
          <cell r="A378">
            <v>2.5</v>
          </cell>
          <cell r="B378">
            <v>0.6351</v>
          </cell>
        </row>
        <row r="379">
          <cell r="A379">
            <v>2.6</v>
          </cell>
          <cell r="B379">
            <v>0.63500000000000001</v>
          </cell>
        </row>
        <row r="380">
          <cell r="A380">
            <v>2.7</v>
          </cell>
          <cell r="B380">
            <v>0.63490000000000002</v>
          </cell>
        </row>
        <row r="381">
          <cell r="A381">
            <v>2.8</v>
          </cell>
          <cell r="B381">
            <v>0.63470000000000004</v>
          </cell>
        </row>
        <row r="382">
          <cell r="A382">
            <v>2.9</v>
          </cell>
          <cell r="B382">
            <v>0.63460000000000005</v>
          </cell>
        </row>
        <row r="383">
          <cell r="A383">
            <v>3</v>
          </cell>
          <cell r="B383">
            <v>0.63449999999999995</v>
          </cell>
        </row>
        <row r="384">
          <cell r="A384">
            <v>3.1</v>
          </cell>
          <cell r="B384">
            <v>0.63439999999999996</v>
          </cell>
        </row>
        <row r="385">
          <cell r="A385">
            <v>3.2</v>
          </cell>
          <cell r="B385">
            <v>0.63419999999999999</v>
          </cell>
        </row>
        <row r="386">
          <cell r="A386">
            <v>3.3</v>
          </cell>
          <cell r="B386">
            <v>0.6341</v>
          </cell>
        </row>
        <row r="387">
          <cell r="A387">
            <v>3.4</v>
          </cell>
          <cell r="B387">
            <v>0.63390000000000002</v>
          </cell>
        </row>
        <row r="388">
          <cell r="A388">
            <v>3.5</v>
          </cell>
          <cell r="B388">
            <v>0.63380000000000003</v>
          </cell>
        </row>
        <row r="389">
          <cell r="A389">
            <v>3.6</v>
          </cell>
          <cell r="B389">
            <v>0.63370000000000004</v>
          </cell>
        </row>
        <row r="390">
          <cell r="A390">
            <v>3.7</v>
          </cell>
          <cell r="B390">
            <v>0.63349999999999995</v>
          </cell>
        </row>
        <row r="391">
          <cell r="A391">
            <v>3.8</v>
          </cell>
          <cell r="B391">
            <v>0.63339999999999996</v>
          </cell>
        </row>
        <row r="392">
          <cell r="A392">
            <v>3.9</v>
          </cell>
          <cell r="B392">
            <v>0.63319999999999999</v>
          </cell>
        </row>
        <row r="393">
          <cell r="A393">
            <v>4</v>
          </cell>
          <cell r="B393">
            <v>0.6331</v>
          </cell>
        </row>
        <row r="394">
          <cell r="A394">
            <v>4.0999999999999996</v>
          </cell>
          <cell r="B394">
            <v>0.63300000000000001</v>
          </cell>
        </row>
        <row r="395">
          <cell r="A395">
            <v>4.2</v>
          </cell>
          <cell r="B395">
            <v>0.63280000000000003</v>
          </cell>
        </row>
        <row r="396">
          <cell r="A396">
            <v>4.3</v>
          </cell>
          <cell r="B396">
            <v>0.63270000000000004</v>
          </cell>
        </row>
        <row r="397">
          <cell r="A397">
            <v>4.4000000000000004</v>
          </cell>
          <cell r="B397">
            <v>0.63249999999999995</v>
          </cell>
        </row>
        <row r="398">
          <cell r="A398">
            <v>4.5</v>
          </cell>
          <cell r="B398">
            <v>0.63239999999999996</v>
          </cell>
        </row>
        <row r="399">
          <cell r="A399">
            <v>4.5999999999999996</v>
          </cell>
          <cell r="B399">
            <v>0.63229999999999997</v>
          </cell>
        </row>
        <row r="400">
          <cell r="A400">
            <v>4.7</v>
          </cell>
          <cell r="B400">
            <v>0.6321</v>
          </cell>
        </row>
        <row r="401">
          <cell r="A401">
            <v>4.8</v>
          </cell>
          <cell r="B401">
            <v>0.63200000000000001</v>
          </cell>
        </row>
        <row r="402">
          <cell r="A402">
            <v>4.9000000000000004</v>
          </cell>
          <cell r="B402">
            <v>0.63180000000000003</v>
          </cell>
        </row>
        <row r="403">
          <cell r="A403">
            <v>5</v>
          </cell>
          <cell r="B403">
            <v>0.63170000000000004</v>
          </cell>
        </row>
        <row r="404">
          <cell r="A404">
            <v>5.0999999999999996</v>
          </cell>
          <cell r="B404">
            <v>0.63160000000000005</v>
          </cell>
        </row>
        <row r="405">
          <cell r="A405">
            <v>5.2</v>
          </cell>
          <cell r="B405">
            <v>0.63139999999999996</v>
          </cell>
        </row>
        <row r="406">
          <cell r="A406">
            <v>5.3</v>
          </cell>
          <cell r="B406">
            <v>0.63129999999999997</v>
          </cell>
        </row>
        <row r="407">
          <cell r="A407">
            <v>5.4</v>
          </cell>
          <cell r="B407">
            <v>0.63109999999999999</v>
          </cell>
        </row>
        <row r="408">
          <cell r="A408">
            <v>5.5</v>
          </cell>
          <cell r="B408">
            <v>0.63100000000000001</v>
          </cell>
        </row>
        <row r="409">
          <cell r="A409">
            <v>5.6</v>
          </cell>
          <cell r="B409">
            <v>0.63090000000000002</v>
          </cell>
        </row>
        <row r="410">
          <cell r="A410">
            <v>5.7</v>
          </cell>
          <cell r="B410">
            <v>0.63070000000000004</v>
          </cell>
        </row>
        <row r="411">
          <cell r="A411">
            <v>5.8</v>
          </cell>
          <cell r="B411">
            <v>0.63060000000000005</v>
          </cell>
        </row>
        <row r="412">
          <cell r="A412">
            <v>5.9</v>
          </cell>
          <cell r="B412">
            <v>0.63039999999999996</v>
          </cell>
        </row>
        <row r="413">
          <cell r="A413">
            <v>6</v>
          </cell>
          <cell r="B413">
            <v>0.63029999999999997</v>
          </cell>
        </row>
        <row r="414">
          <cell r="A414">
            <v>6.1</v>
          </cell>
          <cell r="B414">
            <v>0.63019999999999998</v>
          </cell>
        </row>
        <row r="415">
          <cell r="A415">
            <v>6.2</v>
          </cell>
          <cell r="B415">
            <v>0.63</v>
          </cell>
        </row>
        <row r="416">
          <cell r="A416">
            <v>6.3</v>
          </cell>
          <cell r="B416">
            <v>0.62990000000000002</v>
          </cell>
        </row>
        <row r="417">
          <cell r="A417">
            <v>6.4</v>
          </cell>
          <cell r="B417">
            <v>0.62970000000000004</v>
          </cell>
        </row>
        <row r="418">
          <cell r="A418">
            <v>6.5</v>
          </cell>
          <cell r="B418">
            <v>0.62960000000000005</v>
          </cell>
        </row>
        <row r="419">
          <cell r="A419">
            <v>6.6</v>
          </cell>
          <cell r="B419">
            <v>0.62949999999999995</v>
          </cell>
        </row>
        <row r="420">
          <cell r="A420">
            <v>6.7</v>
          </cell>
          <cell r="B420">
            <v>0.62929999999999997</v>
          </cell>
        </row>
        <row r="421">
          <cell r="A421">
            <v>6.8</v>
          </cell>
          <cell r="B421">
            <v>0.62919999999999998</v>
          </cell>
        </row>
        <row r="422">
          <cell r="A422">
            <v>6.9</v>
          </cell>
          <cell r="B422">
            <v>0.629</v>
          </cell>
        </row>
        <row r="423">
          <cell r="A423">
            <v>7</v>
          </cell>
          <cell r="B423">
            <v>0.62890000000000001</v>
          </cell>
        </row>
        <row r="424">
          <cell r="A424">
            <v>7.1</v>
          </cell>
          <cell r="B424">
            <v>0.62880000000000003</v>
          </cell>
        </row>
        <row r="425">
          <cell r="A425">
            <v>7.2</v>
          </cell>
          <cell r="B425">
            <v>0.62860000000000005</v>
          </cell>
        </row>
        <row r="426">
          <cell r="A426">
            <v>7.3</v>
          </cell>
          <cell r="B426">
            <v>0.62849999999999995</v>
          </cell>
        </row>
        <row r="427">
          <cell r="A427">
            <v>7.4</v>
          </cell>
          <cell r="B427">
            <v>0.62829999999999997</v>
          </cell>
        </row>
        <row r="428">
          <cell r="A428">
            <v>7.5</v>
          </cell>
          <cell r="B428">
            <v>0.62819999999999998</v>
          </cell>
        </row>
        <row r="429">
          <cell r="A429">
            <v>7.6</v>
          </cell>
          <cell r="B429">
            <v>0.62809999999999999</v>
          </cell>
        </row>
        <row r="430">
          <cell r="A430">
            <v>7.7</v>
          </cell>
          <cell r="B430">
            <v>0.62790000000000001</v>
          </cell>
        </row>
        <row r="431">
          <cell r="A431">
            <v>7.8</v>
          </cell>
          <cell r="B431">
            <v>0.62780000000000002</v>
          </cell>
        </row>
        <row r="432">
          <cell r="A432">
            <v>7.9</v>
          </cell>
          <cell r="B432">
            <v>0.62760000000000005</v>
          </cell>
        </row>
        <row r="433">
          <cell r="A433">
            <v>8</v>
          </cell>
          <cell r="B433">
            <v>0.62749999999999995</v>
          </cell>
        </row>
        <row r="434">
          <cell r="A434">
            <v>8.1</v>
          </cell>
          <cell r="B434">
            <v>0.62739999999999996</v>
          </cell>
        </row>
        <row r="435">
          <cell r="A435">
            <v>8.1999999999999993</v>
          </cell>
          <cell r="B435">
            <v>0.62719999999999998</v>
          </cell>
        </row>
        <row r="436">
          <cell r="A436">
            <v>8.3000000000000007</v>
          </cell>
          <cell r="B436">
            <v>0.62709999999999999</v>
          </cell>
        </row>
        <row r="437">
          <cell r="A437">
            <v>8.4</v>
          </cell>
          <cell r="B437">
            <v>0.62690000000000001</v>
          </cell>
        </row>
        <row r="438">
          <cell r="A438">
            <v>8.5</v>
          </cell>
          <cell r="B438">
            <v>0.62680000000000002</v>
          </cell>
        </row>
        <row r="439">
          <cell r="A439">
            <v>8.6</v>
          </cell>
          <cell r="B439">
            <v>0.62670000000000003</v>
          </cell>
        </row>
        <row r="440">
          <cell r="A440">
            <v>8.6999999999999993</v>
          </cell>
          <cell r="B440">
            <v>0.62649999999999995</v>
          </cell>
        </row>
        <row r="441">
          <cell r="A441">
            <v>8.8000000000000007</v>
          </cell>
          <cell r="B441">
            <v>0.62639999999999996</v>
          </cell>
        </row>
        <row r="442">
          <cell r="A442">
            <v>8.9</v>
          </cell>
          <cell r="B442">
            <v>0.62619999999999998</v>
          </cell>
        </row>
        <row r="443">
          <cell r="A443">
            <v>9</v>
          </cell>
          <cell r="B443">
            <v>0.62609999999999999</v>
          </cell>
        </row>
        <row r="444">
          <cell r="A444">
            <v>9.1</v>
          </cell>
          <cell r="B444">
            <v>0.626</v>
          </cell>
        </row>
        <row r="445">
          <cell r="A445">
            <v>9.1999999999999993</v>
          </cell>
          <cell r="B445">
            <v>0.62580000000000002</v>
          </cell>
        </row>
        <row r="446">
          <cell r="A446">
            <v>9.3000000000000007</v>
          </cell>
          <cell r="B446">
            <v>0.62570000000000003</v>
          </cell>
        </row>
        <row r="447">
          <cell r="A447">
            <v>9.4</v>
          </cell>
          <cell r="B447">
            <v>0.62549999999999994</v>
          </cell>
        </row>
        <row r="448">
          <cell r="A448">
            <v>9.5</v>
          </cell>
          <cell r="B448">
            <v>0.62539999999999996</v>
          </cell>
        </row>
        <row r="449">
          <cell r="A449">
            <v>9.6</v>
          </cell>
          <cell r="B449">
            <v>0.62529999999999997</v>
          </cell>
        </row>
        <row r="450">
          <cell r="A450">
            <v>9.6999999999999993</v>
          </cell>
          <cell r="B450">
            <v>0.62509999999999999</v>
          </cell>
        </row>
        <row r="451">
          <cell r="A451">
            <v>9.8000000000000007</v>
          </cell>
          <cell r="B451">
            <v>0.625</v>
          </cell>
        </row>
        <row r="452">
          <cell r="A452">
            <v>9.9</v>
          </cell>
          <cell r="B452">
            <v>0.62480000000000002</v>
          </cell>
        </row>
        <row r="453">
          <cell r="A453">
            <v>10</v>
          </cell>
          <cell r="B453">
            <v>0.62470000000000003</v>
          </cell>
        </row>
        <row r="454">
          <cell r="A454">
            <v>10.1</v>
          </cell>
          <cell r="B454">
            <v>0.62460000000000004</v>
          </cell>
        </row>
        <row r="455">
          <cell r="A455">
            <v>10.199999999999999</v>
          </cell>
          <cell r="B455">
            <v>0.62439999999999996</v>
          </cell>
        </row>
        <row r="456">
          <cell r="A456">
            <v>10.3</v>
          </cell>
          <cell r="B456">
            <v>0.62429999999999997</v>
          </cell>
        </row>
        <row r="457">
          <cell r="A457">
            <v>10.4</v>
          </cell>
          <cell r="B457">
            <v>0.62409999999999999</v>
          </cell>
        </row>
        <row r="458">
          <cell r="A458">
            <v>10.5</v>
          </cell>
          <cell r="B458">
            <v>0.624</v>
          </cell>
        </row>
        <row r="459">
          <cell r="A459">
            <v>10.6</v>
          </cell>
          <cell r="B459">
            <v>0.62390000000000001</v>
          </cell>
        </row>
        <row r="460">
          <cell r="A460">
            <v>10.7</v>
          </cell>
          <cell r="B460">
            <v>0.62370000000000003</v>
          </cell>
        </row>
        <row r="461">
          <cell r="A461">
            <v>10.8</v>
          </cell>
          <cell r="B461">
            <v>0.62360000000000004</v>
          </cell>
        </row>
        <row r="462">
          <cell r="A462">
            <v>10.9</v>
          </cell>
          <cell r="B462">
            <v>0.62339999999999995</v>
          </cell>
        </row>
        <row r="463">
          <cell r="A463">
            <v>11</v>
          </cell>
          <cell r="B463">
            <v>0.62329999999999997</v>
          </cell>
        </row>
        <row r="464">
          <cell r="A464">
            <v>11.1</v>
          </cell>
          <cell r="B464">
            <v>0.62319999999999998</v>
          </cell>
        </row>
        <row r="465">
          <cell r="A465">
            <v>11.2</v>
          </cell>
          <cell r="B465">
            <v>0.623</v>
          </cell>
        </row>
        <row r="466">
          <cell r="A466">
            <v>11.3</v>
          </cell>
          <cell r="B466">
            <v>0.62290000000000001</v>
          </cell>
        </row>
        <row r="467">
          <cell r="A467">
            <v>11.4</v>
          </cell>
          <cell r="B467">
            <v>0.62270000000000003</v>
          </cell>
        </row>
        <row r="468">
          <cell r="A468">
            <v>11.5</v>
          </cell>
          <cell r="B468">
            <v>0.62260000000000004</v>
          </cell>
        </row>
        <row r="469">
          <cell r="A469">
            <v>11.6</v>
          </cell>
          <cell r="B469">
            <v>0.62239999999999995</v>
          </cell>
        </row>
        <row r="470">
          <cell r="A470">
            <v>11.7</v>
          </cell>
          <cell r="B470">
            <v>0.62229999999999996</v>
          </cell>
        </row>
        <row r="471">
          <cell r="A471">
            <v>11.8</v>
          </cell>
          <cell r="B471">
            <v>0.62209999999999999</v>
          </cell>
        </row>
        <row r="472">
          <cell r="A472">
            <v>11.9</v>
          </cell>
          <cell r="B472">
            <v>0.622</v>
          </cell>
        </row>
        <row r="473">
          <cell r="A473">
            <v>12</v>
          </cell>
          <cell r="B473">
            <v>0.62180000000000002</v>
          </cell>
        </row>
        <row r="474">
          <cell r="A474">
            <v>12.1</v>
          </cell>
          <cell r="B474">
            <v>0.62170000000000003</v>
          </cell>
        </row>
        <row r="475">
          <cell r="A475">
            <v>12.2</v>
          </cell>
          <cell r="B475">
            <v>0.62150000000000005</v>
          </cell>
        </row>
        <row r="476">
          <cell r="A476">
            <v>12.3</v>
          </cell>
          <cell r="B476">
            <v>0.62139999999999995</v>
          </cell>
        </row>
        <row r="477">
          <cell r="A477">
            <v>12.4</v>
          </cell>
          <cell r="B477">
            <v>0.62119999999999997</v>
          </cell>
        </row>
        <row r="478">
          <cell r="A478">
            <v>12.5</v>
          </cell>
          <cell r="B478">
            <v>0.62109999999999999</v>
          </cell>
        </row>
        <row r="479">
          <cell r="A479">
            <v>12.6</v>
          </cell>
          <cell r="B479">
            <v>0.621</v>
          </cell>
        </row>
        <row r="480">
          <cell r="A480">
            <v>12.7</v>
          </cell>
          <cell r="B480">
            <v>0.62080000000000002</v>
          </cell>
        </row>
        <row r="481">
          <cell r="A481">
            <v>12.8</v>
          </cell>
          <cell r="B481">
            <v>0.62070000000000003</v>
          </cell>
        </row>
        <row r="482">
          <cell r="A482">
            <v>12.9</v>
          </cell>
          <cell r="B482">
            <v>0.62050000000000005</v>
          </cell>
        </row>
        <row r="483">
          <cell r="A483">
            <v>13</v>
          </cell>
          <cell r="B483">
            <v>0.62039999999999995</v>
          </cell>
        </row>
        <row r="484">
          <cell r="A484">
            <v>13.1</v>
          </cell>
          <cell r="B484">
            <v>0.62029999999999996</v>
          </cell>
        </row>
        <row r="485">
          <cell r="A485">
            <v>13.2</v>
          </cell>
          <cell r="B485">
            <v>0.62009999999999998</v>
          </cell>
        </row>
        <row r="486">
          <cell r="A486">
            <v>13.3</v>
          </cell>
          <cell r="B486">
            <v>0.62</v>
          </cell>
        </row>
        <row r="487">
          <cell r="A487">
            <v>13.4</v>
          </cell>
          <cell r="B487">
            <v>0.61980000000000002</v>
          </cell>
        </row>
        <row r="488">
          <cell r="A488">
            <v>13.5</v>
          </cell>
          <cell r="B488">
            <v>0.61970000000000003</v>
          </cell>
        </row>
        <row r="489">
          <cell r="A489">
            <v>13.6</v>
          </cell>
          <cell r="B489">
            <v>0.61960000000000004</v>
          </cell>
        </row>
        <row r="490">
          <cell r="A490">
            <v>13.7</v>
          </cell>
          <cell r="B490">
            <v>0.61939999999999995</v>
          </cell>
        </row>
        <row r="491">
          <cell r="A491">
            <v>13.8</v>
          </cell>
          <cell r="B491">
            <v>0.61929999999999996</v>
          </cell>
        </row>
        <row r="492">
          <cell r="A492">
            <v>13.9</v>
          </cell>
          <cell r="B492">
            <v>0.61909999999999998</v>
          </cell>
        </row>
        <row r="493">
          <cell r="A493">
            <v>14</v>
          </cell>
          <cell r="B493">
            <v>0.61899999999999999</v>
          </cell>
        </row>
        <row r="494">
          <cell r="A494">
            <v>14.1</v>
          </cell>
          <cell r="B494">
            <v>0.61890000000000001</v>
          </cell>
        </row>
        <row r="495">
          <cell r="A495">
            <v>14.2</v>
          </cell>
          <cell r="B495">
            <v>0.61870000000000003</v>
          </cell>
        </row>
        <row r="496">
          <cell r="A496">
            <v>14.3</v>
          </cell>
          <cell r="B496">
            <v>0.61860000000000004</v>
          </cell>
        </row>
        <row r="497">
          <cell r="A497">
            <v>14.4</v>
          </cell>
          <cell r="B497">
            <v>0.61839999999999995</v>
          </cell>
        </row>
        <row r="498">
          <cell r="A498">
            <v>14.5</v>
          </cell>
          <cell r="B498">
            <v>0.61829999999999996</v>
          </cell>
        </row>
        <row r="499">
          <cell r="A499">
            <v>14.6</v>
          </cell>
          <cell r="B499">
            <v>0.61809999999999998</v>
          </cell>
        </row>
        <row r="500">
          <cell r="A500">
            <v>14.7</v>
          </cell>
          <cell r="B500">
            <v>0.61799999999999999</v>
          </cell>
        </row>
        <row r="501">
          <cell r="A501">
            <v>14.8</v>
          </cell>
          <cell r="B501">
            <v>0.61780000000000002</v>
          </cell>
        </row>
        <row r="502">
          <cell r="A502">
            <v>14.9</v>
          </cell>
          <cell r="B502">
            <v>0.61770000000000003</v>
          </cell>
        </row>
        <row r="503">
          <cell r="A503">
            <v>15</v>
          </cell>
          <cell r="B503">
            <v>0.61750000000000005</v>
          </cell>
        </row>
        <row r="504">
          <cell r="A504">
            <v>15.1</v>
          </cell>
          <cell r="B504">
            <v>0.61739999999999995</v>
          </cell>
        </row>
        <row r="505">
          <cell r="A505">
            <v>15.2</v>
          </cell>
          <cell r="B505">
            <v>0.61719999999999997</v>
          </cell>
        </row>
        <row r="506">
          <cell r="A506">
            <v>15.3</v>
          </cell>
          <cell r="B506">
            <v>0.61709999999999998</v>
          </cell>
        </row>
        <row r="507">
          <cell r="A507">
            <v>15.4</v>
          </cell>
          <cell r="B507">
            <v>0.6169</v>
          </cell>
        </row>
        <row r="508">
          <cell r="A508">
            <v>15.5</v>
          </cell>
          <cell r="B508">
            <v>0.61680000000000001</v>
          </cell>
        </row>
        <row r="509">
          <cell r="A509">
            <v>15.6</v>
          </cell>
          <cell r="B509">
            <v>0.61670000000000003</v>
          </cell>
        </row>
        <row r="510">
          <cell r="A510">
            <v>15.7</v>
          </cell>
          <cell r="B510">
            <v>0.61650000000000005</v>
          </cell>
        </row>
        <row r="511">
          <cell r="A511">
            <v>15.8</v>
          </cell>
          <cell r="B511">
            <v>0.61639999999999995</v>
          </cell>
        </row>
        <row r="512">
          <cell r="A512">
            <v>15.9</v>
          </cell>
          <cell r="B512">
            <v>0.61619999999999997</v>
          </cell>
        </row>
        <row r="513">
          <cell r="A513">
            <v>16</v>
          </cell>
          <cell r="B513">
            <v>0.61609999999999998</v>
          </cell>
        </row>
        <row r="514">
          <cell r="A514">
            <v>16.100000000000001</v>
          </cell>
          <cell r="B514">
            <v>0.61599999999999999</v>
          </cell>
        </row>
        <row r="515">
          <cell r="A515">
            <v>16.2</v>
          </cell>
          <cell r="B515">
            <v>0.61580000000000001</v>
          </cell>
        </row>
        <row r="516">
          <cell r="A516">
            <v>16.3</v>
          </cell>
          <cell r="B516">
            <v>0.61570000000000003</v>
          </cell>
        </row>
        <row r="517">
          <cell r="A517">
            <v>16.399999999999999</v>
          </cell>
          <cell r="B517">
            <v>0.61550000000000005</v>
          </cell>
        </row>
        <row r="518">
          <cell r="A518">
            <v>16.5</v>
          </cell>
          <cell r="B518">
            <v>0.61539999999999995</v>
          </cell>
        </row>
        <row r="519">
          <cell r="A519">
            <v>16.600000000000001</v>
          </cell>
          <cell r="B519">
            <v>0.61519999999999997</v>
          </cell>
        </row>
        <row r="520">
          <cell r="A520">
            <v>16.7</v>
          </cell>
          <cell r="B520">
            <v>0.61509999999999998</v>
          </cell>
        </row>
        <row r="521">
          <cell r="A521">
            <v>16.8</v>
          </cell>
          <cell r="B521">
            <v>0.6149</v>
          </cell>
        </row>
        <row r="522">
          <cell r="A522">
            <v>16.899999999999999</v>
          </cell>
          <cell r="B522">
            <v>0.61480000000000001</v>
          </cell>
        </row>
        <row r="523">
          <cell r="A523">
            <v>17</v>
          </cell>
          <cell r="B523">
            <v>0.61460000000000004</v>
          </cell>
        </row>
        <row r="524">
          <cell r="A524">
            <v>17.100000000000001</v>
          </cell>
          <cell r="B524">
            <v>0.61450000000000005</v>
          </cell>
        </row>
        <row r="525">
          <cell r="A525">
            <v>17.2</v>
          </cell>
          <cell r="B525">
            <v>0.61429999999999996</v>
          </cell>
        </row>
        <row r="526">
          <cell r="A526">
            <v>17.3</v>
          </cell>
          <cell r="B526">
            <v>0.61419999999999997</v>
          </cell>
        </row>
        <row r="527">
          <cell r="A527">
            <v>17.399999999999999</v>
          </cell>
          <cell r="B527">
            <v>0.61399999999999999</v>
          </cell>
        </row>
        <row r="528">
          <cell r="A528">
            <v>17.5</v>
          </cell>
          <cell r="B528">
            <v>0.6139</v>
          </cell>
        </row>
        <row r="529">
          <cell r="A529">
            <v>17.600000000000001</v>
          </cell>
          <cell r="B529">
            <v>0.61380000000000001</v>
          </cell>
        </row>
        <row r="530">
          <cell r="A530">
            <v>17.7</v>
          </cell>
          <cell r="B530">
            <v>0.61360000000000003</v>
          </cell>
        </row>
        <row r="531">
          <cell r="A531">
            <v>17.8</v>
          </cell>
          <cell r="B531">
            <v>0.61350000000000005</v>
          </cell>
        </row>
        <row r="532">
          <cell r="A532">
            <v>17.899999999999999</v>
          </cell>
          <cell r="B532">
            <v>0.61329999999999996</v>
          </cell>
        </row>
        <row r="533">
          <cell r="A533">
            <v>18</v>
          </cell>
          <cell r="B533">
            <v>0.61319999999999997</v>
          </cell>
        </row>
        <row r="534">
          <cell r="A534">
            <v>18.100000000000001</v>
          </cell>
          <cell r="B534">
            <v>0.61309999999999998</v>
          </cell>
        </row>
        <row r="535">
          <cell r="A535">
            <v>18.2</v>
          </cell>
          <cell r="B535">
            <v>0.6129</v>
          </cell>
        </row>
        <row r="536">
          <cell r="A536">
            <v>18.3</v>
          </cell>
          <cell r="B536">
            <v>0.61280000000000001</v>
          </cell>
        </row>
        <row r="537">
          <cell r="A537">
            <v>18.399999999999999</v>
          </cell>
          <cell r="B537">
            <v>0.61260000000000003</v>
          </cell>
        </row>
        <row r="538">
          <cell r="A538">
            <v>18.5</v>
          </cell>
          <cell r="B538">
            <v>0.61250000000000004</v>
          </cell>
        </row>
        <row r="539">
          <cell r="A539">
            <v>18.600000000000001</v>
          </cell>
          <cell r="B539">
            <v>0.61229999999999996</v>
          </cell>
        </row>
        <row r="540">
          <cell r="A540">
            <v>18.7</v>
          </cell>
          <cell r="B540">
            <v>0.61219999999999997</v>
          </cell>
        </row>
        <row r="541">
          <cell r="A541">
            <v>18.8</v>
          </cell>
          <cell r="B541">
            <v>0.61199999999999999</v>
          </cell>
        </row>
        <row r="542">
          <cell r="A542">
            <v>18.899999999999999</v>
          </cell>
          <cell r="B542">
            <v>0.6119</v>
          </cell>
        </row>
        <row r="543">
          <cell r="A543">
            <v>19</v>
          </cell>
          <cell r="B543">
            <v>0.61170000000000002</v>
          </cell>
        </row>
        <row r="544">
          <cell r="A544">
            <v>19.100000000000001</v>
          </cell>
          <cell r="B544">
            <v>0.61160000000000003</v>
          </cell>
        </row>
        <row r="545">
          <cell r="A545">
            <v>19.2</v>
          </cell>
          <cell r="B545">
            <v>0.61140000000000005</v>
          </cell>
        </row>
        <row r="546">
          <cell r="A546">
            <v>19.3</v>
          </cell>
          <cell r="B546">
            <v>0.61129999999999995</v>
          </cell>
        </row>
        <row r="547">
          <cell r="A547">
            <v>19.399999999999999</v>
          </cell>
          <cell r="B547">
            <v>0.61109999999999998</v>
          </cell>
        </row>
        <row r="548">
          <cell r="A548">
            <v>19.5</v>
          </cell>
          <cell r="B548">
            <v>0.61099999999999999</v>
          </cell>
        </row>
        <row r="549">
          <cell r="A549">
            <v>19.600000000000001</v>
          </cell>
          <cell r="B549">
            <v>0.6109</v>
          </cell>
        </row>
        <row r="550">
          <cell r="A550">
            <v>19.7</v>
          </cell>
          <cell r="B550">
            <v>0.6109</v>
          </cell>
        </row>
        <row r="551">
          <cell r="A551">
            <v>19.8</v>
          </cell>
          <cell r="B551">
            <v>0.6109</v>
          </cell>
        </row>
        <row r="552">
          <cell r="A552">
            <v>19.899999999999999</v>
          </cell>
          <cell r="B552">
            <v>0.6109</v>
          </cell>
        </row>
        <row r="553">
          <cell r="A553">
            <v>20</v>
          </cell>
          <cell r="B553">
            <v>0.61029999999999995</v>
          </cell>
        </row>
        <row r="554">
          <cell r="A554">
            <v>20.100000000000001</v>
          </cell>
          <cell r="B554">
            <v>0.61009999999999998</v>
          </cell>
        </row>
        <row r="555">
          <cell r="A555">
            <v>20.2</v>
          </cell>
          <cell r="B555">
            <v>0.61</v>
          </cell>
        </row>
        <row r="556">
          <cell r="A556">
            <v>20.3</v>
          </cell>
          <cell r="B556">
            <v>0.60980000000000001</v>
          </cell>
        </row>
        <row r="557">
          <cell r="A557">
            <v>20.399999999999999</v>
          </cell>
          <cell r="B557">
            <v>0.60970000000000002</v>
          </cell>
        </row>
        <row r="558">
          <cell r="A558">
            <v>20.5</v>
          </cell>
          <cell r="B558">
            <v>0.60950000000000004</v>
          </cell>
        </row>
        <row r="559">
          <cell r="A559">
            <v>20.6</v>
          </cell>
          <cell r="B559">
            <v>0.60940000000000005</v>
          </cell>
        </row>
        <row r="560">
          <cell r="A560">
            <v>20.7</v>
          </cell>
          <cell r="B560">
            <v>0.60919999999999996</v>
          </cell>
        </row>
        <row r="561">
          <cell r="A561">
            <v>20.8</v>
          </cell>
          <cell r="B561">
            <v>0.60909999999999997</v>
          </cell>
        </row>
        <row r="562">
          <cell r="A562">
            <v>20.9</v>
          </cell>
          <cell r="B562">
            <v>0.6089</v>
          </cell>
        </row>
        <row r="563">
          <cell r="A563">
            <v>21</v>
          </cell>
          <cell r="B563">
            <v>0.60880000000000001</v>
          </cell>
        </row>
        <row r="564">
          <cell r="A564">
            <v>21.1</v>
          </cell>
          <cell r="B564">
            <v>0.60860000000000003</v>
          </cell>
        </row>
        <row r="565">
          <cell r="A565">
            <v>21.2</v>
          </cell>
          <cell r="B565">
            <v>0.60850000000000004</v>
          </cell>
        </row>
        <row r="566">
          <cell r="A566">
            <v>21.3</v>
          </cell>
          <cell r="B566">
            <v>0.60829999999999995</v>
          </cell>
        </row>
        <row r="567">
          <cell r="A567">
            <v>21.4</v>
          </cell>
          <cell r="B567">
            <v>0.60819999999999996</v>
          </cell>
        </row>
        <row r="568">
          <cell r="A568">
            <v>21.5</v>
          </cell>
          <cell r="B568">
            <v>0.60799999999999998</v>
          </cell>
        </row>
        <row r="569">
          <cell r="A569">
            <v>21.6</v>
          </cell>
          <cell r="B569">
            <v>0.6079</v>
          </cell>
        </row>
        <row r="570">
          <cell r="A570">
            <v>21.7</v>
          </cell>
          <cell r="B570">
            <v>0.60770000000000002</v>
          </cell>
        </row>
        <row r="571">
          <cell r="A571">
            <v>21.8</v>
          </cell>
          <cell r="B571">
            <v>0.60760000000000003</v>
          </cell>
        </row>
        <row r="572">
          <cell r="A572">
            <v>21.9</v>
          </cell>
          <cell r="B572">
            <v>0.60740000000000005</v>
          </cell>
        </row>
        <row r="573">
          <cell r="A573">
            <v>22</v>
          </cell>
          <cell r="B573">
            <v>0.60729999999999995</v>
          </cell>
        </row>
        <row r="574">
          <cell r="A574">
            <v>22.1</v>
          </cell>
          <cell r="B574">
            <v>0.60719999999999996</v>
          </cell>
        </row>
        <row r="575">
          <cell r="A575">
            <v>22.2</v>
          </cell>
          <cell r="B575">
            <v>0.60699999999999998</v>
          </cell>
        </row>
        <row r="576">
          <cell r="A576">
            <v>22.3</v>
          </cell>
          <cell r="B576">
            <v>0.6069</v>
          </cell>
        </row>
        <row r="577">
          <cell r="A577">
            <v>22.4</v>
          </cell>
          <cell r="B577">
            <v>0.60670000000000002</v>
          </cell>
        </row>
        <row r="578">
          <cell r="A578">
            <v>22.5</v>
          </cell>
          <cell r="B578">
            <v>0.60660000000000003</v>
          </cell>
        </row>
        <row r="579">
          <cell r="A579">
            <v>22.6</v>
          </cell>
          <cell r="B579">
            <v>0.60640000000000005</v>
          </cell>
        </row>
        <row r="580">
          <cell r="A580">
            <v>22.7</v>
          </cell>
          <cell r="B580">
            <v>0.60629999999999995</v>
          </cell>
        </row>
        <row r="581">
          <cell r="A581">
            <v>22.8</v>
          </cell>
          <cell r="B581">
            <v>0.60609999999999997</v>
          </cell>
        </row>
        <row r="582">
          <cell r="A582">
            <v>22.9</v>
          </cell>
          <cell r="B582">
            <v>0.60599999999999998</v>
          </cell>
        </row>
        <row r="583">
          <cell r="A583">
            <v>23</v>
          </cell>
          <cell r="B583">
            <v>0.60580000000000001</v>
          </cell>
        </row>
        <row r="584">
          <cell r="A584">
            <v>23.1</v>
          </cell>
          <cell r="B584">
            <v>0.60570000000000002</v>
          </cell>
        </row>
        <row r="585">
          <cell r="A585">
            <v>23.2</v>
          </cell>
          <cell r="B585">
            <v>0.60550000000000004</v>
          </cell>
        </row>
        <row r="586">
          <cell r="A586">
            <v>23.3</v>
          </cell>
          <cell r="B586">
            <v>0.60540000000000005</v>
          </cell>
        </row>
        <row r="587">
          <cell r="A587">
            <v>23.4</v>
          </cell>
          <cell r="B587">
            <v>0.60519999999999996</v>
          </cell>
        </row>
        <row r="588">
          <cell r="A588">
            <v>23.5</v>
          </cell>
          <cell r="B588">
            <v>0.60509999999999997</v>
          </cell>
        </row>
        <row r="589">
          <cell r="A589">
            <v>23.6</v>
          </cell>
          <cell r="B589">
            <v>0.60489999999999999</v>
          </cell>
        </row>
        <row r="590">
          <cell r="A590">
            <v>23.7</v>
          </cell>
          <cell r="B590">
            <v>0.6048</v>
          </cell>
        </row>
        <row r="591">
          <cell r="A591">
            <v>23.8</v>
          </cell>
          <cell r="B591">
            <v>0.60460000000000003</v>
          </cell>
        </row>
        <row r="592">
          <cell r="A592">
            <v>23.9</v>
          </cell>
          <cell r="B592">
            <v>0.60450000000000004</v>
          </cell>
        </row>
        <row r="593">
          <cell r="A593">
            <v>24</v>
          </cell>
          <cell r="B593">
            <v>0.60429999999999995</v>
          </cell>
        </row>
        <row r="594">
          <cell r="A594">
            <v>24.1</v>
          </cell>
          <cell r="B594">
            <v>0.60419999999999996</v>
          </cell>
        </row>
        <row r="595">
          <cell r="A595">
            <v>24.2</v>
          </cell>
          <cell r="B595">
            <v>0.60399999999999998</v>
          </cell>
        </row>
        <row r="596">
          <cell r="A596">
            <v>24.3</v>
          </cell>
          <cell r="B596">
            <v>0.60389999999999999</v>
          </cell>
        </row>
        <row r="597">
          <cell r="A597">
            <v>24.4</v>
          </cell>
          <cell r="B597">
            <v>0.60370000000000001</v>
          </cell>
        </row>
        <row r="598">
          <cell r="A598">
            <v>24.5</v>
          </cell>
          <cell r="B598">
            <v>0.60360000000000003</v>
          </cell>
        </row>
        <row r="599">
          <cell r="A599">
            <v>24.6</v>
          </cell>
          <cell r="B599">
            <v>0.60340000000000005</v>
          </cell>
        </row>
        <row r="600">
          <cell r="A600">
            <v>24.7</v>
          </cell>
          <cell r="B600">
            <v>0.60329999999999995</v>
          </cell>
        </row>
        <row r="601">
          <cell r="A601">
            <v>24.8</v>
          </cell>
          <cell r="B601">
            <v>0.60309999999999997</v>
          </cell>
        </row>
        <row r="602">
          <cell r="A602">
            <v>24.9</v>
          </cell>
          <cell r="B602">
            <v>0.60299999999999998</v>
          </cell>
        </row>
        <row r="603">
          <cell r="A603">
            <v>25</v>
          </cell>
          <cell r="B603">
            <v>0.6028</v>
          </cell>
        </row>
        <row r="604">
          <cell r="A604">
            <v>25.1</v>
          </cell>
          <cell r="B604">
            <v>0.60270000000000001</v>
          </cell>
        </row>
        <row r="605">
          <cell r="A605">
            <v>25.2</v>
          </cell>
          <cell r="B605">
            <v>0.60250000000000004</v>
          </cell>
        </row>
        <row r="606">
          <cell r="A606">
            <v>25.3</v>
          </cell>
          <cell r="B606">
            <v>0.60240000000000005</v>
          </cell>
        </row>
        <row r="607">
          <cell r="A607">
            <v>25.4</v>
          </cell>
          <cell r="B607">
            <v>0.60219999999999996</v>
          </cell>
        </row>
        <row r="608">
          <cell r="A608">
            <v>25.5</v>
          </cell>
          <cell r="B608">
            <v>0.60209999999999997</v>
          </cell>
        </row>
        <row r="609">
          <cell r="A609">
            <v>25.6</v>
          </cell>
          <cell r="B609">
            <v>0.60189999999999999</v>
          </cell>
        </row>
        <row r="610">
          <cell r="A610">
            <v>25.7</v>
          </cell>
          <cell r="B610">
            <v>0.6018</v>
          </cell>
        </row>
        <row r="611">
          <cell r="A611">
            <v>25.8</v>
          </cell>
          <cell r="B611">
            <v>0.60160000000000002</v>
          </cell>
        </row>
        <row r="612">
          <cell r="A612">
            <v>25.9</v>
          </cell>
          <cell r="B612">
            <v>0.60150000000000003</v>
          </cell>
        </row>
        <row r="613">
          <cell r="A613">
            <v>26</v>
          </cell>
          <cell r="B613">
            <v>0.60129999999999995</v>
          </cell>
        </row>
        <row r="614">
          <cell r="A614">
            <v>26.1</v>
          </cell>
          <cell r="B614">
            <v>0.60119999999999996</v>
          </cell>
        </row>
        <row r="615">
          <cell r="A615">
            <v>26.2</v>
          </cell>
          <cell r="B615">
            <v>0.60099999999999998</v>
          </cell>
        </row>
        <row r="616">
          <cell r="A616">
            <v>26.3</v>
          </cell>
          <cell r="B616">
            <v>0.60089999999999999</v>
          </cell>
        </row>
        <row r="617">
          <cell r="A617">
            <v>26.4</v>
          </cell>
          <cell r="B617">
            <v>0.60070000000000001</v>
          </cell>
        </row>
        <row r="618">
          <cell r="A618">
            <v>26.5</v>
          </cell>
          <cell r="B618">
            <v>0.60060000000000002</v>
          </cell>
        </row>
        <row r="619">
          <cell r="A619">
            <v>26.6</v>
          </cell>
          <cell r="B619">
            <v>0.60040000000000004</v>
          </cell>
        </row>
        <row r="620">
          <cell r="A620">
            <v>26.7</v>
          </cell>
          <cell r="B620">
            <v>0.60029999999999994</v>
          </cell>
        </row>
        <row r="621">
          <cell r="A621">
            <v>26.8</v>
          </cell>
          <cell r="B621">
            <v>0.60009999999999997</v>
          </cell>
        </row>
        <row r="622">
          <cell r="A622">
            <v>26.9</v>
          </cell>
          <cell r="B622">
            <v>0.6</v>
          </cell>
        </row>
        <row r="623">
          <cell r="A623">
            <v>27</v>
          </cell>
          <cell r="B623">
            <v>0.5998</v>
          </cell>
        </row>
        <row r="624">
          <cell r="A624">
            <v>27.1</v>
          </cell>
          <cell r="B624">
            <v>0.59960000000000002</v>
          </cell>
        </row>
        <row r="625">
          <cell r="A625">
            <v>27.2</v>
          </cell>
          <cell r="B625">
            <v>0.59950000000000003</v>
          </cell>
        </row>
        <row r="626">
          <cell r="A626">
            <v>27.3</v>
          </cell>
          <cell r="B626">
            <v>0.59930000000000005</v>
          </cell>
        </row>
        <row r="627">
          <cell r="A627">
            <v>27.4</v>
          </cell>
          <cell r="B627">
            <v>0.59919999999999995</v>
          </cell>
        </row>
        <row r="628">
          <cell r="A628">
            <v>27.5</v>
          </cell>
          <cell r="B628">
            <v>0.59899999999999998</v>
          </cell>
        </row>
        <row r="629">
          <cell r="A629">
            <v>27.6</v>
          </cell>
          <cell r="B629">
            <v>0.59889999999999999</v>
          </cell>
        </row>
        <row r="630">
          <cell r="A630">
            <v>27.7</v>
          </cell>
          <cell r="B630">
            <v>0.59870000000000001</v>
          </cell>
        </row>
        <row r="631">
          <cell r="A631">
            <v>27.8</v>
          </cell>
          <cell r="B631">
            <v>0.59860000000000002</v>
          </cell>
        </row>
        <row r="632">
          <cell r="A632">
            <v>27.9</v>
          </cell>
          <cell r="B632">
            <v>0.59840000000000004</v>
          </cell>
        </row>
        <row r="633">
          <cell r="A633">
            <v>28</v>
          </cell>
          <cell r="B633">
            <v>0.59830000000000005</v>
          </cell>
        </row>
        <row r="634">
          <cell r="A634">
            <v>28.1</v>
          </cell>
          <cell r="B634">
            <v>0.59809999999999997</v>
          </cell>
        </row>
        <row r="635">
          <cell r="A635">
            <v>28.2</v>
          </cell>
          <cell r="B635">
            <v>0.59799999999999998</v>
          </cell>
        </row>
        <row r="636">
          <cell r="A636">
            <v>28.3</v>
          </cell>
          <cell r="B636">
            <v>0.5978</v>
          </cell>
        </row>
        <row r="637">
          <cell r="A637">
            <v>28.4</v>
          </cell>
          <cell r="B637">
            <v>0.59770000000000001</v>
          </cell>
        </row>
        <row r="638">
          <cell r="A638">
            <v>28.5</v>
          </cell>
          <cell r="B638">
            <v>0.59750000000000003</v>
          </cell>
        </row>
        <row r="639">
          <cell r="A639">
            <v>28.6</v>
          </cell>
          <cell r="B639">
            <v>0.59740000000000004</v>
          </cell>
        </row>
        <row r="640">
          <cell r="A640">
            <v>28.7</v>
          </cell>
          <cell r="B640">
            <v>0.59719999999999995</v>
          </cell>
        </row>
        <row r="641">
          <cell r="A641">
            <v>28.8</v>
          </cell>
          <cell r="B641">
            <v>0.59709999999999996</v>
          </cell>
        </row>
        <row r="642">
          <cell r="A642">
            <v>28.9</v>
          </cell>
          <cell r="B642">
            <v>0.59689999999999999</v>
          </cell>
        </row>
        <row r="643">
          <cell r="A643">
            <v>29</v>
          </cell>
          <cell r="B643">
            <v>0.5968</v>
          </cell>
        </row>
        <row r="644">
          <cell r="A644">
            <v>29.1</v>
          </cell>
          <cell r="B644">
            <v>0.59660000000000002</v>
          </cell>
        </row>
        <row r="645">
          <cell r="A645">
            <v>29.2</v>
          </cell>
          <cell r="B645">
            <v>0.59650000000000003</v>
          </cell>
        </row>
        <row r="646">
          <cell r="A646">
            <v>29.3</v>
          </cell>
          <cell r="B646">
            <v>0.59630000000000005</v>
          </cell>
        </row>
        <row r="647">
          <cell r="A647">
            <v>29.4</v>
          </cell>
          <cell r="B647">
            <v>0.59619999999999995</v>
          </cell>
        </row>
        <row r="648">
          <cell r="A648">
            <v>29.5</v>
          </cell>
          <cell r="B648">
            <v>0.59599999999999997</v>
          </cell>
        </row>
        <row r="649">
          <cell r="A649">
            <v>29.6</v>
          </cell>
          <cell r="B649">
            <v>0.5958</v>
          </cell>
        </row>
        <row r="650">
          <cell r="A650">
            <v>29.7</v>
          </cell>
          <cell r="B650">
            <v>0.59570000000000001</v>
          </cell>
        </row>
        <row r="651">
          <cell r="A651">
            <v>29.8</v>
          </cell>
          <cell r="B651">
            <v>0.59550000000000003</v>
          </cell>
        </row>
        <row r="652">
          <cell r="A652">
            <v>29.9</v>
          </cell>
          <cell r="B652">
            <v>0.59540000000000004</v>
          </cell>
        </row>
        <row r="653">
          <cell r="A653">
            <v>30</v>
          </cell>
          <cell r="B653">
            <v>0.59519999999999995</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
      <sheetName val="VEF"/>
      <sheetName val="Ullage"/>
      <sheetName val="ROB"/>
      <sheetName val="Pump"/>
      <sheetName val="NOAD"/>
      <sheetName val="Bac"/>
      <sheetName val="Attestation"/>
      <sheetName val="Bunker1"/>
      <sheetName val="Shore"/>
      <sheetName val="Bunker2"/>
      <sheetName val="Sum"/>
      <sheetName val="Sample Receipt"/>
      <sheetName val="Quantity"/>
      <sheetName val="ShipQ"/>
      <sheetName val="Sample Report"/>
      <sheetName val="Data"/>
      <sheetName val="Insp"/>
      <sheetName val="Shore (2)"/>
      <sheetName val="Shore (3)"/>
      <sheetName val="Shore (4)"/>
      <sheetName val="Shore (5)"/>
      <sheetName val="ShoreQ"/>
      <sheetName val="Previous"/>
      <sheetName val="OBQ Wedge Calculator"/>
      <sheetName val="Bunker3"/>
      <sheetName val="General"/>
      <sheetName val="General2"/>
      <sheetName val="LOP2"/>
      <sheetName val="LOP3"/>
      <sheetName val="LOP4"/>
      <sheetName val="NOAD2"/>
      <sheetName val="NOAD3"/>
      <sheetName val="NOAD4"/>
      <sheetName val="Worksheet"/>
      <sheetName val="Worksheet2"/>
      <sheetName val="Worksheet3"/>
      <sheetName val="ClientList"/>
      <sheetName val=" ASTM D 1250 BITUMEN"/>
      <sheetName val="Lookup TCF CHIMICALS"/>
      <sheetName val="Tools"/>
      <sheetName val="Rapport sur la compatibilit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5">
          <cell r="G15">
            <v>1</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ow r="120">
          <cell r="C120" t="str">
            <v>No one should rely upon this document without being familiar with the SGS General Conditions for Inspection &amp; Testing Services under which it was issued (see www.sgs.com) &amp; hicham.garroum@sgs.com.</v>
          </cell>
        </row>
      </sheetData>
      <sheetData sheetId="38" refreshError="1"/>
      <sheetData sheetId="39" refreshError="1"/>
      <sheetData sheetId="40" refreshError="1"/>
      <sheetData sheetId="4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BQ"/>
      <sheetName val="ULL Loadport"/>
      <sheetName val="TIME"/>
      <sheetName val="VEF"/>
      <sheetName val="ULL"/>
      <sheetName val="ROB"/>
      <sheetName val="BUNKERS D"/>
      <sheetName val="BUNKERS F"/>
      <sheetName val="P. RATE"/>
      <sheetName val="LOP (I)"/>
      <sheetName val="LOP (F)"/>
      <sheetName val="Cal"/>
      <sheetName val="LOP"/>
    </sheetNames>
    <sheetDataSet>
      <sheetData sheetId="0" refreshError="1"/>
      <sheetData sheetId="1" refreshError="1"/>
      <sheetData sheetId="2">
        <row r="2">
          <cell r="F2" t="str">
            <v>M/T AEGEAN ANGEL</v>
          </cell>
        </row>
      </sheetData>
      <sheetData sheetId="3" refreshError="1"/>
      <sheetData sheetId="4">
        <row r="5">
          <cell r="I5">
            <v>40790</v>
          </cell>
        </row>
        <row r="6">
          <cell r="I6" t="str">
            <v>KIRKUK C.O</v>
          </cell>
        </row>
        <row r="12">
          <cell r="C12">
            <v>0</v>
          </cell>
        </row>
        <row r="47">
          <cell r="D47">
            <v>950438</v>
          </cell>
        </row>
      </sheetData>
      <sheetData sheetId="5">
        <row r="5">
          <cell r="I5" t="str">
            <v>06/09/2011</v>
          </cell>
        </row>
      </sheetData>
      <sheetData sheetId="6">
        <row r="2">
          <cell r="G2" t="str">
            <v>M/T AEGEAN ANGEL</v>
          </cell>
        </row>
        <row r="11">
          <cell r="C11" t="str">
            <v>CEYHAN</v>
          </cell>
        </row>
        <row r="12">
          <cell r="C12">
            <v>40782</v>
          </cell>
        </row>
        <row r="24">
          <cell r="D24">
            <v>0</v>
          </cell>
          <cell r="F24">
            <v>40790</v>
          </cell>
          <cell r="H24" t="str">
            <v>0600</v>
          </cell>
        </row>
        <row r="39">
          <cell r="D39">
            <v>3</v>
          </cell>
          <cell r="F39" t="str">
            <v>06/09/2011</v>
          </cell>
          <cell r="H39" t="str">
            <v>0200</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T54A"/>
      <definedName name="T54B"/>
    </definedNames>
    <sheetDataSet>
      <sheetData sheetId="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tables"/>
    </sheetNames>
    <definedNames>
      <definedName name="T54A"/>
    </definedNames>
    <sheetDataSet>
      <sheetData sheetId="0"/>
      <sheetData sheetId="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nnées"/>
      <sheetName val="Draft Survey Report"/>
      <sheetName val="Details (P2)"/>
      <sheetName val="Deductibles (P3)"/>
      <sheetName val="DS SANS MOT DE PASSE"/>
    </sheetNames>
    <sheetDataSet>
      <sheetData sheetId="0">
        <row r="6">
          <cell r="B6" t="str">
            <v xml:space="preserve">Vessel </v>
          </cell>
        </row>
        <row r="8">
          <cell r="B8" t="str">
            <v>Cargo</v>
          </cell>
        </row>
        <row r="12">
          <cell r="B12" t="str">
            <v>Port of Loading</v>
          </cell>
        </row>
        <row r="14">
          <cell r="B14" t="str">
            <v>Port of Discharge</v>
          </cell>
        </row>
        <row r="126">
          <cell r="K126">
            <v>1</v>
          </cell>
        </row>
        <row r="141">
          <cell r="D141"/>
        </row>
        <row r="190">
          <cell r="B190"/>
        </row>
        <row r="191">
          <cell r="B191"/>
        </row>
        <row r="192">
          <cell r="B192"/>
        </row>
      </sheetData>
      <sheetData sheetId="1"/>
      <sheetData sheetId="2"/>
      <sheetData sheetId="3">
        <row r="46">
          <cell r="J46">
            <v>1506.443</v>
          </cell>
        </row>
      </sheetData>
      <sheetData sheetId="4" refreshError="1"/>
    </sheetDataSet>
  </externalBook>
</externalLink>
</file>

<file path=xl/theme/theme1.xml><?xml version="1.0" encoding="utf-8"?>
<a:theme xmlns:a="http://schemas.openxmlformats.org/drawingml/2006/main" name="Thème Office">
  <a:themeElements>
    <a:clrScheme name="Rouge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C74D8-35AC-4871-A17C-3391ACD2FE49}">
  <sheetPr codeName="Feuil8"/>
  <dimension ref="A1:AT215"/>
  <sheetViews>
    <sheetView showRowColHeaders="0" zoomScale="85" zoomScaleNormal="85" workbookViewId="0">
      <selection activeCell="T32" sqref="T32"/>
    </sheetView>
  </sheetViews>
  <sheetFormatPr baseColWidth="10" defaultColWidth="11.453125" defaultRowHeight="16.5"/>
  <cols>
    <col min="1" max="1" width="1.81640625" style="171" customWidth="1"/>
    <col min="2" max="4" width="4.7265625" style="171" customWidth="1"/>
    <col min="5" max="5" width="5.26953125" style="171" customWidth="1"/>
    <col min="6" max="7" width="4.7265625" style="171" customWidth="1"/>
    <col min="8" max="8" width="7.36328125" style="171" customWidth="1"/>
    <col min="9" max="9" width="4.7265625" style="171" customWidth="1"/>
    <col min="10" max="10" width="5.26953125" style="171" customWidth="1"/>
    <col min="11" max="17" width="4.7265625" style="171" customWidth="1"/>
    <col min="18" max="18" width="6.1796875" style="171" customWidth="1"/>
    <col min="19" max="26" width="4.7265625" style="171" customWidth="1"/>
    <col min="27" max="27" width="6.54296875" style="171" customWidth="1"/>
    <col min="28" max="29" width="5.54296875" style="171" customWidth="1"/>
    <col min="30" max="30" width="4.7265625" style="171" customWidth="1"/>
    <col min="31" max="31" width="10.6328125" style="171" customWidth="1"/>
    <col min="32" max="34" width="4.7265625" style="171" customWidth="1"/>
    <col min="35" max="35" width="7.453125" style="171" customWidth="1"/>
    <col min="36" max="39" width="4.7265625" style="171" customWidth="1"/>
    <col min="40" max="41" width="11.453125" style="171" customWidth="1"/>
    <col min="42" max="16384" width="11.453125" style="171"/>
  </cols>
  <sheetData>
    <row r="1" spans="1:46">
      <c r="S1" s="174"/>
      <c r="T1" s="174"/>
      <c r="U1" s="174"/>
      <c r="V1" s="174"/>
      <c r="W1" s="174"/>
      <c r="X1" s="174"/>
      <c r="Y1" s="175"/>
      <c r="AA1" s="176"/>
      <c r="AB1" s="176"/>
      <c r="AC1" s="177"/>
      <c r="AD1" s="178"/>
      <c r="AE1" s="1634"/>
      <c r="AF1" s="1634"/>
      <c r="AT1" s="471" t="s">
        <v>260</v>
      </c>
    </row>
    <row r="2" spans="1:46" ht="14.25" customHeight="1">
      <c r="B2" s="171" t="s">
        <v>219</v>
      </c>
      <c r="F2" s="1268" t="s">
        <v>229</v>
      </c>
      <c r="G2" s="1269"/>
      <c r="H2" s="1270"/>
      <c r="I2" s="1269"/>
      <c r="J2" s="1269"/>
      <c r="K2" s="1269"/>
      <c r="L2" s="179"/>
      <c r="M2" s="171" t="s">
        <v>31</v>
      </c>
      <c r="Q2" s="180"/>
      <c r="R2" s="180"/>
      <c r="S2" s="1262">
        <v>1</v>
      </c>
      <c r="T2" s="1263"/>
      <c r="U2" s="1264"/>
      <c r="V2" s="181" t="s">
        <v>32</v>
      </c>
      <c r="W2" s="1260"/>
      <c r="X2" s="1261"/>
      <c r="Y2" s="175"/>
      <c r="Z2" s="180"/>
      <c r="AA2" s="180"/>
      <c r="AB2" s="180"/>
      <c r="AC2" s="182"/>
      <c r="AD2" s="183"/>
      <c r="AE2" s="180"/>
      <c r="AF2" s="180"/>
      <c r="AG2" s="180"/>
      <c r="AH2" s="180"/>
      <c r="AI2" s="180"/>
      <c r="AJ2" s="180"/>
      <c r="AK2" s="180"/>
      <c r="AL2" s="180"/>
      <c r="AT2" s="471" t="s">
        <v>233</v>
      </c>
    </row>
    <row r="3" spans="1:46" ht="6" customHeight="1">
      <c r="F3" s="184"/>
      <c r="G3" s="184"/>
      <c r="H3" s="185"/>
      <c r="I3" s="184"/>
      <c r="J3" s="184"/>
      <c r="K3" s="184"/>
      <c r="S3" s="186"/>
      <c r="T3" s="186"/>
      <c r="U3" s="186"/>
      <c r="V3" s="181"/>
      <c r="W3" s="187"/>
      <c r="X3" s="187"/>
      <c r="Y3" s="174"/>
      <c r="AA3" s="180"/>
      <c r="AB3" s="180"/>
      <c r="AC3" s="188"/>
      <c r="AD3" s="183"/>
      <c r="AE3" s="180"/>
      <c r="AG3" s="171" t="s">
        <v>226</v>
      </c>
      <c r="AH3" s="171" t="s">
        <v>223</v>
      </c>
      <c r="AI3" s="171" t="s">
        <v>225</v>
      </c>
      <c r="AJ3" s="171" t="s">
        <v>224</v>
      </c>
      <c r="AK3" s="171" t="s">
        <v>227</v>
      </c>
      <c r="AL3" s="171" t="s">
        <v>228</v>
      </c>
      <c r="AT3" s="471" t="s">
        <v>261</v>
      </c>
    </row>
    <row r="4" spans="1:46" ht="14.25" customHeight="1">
      <c r="B4" s="171" t="s">
        <v>33</v>
      </c>
      <c r="F4" s="1254" t="s">
        <v>231</v>
      </c>
      <c r="G4" s="1255"/>
      <c r="H4" s="1255"/>
      <c r="I4" s="1255"/>
      <c r="J4" s="1255"/>
      <c r="K4" s="1256"/>
      <c r="L4" s="179"/>
      <c r="M4" s="171" t="s">
        <v>34</v>
      </c>
      <c r="S4" s="1262">
        <v>1</v>
      </c>
      <c r="T4" s="1263"/>
      <c r="U4" s="1264"/>
      <c r="V4" s="181" t="s">
        <v>32</v>
      </c>
      <c r="W4" s="1260"/>
      <c r="X4" s="1261"/>
      <c r="Y4" s="174"/>
      <c r="AA4" s="180"/>
      <c r="AB4" s="180"/>
      <c r="AC4" s="189"/>
      <c r="AD4" s="183"/>
      <c r="AE4" s="180"/>
      <c r="AT4" s="471" t="s">
        <v>262</v>
      </c>
    </row>
    <row r="5" spans="1:46" ht="6" customHeight="1">
      <c r="F5" s="184"/>
      <c r="G5" s="184"/>
      <c r="H5" s="184"/>
      <c r="I5" s="184"/>
      <c r="J5" s="184"/>
      <c r="K5" s="184"/>
      <c r="S5" s="186"/>
      <c r="T5" s="186"/>
      <c r="U5" s="186"/>
      <c r="V5" s="181"/>
      <c r="W5" s="187"/>
      <c r="X5" s="187"/>
      <c r="Y5" s="174"/>
      <c r="AA5" s="180"/>
      <c r="AB5" s="180"/>
      <c r="AC5" s="188"/>
      <c r="AD5" s="183"/>
      <c r="AE5" s="180"/>
      <c r="AT5" s="471" t="s">
        <v>263</v>
      </c>
    </row>
    <row r="6" spans="1:46" ht="14.25" customHeight="1">
      <c r="B6" s="171" t="s">
        <v>35</v>
      </c>
      <c r="F6" s="1254" t="s">
        <v>230</v>
      </c>
      <c r="G6" s="1255"/>
      <c r="H6" s="1255"/>
      <c r="I6" s="1255"/>
      <c r="J6" s="1255"/>
      <c r="K6" s="1256"/>
      <c r="M6" s="171" t="s">
        <v>36</v>
      </c>
      <c r="S6" s="1262">
        <v>1</v>
      </c>
      <c r="T6" s="1263"/>
      <c r="U6" s="1264"/>
      <c r="V6" s="181" t="s">
        <v>32</v>
      </c>
      <c r="W6" s="1260"/>
      <c r="X6" s="1261"/>
      <c r="Y6" s="174"/>
      <c r="AA6" s="180"/>
      <c r="AB6" s="180"/>
      <c r="AC6" s="190"/>
      <c r="AD6" s="180"/>
      <c r="AE6" s="180"/>
      <c r="AT6" s="471" t="s">
        <v>264</v>
      </c>
    </row>
    <row r="7" spans="1:46" ht="6" customHeight="1">
      <c r="F7" s="191"/>
      <c r="G7" s="191"/>
      <c r="H7" s="191"/>
      <c r="I7" s="191"/>
      <c r="J7" s="191"/>
      <c r="K7" s="191"/>
      <c r="S7" s="192"/>
      <c r="T7" s="192"/>
      <c r="U7" s="192"/>
      <c r="V7" s="174"/>
      <c r="W7" s="192"/>
      <c r="X7" s="192"/>
      <c r="Y7" s="174"/>
      <c r="AA7" s="180"/>
      <c r="AB7" s="180"/>
      <c r="AC7" s="180"/>
      <c r="AD7" s="180"/>
      <c r="AE7" s="180"/>
    </row>
    <row r="8" spans="1:46">
      <c r="B8" s="171" t="s">
        <v>37</v>
      </c>
      <c r="E8" s="193"/>
      <c r="F8" s="1254" t="s">
        <v>232</v>
      </c>
      <c r="G8" s="1255"/>
      <c r="H8" s="1255"/>
      <c r="I8" s="1255"/>
      <c r="J8" s="1255"/>
      <c r="K8" s="1256"/>
      <c r="L8" s="179"/>
      <c r="M8" s="171" t="s">
        <v>38</v>
      </c>
      <c r="S8" s="1262">
        <v>1</v>
      </c>
      <c r="T8" s="1263"/>
      <c r="U8" s="1264"/>
      <c r="V8" s="181" t="s">
        <v>32</v>
      </c>
      <c r="W8" s="1260"/>
      <c r="X8" s="1261"/>
      <c r="Y8" s="174"/>
      <c r="AA8" s="180"/>
      <c r="AB8" s="180"/>
      <c r="AC8" s="180"/>
      <c r="AD8" s="180"/>
      <c r="AE8" s="180"/>
    </row>
    <row r="9" spans="1:46" ht="6" customHeight="1">
      <c r="F9" s="191"/>
      <c r="G9" s="191"/>
      <c r="H9" s="191"/>
      <c r="I9" s="191"/>
      <c r="J9" s="191"/>
      <c r="K9" s="191"/>
      <c r="S9" s="192"/>
      <c r="T9" s="192"/>
      <c r="U9" s="192"/>
      <c r="V9" s="174"/>
      <c r="W9" s="192"/>
      <c r="X9" s="192"/>
      <c r="Y9" s="174"/>
      <c r="AA9" s="180"/>
      <c r="AB9" s="180"/>
      <c r="AC9" s="180"/>
      <c r="AD9" s="180"/>
      <c r="AE9" s="180"/>
    </row>
    <row r="10" spans="1:46">
      <c r="A10" s="172"/>
      <c r="B10" s="172" t="s">
        <v>39</v>
      </c>
      <c r="C10" s="172"/>
      <c r="E10" s="193"/>
      <c r="F10" s="1254" t="s">
        <v>233</v>
      </c>
      <c r="G10" s="1255"/>
      <c r="H10" s="1255"/>
      <c r="I10" s="1255"/>
      <c r="J10" s="1255"/>
      <c r="K10" s="1256"/>
      <c r="M10" s="171" t="s">
        <v>217</v>
      </c>
      <c r="S10" s="1262">
        <v>1</v>
      </c>
      <c r="T10" s="1263"/>
      <c r="U10" s="1264"/>
      <c r="V10" s="181" t="s">
        <v>32</v>
      </c>
      <c r="W10" s="1260" t="s">
        <v>222</v>
      </c>
      <c r="X10" s="1261"/>
      <c r="Y10" s="174"/>
      <c r="AA10" s="180"/>
      <c r="AB10" s="180"/>
      <c r="AC10" s="180"/>
      <c r="AD10" s="180"/>
      <c r="AE10" s="180"/>
    </row>
    <row r="11" spans="1:46" ht="6" customHeight="1">
      <c r="A11" s="172"/>
      <c r="B11" s="172"/>
      <c r="C11" s="172"/>
      <c r="F11" s="191"/>
      <c r="G11" s="191"/>
      <c r="H11" s="191"/>
      <c r="I11" s="191"/>
      <c r="J11" s="191"/>
      <c r="K11" s="184"/>
      <c r="S11" s="186"/>
      <c r="T11" s="186"/>
      <c r="U11" s="186"/>
      <c r="V11" s="181"/>
      <c r="W11" s="187"/>
      <c r="X11" s="187"/>
      <c r="Y11" s="174"/>
      <c r="AA11" s="180"/>
      <c r="AB11" s="180"/>
      <c r="AC11" s="180"/>
      <c r="AD11" s="180"/>
      <c r="AE11" s="180"/>
    </row>
    <row r="12" spans="1:46">
      <c r="A12" s="172"/>
      <c r="B12" s="171" t="s">
        <v>40</v>
      </c>
      <c r="E12" s="193"/>
      <c r="F12" s="1254" t="s">
        <v>234</v>
      </c>
      <c r="G12" s="1255"/>
      <c r="H12" s="1255"/>
      <c r="I12" s="1255"/>
      <c r="J12" s="1255"/>
      <c r="K12" s="1256"/>
      <c r="M12" s="171" t="s">
        <v>218</v>
      </c>
      <c r="S12" s="1262">
        <v>1</v>
      </c>
      <c r="T12" s="1263"/>
      <c r="U12" s="1264"/>
      <c r="V12" s="181" t="s">
        <v>32</v>
      </c>
      <c r="W12" s="1260" t="s">
        <v>222</v>
      </c>
      <c r="X12" s="1261"/>
      <c r="Y12" s="174"/>
      <c r="AA12" s="180"/>
      <c r="AB12" s="180"/>
      <c r="AC12" s="180"/>
      <c r="AD12" s="180"/>
      <c r="AE12" s="180"/>
    </row>
    <row r="13" spans="1:46" ht="6" customHeight="1">
      <c r="A13" s="172"/>
      <c r="F13" s="194"/>
      <c r="G13" s="195"/>
      <c r="H13" s="195"/>
      <c r="I13" s="195"/>
      <c r="J13" s="195"/>
      <c r="K13" s="195"/>
      <c r="S13" s="192"/>
      <c r="T13" s="192"/>
      <c r="U13" s="192"/>
      <c r="V13" s="174"/>
      <c r="W13" s="192"/>
      <c r="X13" s="192"/>
      <c r="Y13" s="174"/>
      <c r="AA13" s="180"/>
      <c r="AB13" s="180"/>
      <c r="AC13" s="180"/>
      <c r="AD13" s="180"/>
      <c r="AE13" s="180"/>
    </row>
    <row r="14" spans="1:46">
      <c r="A14" s="172"/>
      <c r="B14" s="171" t="s">
        <v>41</v>
      </c>
      <c r="E14" s="193"/>
      <c r="F14" s="1254" t="s">
        <v>233</v>
      </c>
      <c r="G14" s="1255"/>
      <c r="H14" s="1255"/>
      <c r="I14" s="1255"/>
      <c r="J14" s="1255"/>
      <c r="K14" s="1256"/>
      <c r="M14" s="171" t="s">
        <v>42</v>
      </c>
      <c r="S14" s="1262">
        <v>1</v>
      </c>
      <c r="T14" s="1263"/>
      <c r="U14" s="1264"/>
      <c r="V14" s="181" t="s">
        <v>32</v>
      </c>
      <c r="W14" s="1260" t="s">
        <v>222</v>
      </c>
      <c r="X14" s="1261"/>
      <c r="Y14" s="174"/>
      <c r="AA14" s="180"/>
      <c r="AB14" s="180"/>
      <c r="AC14" s="180"/>
      <c r="AD14" s="180"/>
      <c r="AE14" s="180"/>
      <c r="AJ14" s="172"/>
    </row>
    <row r="15" spans="1:46" ht="6" customHeight="1">
      <c r="A15" s="172"/>
      <c r="F15" s="196"/>
      <c r="G15" s="196"/>
      <c r="H15" s="196"/>
      <c r="I15" s="196"/>
      <c r="J15" s="196"/>
      <c r="K15" s="196"/>
      <c r="S15" s="192"/>
      <c r="T15" s="192"/>
      <c r="U15" s="192"/>
      <c r="V15" s="174"/>
      <c r="W15" s="192"/>
      <c r="X15" s="192"/>
      <c r="Y15" s="174"/>
      <c r="AA15" s="180"/>
      <c r="AB15" s="180"/>
      <c r="AC15" s="180"/>
      <c r="AD15" s="180"/>
      <c r="AE15" s="180"/>
    </row>
    <row r="16" spans="1:46">
      <c r="A16" s="172"/>
      <c r="B16" s="171" t="s">
        <v>43</v>
      </c>
      <c r="F16" s="1265">
        <v>6315.79</v>
      </c>
      <c r="G16" s="1266"/>
      <c r="H16" s="1267"/>
      <c r="I16" s="197"/>
      <c r="J16" s="197"/>
      <c r="K16" s="197"/>
      <c r="M16" s="171" t="s">
        <v>45</v>
      </c>
      <c r="S16" s="1262">
        <v>1</v>
      </c>
      <c r="T16" s="1263"/>
      <c r="U16" s="1264"/>
      <c r="V16" s="181" t="s">
        <v>32</v>
      </c>
      <c r="W16" s="1260" t="s">
        <v>640</v>
      </c>
      <c r="X16" s="1261"/>
      <c r="Y16" s="174"/>
      <c r="AA16" s="180"/>
      <c r="AB16" s="180"/>
      <c r="AC16" s="180"/>
      <c r="AD16" s="180"/>
      <c r="AE16" s="180"/>
      <c r="AJ16" s="172"/>
    </row>
    <row r="17" spans="1:36" ht="6" customHeight="1">
      <c r="A17" s="172"/>
      <c r="F17" s="194"/>
      <c r="G17" s="195"/>
      <c r="H17" s="195"/>
      <c r="I17" s="196"/>
      <c r="J17" s="196"/>
      <c r="K17" s="196"/>
      <c r="S17" s="174"/>
      <c r="T17" s="174"/>
      <c r="U17" s="174"/>
      <c r="V17" s="174"/>
      <c r="W17" s="174"/>
      <c r="X17" s="174"/>
      <c r="Y17" s="174"/>
      <c r="AA17" s="180"/>
      <c r="AB17" s="180"/>
      <c r="AC17" s="180"/>
      <c r="AD17" s="180"/>
      <c r="AE17" s="180"/>
    </row>
    <row r="18" spans="1:36">
      <c r="B18" s="173" t="s">
        <v>46</v>
      </c>
      <c r="F18" s="1257">
        <v>44709</v>
      </c>
      <c r="G18" s="1258"/>
      <c r="H18" s="1259"/>
      <c r="I18" s="197"/>
      <c r="J18" s="197"/>
      <c r="K18" s="197"/>
      <c r="S18" s="198"/>
      <c r="T18" s="198"/>
      <c r="U18" s="198"/>
      <c r="V18" s="181"/>
      <c r="W18" s="199"/>
      <c r="X18" s="199"/>
      <c r="Y18" s="174"/>
      <c r="AA18" s="180"/>
      <c r="AB18" s="180"/>
      <c r="AC18" s="180"/>
      <c r="AD18" s="180"/>
      <c r="AE18" s="180"/>
      <c r="AJ18" s="172"/>
    </row>
    <row r="19" spans="1:36">
      <c r="F19" s="192"/>
      <c r="G19" s="192"/>
      <c r="H19" s="192"/>
      <c r="I19" s="174"/>
      <c r="J19" s="174"/>
      <c r="K19" s="174"/>
      <c r="S19" s="174"/>
      <c r="T19" s="174"/>
      <c r="U19" s="174"/>
      <c r="V19" s="174"/>
      <c r="W19" s="174"/>
      <c r="X19" s="174"/>
      <c r="Y19" s="174"/>
      <c r="AA19" s="180"/>
      <c r="AB19" s="180"/>
      <c r="AC19" s="180"/>
      <c r="AD19" s="180"/>
      <c r="AE19" s="180"/>
    </row>
    <row r="20" spans="1:36" ht="14.25" customHeight="1">
      <c r="B20" s="172" t="s">
        <v>238</v>
      </c>
      <c r="F20" s="174"/>
      <c r="G20" s="1228">
        <v>6310</v>
      </c>
      <c r="H20" s="1229"/>
      <c r="I20" s="1230"/>
      <c r="J20" s="174"/>
      <c r="K20" s="174"/>
      <c r="M20" s="171" t="s">
        <v>245</v>
      </c>
      <c r="R20" s="172"/>
      <c r="S20" s="1199">
        <v>89.99</v>
      </c>
      <c r="T20" s="1200"/>
      <c r="U20" s="200"/>
      <c r="V20" s="174"/>
      <c r="W20" s="174"/>
      <c r="X20" s="174"/>
      <c r="Y20" s="174"/>
      <c r="AA20" s="180"/>
      <c r="AB20" s="180"/>
      <c r="AC20" s="180"/>
      <c r="AD20" s="180"/>
      <c r="AE20" s="180"/>
      <c r="AF20" s="171" t="s">
        <v>204</v>
      </c>
    </row>
    <row r="21" spans="1:36" ht="6" customHeight="1">
      <c r="B21" s="172"/>
      <c r="F21" s="174"/>
      <c r="G21" s="201"/>
      <c r="H21" s="201"/>
      <c r="I21" s="201"/>
      <c r="J21" s="174"/>
      <c r="K21" s="174"/>
      <c r="R21" s="172"/>
      <c r="S21" s="202"/>
      <c r="T21" s="202"/>
      <c r="U21" s="200"/>
      <c r="V21" s="174"/>
      <c r="W21" s="174"/>
      <c r="X21" s="174"/>
      <c r="Y21" s="174"/>
      <c r="AA21" s="180"/>
      <c r="AB21" s="180"/>
      <c r="AC21" s="180"/>
      <c r="AD21" s="180"/>
      <c r="AE21" s="180"/>
    </row>
    <row r="22" spans="1:36">
      <c r="B22" s="172" t="s">
        <v>239</v>
      </c>
      <c r="F22" s="174"/>
      <c r="G22" s="1228">
        <v>2841</v>
      </c>
      <c r="H22" s="1229"/>
      <c r="I22" s="1230"/>
      <c r="J22" s="174"/>
      <c r="K22" s="174"/>
      <c r="M22" s="171" t="s">
        <v>246</v>
      </c>
      <c r="R22" s="172"/>
      <c r="S22" s="1199">
        <v>99</v>
      </c>
      <c r="T22" s="1231"/>
      <c r="U22" s="200"/>
      <c r="V22" s="174"/>
      <c r="W22" s="174"/>
      <c r="X22" s="174"/>
      <c r="Y22" s="174"/>
      <c r="AA22" s="180"/>
      <c r="AB22" s="180"/>
      <c r="AC22" s="180"/>
      <c r="AD22" s="180"/>
      <c r="AE22" s="180"/>
    </row>
    <row r="23" spans="1:36" ht="6" customHeight="1">
      <c r="B23" s="172"/>
      <c r="F23" s="174"/>
      <c r="G23" s="201"/>
      <c r="H23" s="201"/>
      <c r="I23" s="201"/>
      <c r="J23" s="174"/>
      <c r="K23" s="174"/>
      <c r="R23" s="172"/>
      <c r="S23" s="202"/>
      <c r="T23" s="203"/>
      <c r="U23" s="200"/>
      <c r="V23" s="174"/>
      <c r="W23" s="174"/>
      <c r="X23" s="174"/>
      <c r="Y23" s="174"/>
      <c r="AA23" s="180"/>
      <c r="AB23" s="180"/>
      <c r="AC23" s="180"/>
      <c r="AD23" s="180"/>
      <c r="AE23" s="180"/>
    </row>
    <row r="24" spans="1:36" ht="14.25" customHeight="1">
      <c r="B24" s="172" t="s">
        <v>240</v>
      </c>
      <c r="F24" s="174"/>
      <c r="G24" s="1228">
        <v>7</v>
      </c>
      <c r="H24" s="1229"/>
      <c r="I24" s="1230"/>
      <c r="J24" s="174"/>
      <c r="K24" s="174"/>
      <c r="M24" s="171" t="s">
        <v>247</v>
      </c>
      <c r="R24" s="172"/>
      <c r="S24" s="1199">
        <v>16.5</v>
      </c>
      <c r="T24" s="1231"/>
      <c r="U24" s="200"/>
      <c r="V24" s="174"/>
      <c r="W24" s="174"/>
      <c r="X24" s="174"/>
      <c r="Y24" s="174"/>
      <c r="AA24" s="180"/>
      <c r="AB24" s="180"/>
      <c r="AC24" s="180"/>
      <c r="AD24" s="180"/>
      <c r="AE24" s="180"/>
    </row>
    <row r="25" spans="1:36" ht="6" customHeight="1">
      <c r="B25" s="172"/>
      <c r="F25" s="174"/>
      <c r="G25" s="201"/>
      <c r="H25" s="201"/>
      <c r="I25" s="201"/>
      <c r="J25" s="174"/>
      <c r="K25" s="174"/>
      <c r="R25" s="172"/>
      <c r="S25" s="202"/>
      <c r="T25" s="203"/>
      <c r="U25" s="200"/>
      <c r="V25" s="174"/>
      <c r="W25" s="174"/>
      <c r="X25" s="174"/>
      <c r="Y25" s="174"/>
      <c r="AA25" s="180"/>
      <c r="AB25" s="180"/>
      <c r="AC25" s="180"/>
      <c r="AD25" s="180"/>
      <c r="AE25" s="180"/>
    </row>
    <row r="26" spans="1:36" ht="14.25" customHeight="1">
      <c r="B26" s="172" t="s">
        <v>241</v>
      </c>
      <c r="F26" s="174"/>
      <c r="G26" s="1246">
        <v>2.3199999999999998</v>
      </c>
      <c r="H26" s="1247"/>
      <c r="I26" s="1248"/>
      <c r="J26" s="174"/>
      <c r="K26" s="174"/>
      <c r="M26" s="171" t="s">
        <v>47</v>
      </c>
      <c r="R26" s="172"/>
      <c r="S26" s="192"/>
      <c r="T26" s="204">
        <v>1</v>
      </c>
      <c r="U26" s="174"/>
      <c r="V26" s="174"/>
      <c r="W26" s="174"/>
      <c r="X26" s="174"/>
      <c r="Y26" s="174"/>
      <c r="AA26" s="180"/>
      <c r="AB26" s="180"/>
      <c r="AC26" s="180"/>
      <c r="AD26" s="180"/>
      <c r="AE26" s="180"/>
    </row>
    <row r="27" spans="1:36" ht="6" customHeight="1">
      <c r="B27" s="172"/>
      <c r="F27" s="174"/>
      <c r="G27" s="202"/>
      <c r="H27" s="202"/>
      <c r="I27" s="202"/>
      <c r="J27" s="174"/>
      <c r="K27" s="174"/>
      <c r="R27" s="172"/>
      <c r="S27" s="192"/>
      <c r="T27" s="205"/>
      <c r="U27" s="174"/>
      <c r="V27" s="174"/>
      <c r="W27" s="174"/>
      <c r="X27" s="174"/>
      <c r="Y27" s="174"/>
      <c r="AA27" s="180"/>
      <c r="AB27" s="180"/>
      <c r="AC27" s="180"/>
      <c r="AD27" s="180"/>
      <c r="AE27" s="180"/>
    </row>
    <row r="28" spans="1:36" ht="14.25" customHeight="1">
      <c r="B28" s="172" t="s">
        <v>242</v>
      </c>
      <c r="F28" s="174"/>
      <c r="G28" s="1228">
        <v>8097.4</v>
      </c>
      <c r="H28" s="1229"/>
      <c r="I28" s="1230"/>
      <c r="J28" s="174"/>
      <c r="K28" s="174"/>
      <c r="M28" s="172" t="s">
        <v>48</v>
      </c>
      <c r="R28" s="172"/>
      <c r="S28" s="192"/>
      <c r="T28" s="204">
        <v>23</v>
      </c>
      <c r="U28" s="174"/>
      <c r="V28" s="174"/>
      <c r="W28" s="174"/>
      <c r="X28" s="174"/>
      <c r="Y28" s="174"/>
      <c r="AA28" s="180"/>
      <c r="AB28" s="180"/>
      <c r="AC28" s="180"/>
      <c r="AD28" s="180"/>
      <c r="AE28" s="180"/>
    </row>
    <row r="29" spans="1:36" ht="6" customHeight="1">
      <c r="B29" s="172"/>
      <c r="F29" s="174"/>
      <c r="G29" s="201"/>
      <c r="H29" s="201"/>
      <c r="I29" s="201"/>
      <c r="J29" s="174"/>
      <c r="K29" s="174"/>
      <c r="M29" s="172"/>
      <c r="R29" s="172"/>
      <c r="S29" s="192"/>
      <c r="T29" s="205"/>
      <c r="U29" s="174"/>
      <c r="V29" s="174"/>
      <c r="W29" s="174"/>
      <c r="X29" s="174"/>
      <c r="Y29" s="174"/>
      <c r="AA29" s="180"/>
      <c r="AB29" s="180"/>
      <c r="AC29" s="180"/>
      <c r="AD29" s="180"/>
      <c r="AE29" s="180"/>
    </row>
    <row r="30" spans="1:36" ht="14.25" customHeight="1">
      <c r="B30" s="172" t="s">
        <v>243</v>
      </c>
      <c r="F30" s="174"/>
      <c r="G30" s="1228">
        <v>3253.8</v>
      </c>
      <c r="H30" s="1229"/>
      <c r="I30" s="1230"/>
      <c r="J30" s="174"/>
      <c r="K30" s="174"/>
      <c r="M30" s="172" t="s">
        <v>49</v>
      </c>
      <c r="R30" s="172"/>
      <c r="S30" s="192"/>
      <c r="T30" s="204">
        <v>2</v>
      </c>
      <c r="U30" s="174"/>
      <c r="V30" s="174"/>
      <c r="W30" s="174"/>
      <c r="X30" s="174"/>
      <c r="Y30" s="174"/>
      <c r="AA30" s="180"/>
      <c r="AB30" s="180"/>
      <c r="AC30" s="180"/>
      <c r="AD30" s="180"/>
      <c r="AE30" s="180"/>
    </row>
    <row r="31" spans="1:36" ht="6" customHeight="1">
      <c r="B31" s="172"/>
      <c r="F31" s="174"/>
      <c r="G31" s="206"/>
      <c r="H31" s="206"/>
      <c r="I31" s="206"/>
      <c r="J31" s="174"/>
      <c r="K31" s="174"/>
      <c r="M31" s="172"/>
      <c r="R31" s="172"/>
      <c r="S31" s="174"/>
      <c r="T31" s="207"/>
      <c r="U31" s="174"/>
      <c r="V31" s="174"/>
      <c r="W31" s="174"/>
      <c r="X31" s="174"/>
      <c r="Y31" s="192"/>
      <c r="AB31" s="180"/>
      <c r="AC31" s="180"/>
      <c r="AD31" s="180"/>
      <c r="AE31" s="180"/>
    </row>
    <row r="32" spans="1:36" ht="14.25" customHeight="1">
      <c r="B32" s="172" t="s">
        <v>244</v>
      </c>
      <c r="F32" s="174"/>
      <c r="G32" s="1228">
        <v>56</v>
      </c>
      <c r="H32" s="1229"/>
      <c r="I32" s="1230"/>
      <c r="J32" s="174"/>
      <c r="K32" s="174"/>
      <c r="M32" s="171" t="s">
        <v>216</v>
      </c>
      <c r="S32" s="174"/>
      <c r="T32" s="208">
        <v>0</v>
      </c>
      <c r="U32" s="174"/>
      <c r="V32" s="174"/>
      <c r="W32" s="174"/>
      <c r="X32" s="174"/>
      <c r="Y32" s="174"/>
      <c r="AB32" s="180"/>
      <c r="AC32" s="180"/>
      <c r="AD32" s="180"/>
      <c r="AE32" s="180"/>
    </row>
    <row r="33" spans="1:31" ht="6" customHeight="1">
      <c r="AB33" s="180"/>
      <c r="AC33" s="180"/>
      <c r="AD33" s="180"/>
      <c r="AE33" s="180"/>
    </row>
    <row r="34" spans="1:31">
      <c r="AB34" s="180"/>
      <c r="AC34" s="180"/>
      <c r="AD34" s="180"/>
      <c r="AE34" s="180"/>
    </row>
    <row r="35" spans="1:31" s="172" customFormat="1">
      <c r="B35" s="171"/>
      <c r="C35" s="171"/>
      <c r="F35" s="1249" t="s">
        <v>2</v>
      </c>
      <c r="G35" s="1250"/>
      <c r="H35" s="1250"/>
      <c r="I35" s="1250"/>
      <c r="J35" s="1250"/>
      <c r="K35" s="1251"/>
      <c r="L35" s="1252" t="s">
        <v>3</v>
      </c>
      <c r="M35" s="1250"/>
      <c r="N35" s="1250"/>
      <c r="O35" s="1250"/>
      <c r="P35" s="1250"/>
      <c r="Q35" s="1253"/>
      <c r="AB35" s="209"/>
      <c r="AC35" s="209"/>
      <c r="AD35" s="209"/>
      <c r="AE35" s="209"/>
    </row>
    <row r="36" spans="1:31" s="172" customFormat="1">
      <c r="B36" s="171"/>
      <c r="I36" s="210"/>
      <c r="K36" s="466"/>
      <c r="L36" s="467"/>
      <c r="Q36" s="210"/>
      <c r="AB36" s="209"/>
      <c r="AC36" s="209"/>
      <c r="AD36" s="209"/>
      <c r="AE36" s="209"/>
    </row>
    <row r="37" spans="1:31" s="172" customFormat="1" ht="6.75" customHeight="1">
      <c r="B37" s="211"/>
      <c r="C37" s="212"/>
      <c r="D37" s="212"/>
      <c r="E37" s="212"/>
      <c r="F37" s="212"/>
      <c r="G37" s="212"/>
      <c r="H37" s="212"/>
      <c r="I37" s="213"/>
      <c r="J37" s="214"/>
      <c r="K37" s="215"/>
      <c r="L37" s="465"/>
      <c r="M37" s="214"/>
      <c r="N37" s="214"/>
      <c r="O37" s="214"/>
      <c r="P37" s="214"/>
      <c r="Q37" s="215"/>
      <c r="R37" s="216"/>
      <c r="AB37" s="209"/>
      <c r="AC37" s="209"/>
      <c r="AD37" s="209"/>
      <c r="AE37" s="209"/>
    </row>
    <row r="38" spans="1:31" s="172" customFormat="1" ht="14.25" customHeight="1">
      <c r="B38" s="1232" t="s">
        <v>50</v>
      </c>
      <c r="C38" s="1233"/>
      <c r="D38" s="1233"/>
      <c r="E38" s="1233"/>
      <c r="F38" s="1233"/>
      <c r="G38" s="1233"/>
      <c r="H38" s="1233"/>
      <c r="I38" s="1234">
        <v>100</v>
      </c>
      <c r="J38" s="1235"/>
      <c r="K38" s="217" t="s">
        <v>5</v>
      </c>
      <c r="L38" s="218"/>
      <c r="M38" s="192"/>
      <c r="N38" s="192"/>
      <c r="O38" s="1234">
        <v>100</v>
      </c>
      <c r="P38" s="1235"/>
      <c r="Q38" s="217" t="s">
        <v>235</v>
      </c>
      <c r="R38" s="219"/>
      <c r="T38" s="220"/>
      <c r="AB38" s="209"/>
      <c r="AC38" s="209"/>
      <c r="AD38" s="209"/>
      <c r="AE38" s="209"/>
    </row>
    <row r="39" spans="1:31" s="172" customFormat="1" ht="6" customHeight="1">
      <c r="A39" s="210"/>
      <c r="B39" s="221"/>
      <c r="C39" s="222"/>
      <c r="D39" s="223"/>
      <c r="E39" s="223"/>
      <c r="F39" s="223"/>
      <c r="G39" s="224"/>
      <c r="H39" s="224"/>
      <c r="I39" s="225"/>
      <c r="J39" s="225"/>
      <c r="K39" s="218"/>
      <c r="L39" s="218"/>
      <c r="M39" s="192"/>
      <c r="N39" s="192"/>
      <c r="O39" s="225"/>
      <c r="P39" s="225"/>
      <c r="Q39" s="218"/>
      <c r="R39" s="219"/>
      <c r="T39" s="220"/>
      <c r="AB39" s="209"/>
      <c r="AC39" s="209"/>
      <c r="AD39" s="209"/>
      <c r="AE39" s="209"/>
    </row>
    <row r="40" spans="1:31" s="172" customFormat="1" ht="14.25" customHeight="1">
      <c r="A40" s="210"/>
      <c r="B40" s="1232" t="s">
        <v>51</v>
      </c>
      <c r="C40" s="1236"/>
      <c r="D40" s="1237"/>
      <c r="E40" s="1237"/>
      <c r="F40" s="1237"/>
      <c r="G40" s="1237"/>
      <c r="H40" s="1237"/>
      <c r="I40" s="1234">
        <v>200</v>
      </c>
      <c r="J40" s="1235"/>
      <c r="K40" s="217" t="s">
        <v>5</v>
      </c>
      <c r="L40" s="218"/>
      <c r="M40" s="192"/>
      <c r="N40" s="192"/>
      <c r="O40" s="1234">
        <v>200</v>
      </c>
      <c r="P40" s="1235"/>
      <c r="Q40" s="217" t="s">
        <v>235</v>
      </c>
      <c r="R40" s="219"/>
      <c r="T40" s="226"/>
      <c r="W40" s="227"/>
      <c r="X40" s="227"/>
      <c r="Y40" s="227"/>
      <c r="AB40" s="209"/>
      <c r="AC40" s="209"/>
      <c r="AD40" s="209"/>
      <c r="AE40" s="209"/>
    </row>
    <row r="41" spans="1:31" s="172" customFormat="1" ht="6" customHeight="1">
      <c r="A41" s="224"/>
      <c r="B41" s="221"/>
      <c r="C41" s="228"/>
      <c r="D41" s="223"/>
      <c r="E41" s="223"/>
      <c r="F41" s="223"/>
      <c r="G41" s="224"/>
      <c r="H41" s="224"/>
      <c r="I41" s="225"/>
      <c r="J41" s="225"/>
      <c r="K41" s="229"/>
      <c r="L41" s="218"/>
      <c r="M41" s="192"/>
      <c r="N41" s="192"/>
      <c r="O41" s="225"/>
      <c r="P41" s="225"/>
      <c r="Q41" s="218"/>
      <c r="R41" s="219"/>
      <c r="T41" s="226"/>
      <c r="W41" s="227"/>
      <c r="X41" s="227"/>
      <c r="Y41" s="227"/>
      <c r="AB41" s="209"/>
      <c r="AC41" s="209"/>
      <c r="AD41" s="209"/>
      <c r="AE41" s="209"/>
    </row>
    <row r="42" spans="1:31" s="172" customFormat="1" ht="14.25" customHeight="1">
      <c r="B42" s="1232" t="s">
        <v>52</v>
      </c>
      <c r="C42" s="1233"/>
      <c r="D42" s="1233"/>
      <c r="E42" s="1233"/>
      <c r="F42" s="1233"/>
      <c r="G42" s="1237"/>
      <c r="H42" s="1237"/>
      <c r="I42" s="1242">
        <v>0</v>
      </c>
      <c r="J42" s="1243"/>
      <c r="K42" s="217" t="s">
        <v>5</v>
      </c>
      <c r="L42" s="230"/>
      <c r="M42" s="192"/>
      <c r="N42" s="192"/>
      <c r="O42" s="1242">
        <v>0</v>
      </c>
      <c r="P42" s="1243"/>
      <c r="Q42" s="217" t="s">
        <v>5</v>
      </c>
      <c r="R42" s="219"/>
      <c r="T42" s="226"/>
      <c r="W42" s="227"/>
      <c r="X42" s="227"/>
      <c r="Y42" s="227"/>
      <c r="AB42" s="209"/>
      <c r="AC42" s="209"/>
      <c r="AD42" s="209"/>
      <c r="AE42" s="209"/>
    </row>
    <row r="43" spans="1:31" s="172" customFormat="1" ht="6" customHeight="1">
      <c r="A43" s="224"/>
      <c r="B43" s="231"/>
      <c r="C43" s="232"/>
      <c r="D43" s="232"/>
      <c r="E43" s="232"/>
      <c r="F43" s="232"/>
      <c r="G43" s="224"/>
      <c r="H43" s="224"/>
      <c r="I43" s="233"/>
      <c r="J43" s="233"/>
      <c r="K43" s="218"/>
      <c r="L43" s="230"/>
      <c r="M43" s="192"/>
      <c r="N43" s="192"/>
      <c r="O43" s="234"/>
      <c r="P43" s="234"/>
      <c r="Q43" s="229"/>
      <c r="R43" s="219"/>
      <c r="T43" s="226"/>
      <c r="W43" s="227"/>
      <c r="X43" s="227"/>
      <c r="Y43" s="227"/>
    </row>
    <row r="44" spans="1:31" s="172" customFormat="1" ht="13.5" customHeight="1">
      <c r="B44" s="1244" t="s">
        <v>6</v>
      </c>
      <c r="C44" s="1245"/>
      <c r="D44" s="1245"/>
      <c r="E44" s="1245"/>
      <c r="F44" s="1245"/>
      <c r="G44" s="1245"/>
      <c r="H44" s="1245"/>
      <c r="I44" s="1245"/>
      <c r="J44" s="1245"/>
      <c r="K44" s="1245"/>
      <c r="L44" s="235" t="s">
        <v>53</v>
      </c>
      <c r="M44" s="236"/>
      <c r="R44" s="237"/>
      <c r="T44" s="226"/>
      <c r="Z44" s="227"/>
      <c r="AB44" s="227"/>
    </row>
    <row r="45" spans="1:31" s="172" customFormat="1" ht="16">
      <c r="B45" s="1244"/>
      <c r="C45" s="1245"/>
      <c r="D45" s="1245"/>
      <c r="E45" s="1245"/>
      <c r="F45" s="1245"/>
      <c r="G45" s="1245"/>
      <c r="H45" s="1245"/>
      <c r="I45" s="1245"/>
      <c r="J45" s="1245"/>
      <c r="K45" s="1245"/>
      <c r="R45" s="237"/>
      <c r="T45" s="226"/>
      <c r="Z45" s="227"/>
      <c r="AA45" s="227"/>
    </row>
    <row r="46" spans="1:31" s="172" customFormat="1" ht="6" customHeight="1">
      <c r="B46" s="238"/>
      <c r="C46" s="239"/>
      <c r="D46" s="239"/>
      <c r="E46" s="239"/>
      <c r="F46" s="239"/>
      <c r="G46" s="239"/>
      <c r="H46" s="240"/>
      <c r="K46" s="267"/>
      <c r="L46" s="468"/>
      <c r="N46" s="240"/>
      <c r="R46" s="237"/>
      <c r="T46" s="226"/>
      <c r="Z46" s="227"/>
      <c r="AA46" s="227"/>
    </row>
    <row r="47" spans="1:31" s="172" customFormat="1">
      <c r="B47" s="242" t="s">
        <v>54</v>
      </c>
      <c r="C47" s="243"/>
      <c r="I47" s="244"/>
      <c r="J47" s="171"/>
      <c r="K47" s="364"/>
      <c r="L47" s="364"/>
      <c r="O47" s="174"/>
      <c r="P47" s="192"/>
      <c r="R47" s="237"/>
    </row>
    <row r="48" spans="1:31" s="172" customFormat="1" ht="19" customHeight="1">
      <c r="B48" s="246"/>
      <c r="C48" s="247"/>
      <c r="D48" s="247"/>
      <c r="E48" s="1206" t="s">
        <v>7</v>
      </c>
      <c r="F48" s="1207"/>
      <c r="G48" s="1207"/>
      <c r="H48" s="1207"/>
      <c r="I48" s="1240">
        <v>696</v>
      </c>
      <c r="J48" s="1241"/>
      <c r="K48" s="248"/>
      <c r="L48" s="1209" t="s">
        <v>7</v>
      </c>
      <c r="M48" s="1209"/>
      <c r="N48" s="1209"/>
      <c r="O48" s="1240">
        <v>323</v>
      </c>
      <c r="P48" s="1241"/>
      <c r="Q48" s="249"/>
      <c r="R48" s="237"/>
      <c r="V48" s="171"/>
      <c r="W48" s="171"/>
      <c r="X48" s="171"/>
      <c r="Y48" s="171"/>
      <c r="Z48" s="171"/>
      <c r="AA48" s="171"/>
      <c r="AB48" s="171"/>
      <c r="AC48" s="171"/>
      <c r="AD48" s="171"/>
      <c r="AE48" s="171"/>
    </row>
    <row r="49" spans="2:30" s="172" customFormat="1" ht="6" customHeight="1">
      <c r="B49" s="246"/>
      <c r="C49" s="247"/>
      <c r="D49" s="247"/>
      <c r="E49" s="250"/>
      <c r="F49" s="223"/>
      <c r="G49" s="223"/>
      <c r="H49" s="223"/>
      <c r="I49" s="251"/>
      <c r="J49" s="251"/>
      <c r="K49" s="252"/>
      <c r="L49" s="253"/>
      <c r="M49" s="253"/>
      <c r="N49" s="253"/>
      <c r="O49" s="251"/>
      <c r="P49" s="251"/>
      <c r="Q49" s="237"/>
      <c r="R49" s="237"/>
    </row>
    <row r="50" spans="2:30" s="172" customFormat="1" ht="18.5" customHeight="1">
      <c r="B50" s="246"/>
      <c r="C50" s="247"/>
      <c r="D50" s="247"/>
      <c r="E50" s="1238" t="s">
        <v>8</v>
      </c>
      <c r="F50" s="1239"/>
      <c r="G50" s="1239"/>
      <c r="H50" s="1239"/>
      <c r="I50" s="1240">
        <v>680</v>
      </c>
      <c r="J50" s="1241"/>
      <c r="K50" s="254"/>
      <c r="L50" s="1208" t="s">
        <v>8</v>
      </c>
      <c r="M50" s="1208"/>
      <c r="N50" s="1208"/>
      <c r="O50" s="1240">
        <v>323</v>
      </c>
      <c r="P50" s="1241"/>
      <c r="Q50" s="255"/>
      <c r="R50" s="237"/>
    </row>
    <row r="51" spans="2:30" s="172" customFormat="1" ht="14.25" customHeight="1">
      <c r="B51" s="256"/>
      <c r="I51" s="257"/>
      <c r="J51" s="203"/>
      <c r="K51" s="241"/>
      <c r="O51" s="258"/>
      <c r="P51" s="258"/>
      <c r="R51" s="237"/>
    </row>
    <row r="52" spans="2:30" s="172" customFormat="1" ht="17" customHeight="1">
      <c r="B52" s="259"/>
      <c r="C52" s="260"/>
      <c r="D52" s="260"/>
      <c r="E52" s="1206" t="s">
        <v>9</v>
      </c>
      <c r="F52" s="1207"/>
      <c r="G52" s="1207"/>
      <c r="H52" s="1207"/>
      <c r="I52" s="1240">
        <v>722</v>
      </c>
      <c r="J52" s="1241"/>
      <c r="K52" s="248"/>
      <c r="L52" s="1209" t="s">
        <v>9</v>
      </c>
      <c r="M52" s="1209"/>
      <c r="N52" s="1209"/>
      <c r="O52" s="1240">
        <v>555</v>
      </c>
      <c r="P52" s="1241"/>
      <c r="Q52" s="249"/>
      <c r="R52" s="237"/>
    </row>
    <row r="53" spans="2:30" s="172" customFormat="1" ht="11" customHeight="1">
      <c r="B53" s="259"/>
      <c r="C53" s="260"/>
      <c r="D53" s="260"/>
      <c r="E53" s="250"/>
      <c r="F53" s="223"/>
      <c r="G53" s="223"/>
      <c r="H53" s="223"/>
      <c r="I53" s="251"/>
      <c r="J53" s="251"/>
      <c r="K53" s="252"/>
      <c r="L53" s="253"/>
      <c r="M53" s="253"/>
      <c r="O53" s="251"/>
      <c r="P53" s="251"/>
      <c r="Q53" s="237"/>
      <c r="R53" s="237"/>
      <c r="U53" s="1206"/>
      <c r="V53" s="1207"/>
      <c r="W53" s="1207"/>
      <c r="X53" s="1207"/>
    </row>
    <row r="54" spans="2:30" s="172" customFormat="1" ht="16" customHeight="1">
      <c r="B54" s="259"/>
      <c r="C54" s="260"/>
      <c r="D54" s="260"/>
      <c r="E54" s="1238" t="s">
        <v>10</v>
      </c>
      <c r="F54" s="1239"/>
      <c r="G54" s="1239"/>
      <c r="H54" s="1239"/>
      <c r="I54" s="1240">
        <v>722</v>
      </c>
      <c r="J54" s="1241"/>
      <c r="K54" s="254"/>
      <c r="L54" s="1208" t="s">
        <v>10</v>
      </c>
      <c r="M54" s="1208"/>
      <c r="N54" s="1208"/>
      <c r="O54" s="1240">
        <v>555</v>
      </c>
      <c r="P54" s="1241"/>
      <c r="Q54" s="255"/>
      <c r="R54" s="237"/>
    </row>
    <row r="55" spans="2:30" s="172" customFormat="1" ht="13.5" customHeight="1">
      <c r="B55" s="261"/>
      <c r="G55" s="171"/>
      <c r="I55" s="262"/>
      <c r="J55" s="262"/>
      <c r="K55" s="245"/>
      <c r="L55" s="171"/>
      <c r="O55" s="263"/>
      <c r="P55" s="264"/>
      <c r="R55" s="237"/>
    </row>
    <row r="56" spans="2:30" s="172" customFormat="1" ht="14.25" customHeight="1">
      <c r="B56" s="259"/>
      <c r="C56" s="260"/>
      <c r="D56" s="260"/>
      <c r="E56" s="1206" t="s">
        <v>11</v>
      </c>
      <c r="F56" s="1207"/>
      <c r="G56" s="1207"/>
      <c r="H56" s="1207"/>
      <c r="I56" s="1240">
        <v>700</v>
      </c>
      <c r="J56" s="1241"/>
      <c r="K56" s="248"/>
      <c r="L56" s="1209" t="s">
        <v>11</v>
      </c>
      <c r="M56" s="1209"/>
      <c r="N56" s="1209"/>
      <c r="O56" s="1271">
        <v>444</v>
      </c>
      <c r="P56" s="1272"/>
      <c r="Q56" s="249"/>
      <c r="R56" s="237"/>
    </row>
    <row r="57" spans="2:30" s="172" customFormat="1" ht="6" customHeight="1">
      <c r="B57" s="259"/>
      <c r="C57" s="260"/>
      <c r="D57" s="260"/>
      <c r="E57" s="250"/>
      <c r="F57" s="223"/>
      <c r="G57" s="223"/>
      <c r="H57" s="223"/>
      <c r="I57" s="251"/>
      <c r="J57" s="251"/>
      <c r="K57" s="252"/>
      <c r="L57" s="253"/>
      <c r="M57" s="253"/>
      <c r="O57" s="265"/>
      <c r="P57" s="265"/>
      <c r="Q57" s="237"/>
      <c r="R57" s="237"/>
    </row>
    <row r="58" spans="2:30" s="172" customFormat="1" ht="15.5" customHeight="1">
      <c r="B58" s="259"/>
      <c r="C58" s="260"/>
      <c r="D58" s="260"/>
      <c r="E58" s="1238" t="s">
        <v>12</v>
      </c>
      <c r="F58" s="1239"/>
      <c r="G58" s="1239"/>
      <c r="H58" s="1239"/>
      <c r="I58" s="1240">
        <v>720</v>
      </c>
      <c r="J58" s="1241"/>
      <c r="K58" s="254"/>
      <c r="L58" s="1208" t="s">
        <v>12</v>
      </c>
      <c r="M58" s="1208"/>
      <c r="N58" s="1208"/>
      <c r="O58" s="1271">
        <v>444</v>
      </c>
      <c r="P58" s="1272"/>
      <c r="Q58" s="255"/>
      <c r="R58" s="237"/>
      <c r="V58" s="227"/>
      <c r="X58" s="227"/>
    </row>
    <row r="59" spans="2:30" s="172" customFormat="1">
      <c r="B59" s="261"/>
      <c r="C59" s="171"/>
      <c r="I59" s="262"/>
      <c r="J59" s="262"/>
      <c r="K59" s="193"/>
      <c r="L59" s="355"/>
      <c r="O59" s="266"/>
      <c r="P59" s="258"/>
      <c r="R59" s="237"/>
      <c r="V59" s="227"/>
      <c r="W59" s="227"/>
    </row>
    <row r="60" spans="2:30" s="172" customFormat="1" ht="21.5" thickBot="1">
      <c r="B60" s="1232" t="s">
        <v>13</v>
      </c>
      <c r="C60" s="1233"/>
      <c r="D60" s="1233"/>
      <c r="E60" s="1233"/>
      <c r="F60" s="1233"/>
      <c r="G60" s="1233"/>
      <c r="H60" s="1291"/>
      <c r="I60" s="1292">
        <f>(ROUND((H152+H158+6*H164)/8,2))-T32</f>
        <v>708.61</v>
      </c>
      <c r="J60" s="1293"/>
      <c r="K60" s="245"/>
      <c r="L60" s="1210" t="s">
        <v>13</v>
      </c>
      <c r="M60" s="1211"/>
      <c r="N60" s="1210"/>
      <c r="O60" s="1294">
        <f>IF(N168="","",ROUND((N152+N158+6*N164)/8,2))-T32</f>
        <v>443.73</v>
      </c>
      <c r="P60" s="1295"/>
      <c r="R60" s="237"/>
      <c r="V60" s="227"/>
      <c r="W60" s="227"/>
    </row>
    <row r="61" spans="2:30" s="172" customFormat="1" ht="17" thickBot="1">
      <c r="B61" s="261"/>
      <c r="C61" s="171"/>
      <c r="D61" s="171"/>
      <c r="E61" s="171"/>
      <c r="F61" s="171"/>
      <c r="G61" s="171"/>
      <c r="H61" s="171"/>
      <c r="I61" s="174"/>
      <c r="J61" s="192"/>
      <c r="K61" s="267"/>
      <c r="L61" s="268"/>
      <c r="M61" s="269"/>
      <c r="N61" s="269"/>
      <c r="O61" s="269"/>
      <c r="R61" s="237"/>
    </row>
    <row r="62" spans="2:30" s="172" customFormat="1" ht="14.25" customHeight="1">
      <c r="B62" s="270" t="s">
        <v>55</v>
      </c>
      <c r="C62" s="271"/>
      <c r="D62" s="271"/>
      <c r="E62" s="271"/>
      <c r="F62" s="271"/>
      <c r="G62" s="271"/>
      <c r="H62" s="271"/>
      <c r="I62" s="271"/>
      <c r="J62" s="272" t="s">
        <v>56</v>
      </c>
      <c r="K62" s="1296">
        <v>1.0249999999999999</v>
      </c>
      <c r="L62" s="1297"/>
      <c r="M62" s="271"/>
      <c r="N62" s="271"/>
      <c r="O62" s="271"/>
      <c r="P62" s="271"/>
      <c r="Q62" s="271"/>
      <c r="R62" s="273"/>
    </row>
    <row r="63" spans="2:30" s="172" customFormat="1">
      <c r="B63" s="274"/>
      <c r="C63" s="275"/>
      <c r="D63" s="275"/>
      <c r="E63" s="275"/>
      <c r="F63" s="275"/>
      <c r="G63" s="275"/>
      <c r="H63" s="275"/>
      <c r="I63" s="275"/>
      <c r="J63" s="276"/>
      <c r="K63" s="277"/>
      <c r="L63" s="469"/>
      <c r="M63" s="275"/>
      <c r="N63" s="275"/>
      <c r="O63" s="275"/>
      <c r="P63" s="279"/>
      <c r="R63" s="237"/>
      <c r="U63" s="306" t="s">
        <v>59</v>
      </c>
      <c r="V63" s="275"/>
      <c r="W63" s="275"/>
      <c r="X63" s="275"/>
      <c r="Y63" s="275"/>
      <c r="Z63" s="275"/>
      <c r="AA63" s="275"/>
      <c r="AB63" s="275"/>
      <c r="AC63" s="275"/>
      <c r="AD63" s="279"/>
    </row>
    <row r="64" spans="2:30" s="172" customFormat="1" ht="14.25" customHeight="1">
      <c r="B64" s="280" t="s">
        <v>29</v>
      </c>
      <c r="C64" s="267"/>
      <c r="D64" s="267"/>
      <c r="E64" s="267"/>
      <c r="F64" s="1281">
        <f>F65+1</f>
        <v>709.61</v>
      </c>
      <c r="G64" s="1282"/>
      <c r="H64" s="1283">
        <v>12000</v>
      </c>
      <c r="I64" s="1298"/>
      <c r="J64" s="1299"/>
      <c r="K64" s="277"/>
      <c r="L64" s="1286">
        <f>L65+1</f>
        <v>444.73</v>
      </c>
      <c r="M64" s="1300"/>
      <c r="N64" s="1288">
        <v>3333</v>
      </c>
      <c r="O64" s="1289"/>
      <c r="P64" s="1290"/>
      <c r="R64" s="237"/>
      <c r="U64" s="278" t="s">
        <v>60</v>
      </c>
      <c r="V64" s="267"/>
      <c r="W64" s="267"/>
      <c r="X64" s="267"/>
      <c r="Y64" s="267"/>
      <c r="Z64" s="267"/>
      <c r="AA64" s="267"/>
      <c r="AB64" s="267"/>
      <c r="AC64" s="267"/>
      <c r="AD64" s="241"/>
    </row>
    <row r="65" spans="2:32" s="172" customFormat="1">
      <c r="B65" s="280" t="s">
        <v>57</v>
      </c>
      <c r="C65" s="267"/>
      <c r="D65" s="267"/>
      <c r="E65" s="267"/>
      <c r="F65" s="1273">
        <f>I60</f>
        <v>708.61</v>
      </c>
      <c r="G65" s="1273"/>
      <c r="H65" s="1274">
        <f>IF(H64="","",ROUND(+H66+(((H64-H66)/(F64-F66))*(F65-F66)),3))</f>
        <v>11992.5</v>
      </c>
      <c r="I65" s="1275"/>
      <c r="J65" s="1276"/>
      <c r="K65" s="277"/>
      <c r="L65" s="1277">
        <f>O60</f>
        <v>443.73</v>
      </c>
      <c r="M65" s="1278"/>
      <c r="N65" s="1279">
        <f>IF(N64="","",ROUND(+N66+(((N64-N66)/(L64-L66))*(L65-L66)),3))</f>
        <v>3277.5</v>
      </c>
      <c r="O65" s="1279"/>
      <c r="P65" s="1280"/>
      <c r="R65" s="237"/>
      <c r="U65" s="278"/>
      <c r="V65" s="1311" t="s">
        <v>61</v>
      </c>
      <c r="W65" s="1312"/>
      <c r="X65" s="1312"/>
      <c r="Y65" s="1313"/>
      <c r="Z65" s="1314">
        <f>S20</f>
        <v>89.99</v>
      </c>
      <c r="AA65" s="1314"/>
      <c r="AB65" s="267"/>
      <c r="AC65" s="267"/>
      <c r="AD65" s="307"/>
    </row>
    <row r="66" spans="2:32" s="172" customFormat="1" ht="14.25" customHeight="1">
      <c r="B66" s="281" t="s">
        <v>28</v>
      </c>
      <c r="C66" s="282"/>
      <c r="D66" s="282"/>
      <c r="E66" s="282"/>
      <c r="F66" s="1281">
        <f>F65-1</f>
        <v>707.61</v>
      </c>
      <c r="G66" s="1282"/>
      <c r="H66" s="1283">
        <v>11985</v>
      </c>
      <c r="I66" s="1284"/>
      <c r="J66" s="1285"/>
      <c r="K66" s="277"/>
      <c r="L66" s="1286">
        <f>L65-1</f>
        <v>442.73</v>
      </c>
      <c r="M66" s="1287"/>
      <c r="N66" s="1288">
        <v>3222</v>
      </c>
      <c r="O66" s="1289"/>
      <c r="P66" s="1290"/>
      <c r="R66" s="237"/>
      <c r="U66" s="278"/>
      <c r="V66" s="1301" t="s">
        <v>62</v>
      </c>
      <c r="W66" s="1302"/>
      <c r="X66" s="1302"/>
      <c r="Y66" s="1303"/>
      <c r="Z66" s="1304">
        <v>58.9</v>
      </c>
      <c r="AA66" s="1304"/>
      <c r="AB66" s="267"/>
      <c r="AC66" s="267"/>
      <c r="AD66" s="307"/>
    </row>
    <row r="67" spans="2:32" s="172" customFormat="1" ht="14.25" customHeight="1" thickBot="1">
      <c r="B67" s="283"/>
      <c r="F67" s="173"/>
      <c r="J67" s="284"/>
      <c r="K67" s="277"/>
      <c r="L67" s="285"/>
      <c r="N67" s="286"/>
      <c r="O67" s="228"/>
      <c r="P67" s="228"/>
      <c r="R67" s="237"/>
      <c r="U67" s="278"/>
      <c r="V67" s="1301" t="s">
        <v>65</v>
      </c>
      <c r="W67" s="1302"/>
      <c r="X67" s="1302"/>
      <c r="Y67" s="1303"/>
      <c r="Z67" s="1342">
        <f>+Z65/2</f>
        <v>44.994999999999997</v>
      </c>
      <c r="AA67" s="1342"/>
      <c r="AB67" s="267"/>
      <c r="AC67" s="267"/>
      <c r="AD67" s="307"/>
    </row>
    <row r="68" spans="2:32" s="172" customFormat="1" ht="14.25" customHeight="1">
      <c r="B68" s="270" t="s">
        <v>4</v>
      </c>
      <c r="C68" s="271"/>
      <c r="D68" s="271"/>
      <c r="E68" s="271"/>
      <c r="F68" s="287"/>
      <c r="G68" s="271"/>
      <c r="H68" s="271"/>
      <c r="I68" s="271"/>
      <c r="J68" s="287"/>
      <c r="K68" s="287"/>
      <c r="L68" s="288"/>
      <c r="M68" s="271"/>
      <c r="N68" s="272"/>
      <c r="O68" s="272"/>
      <c r="P68" s="272"/>
      <c r="Q68" s="271"/>
      <c r="R68" s="273"/>
      <c r="U68" s="278"/>
      <c r="V68" s="1301" t="s">
        <v>66</v>
      </c>
      <c r="W68" s="1302"/>
      <c r="X68" s="1302"/>
      <c r="Y68" s="1303"/>
      <c r="Z68" s="1343">
        <f>+(Z67-Z66)</f>
        <v>-13.905000000000001</v>
      </c>
      <c r="AA68" s="1343"/>
      <c r="AB68" s="313" t="str">
        <f>IF(Z68&lt;0,"F","A")</f>
        <v>F</v>
      </c>
      <c r="AC68" s="267"/>
      <c r="AD68" s="241"/>
    </row>
    <row r="69" spans="2:32" s="172" customFormat="1" ht="14.25" customHeight="1">
      <c r="B69" s="289" t="str">
        <f>+B64</f>
        <v>Draft Sup</v>
      </c>
      <c r="C69" s="275"/>
      <c r="D69" s="275"/>
      <c r="E69" s="275"/>
      <c r="F69" s="1324">
        <f>F64</f>
        <v>709.61</v>
      </c>
      <c r="G69" s="1324"/>
      <c r="H69" s="275"/>
      <c r="I69" s="1325">
        <v>19.07</v>
      </c>
      <c r="J69" s="1326"/>
      <c r="K69" s="277"/>
      <c r="L69" s="1327">
        <f>L64</f>
        <v>444.73</v>
      </c>
      <c r="M69" s="1328"/>
      <c r="N69" s="290"/>
      <c r="O69" s="1325">
        <v>14</v>
      </c>
      <c r="P69" s="1326"/>
      <c r="R69" s="237"/>
      <c r="U69" s="319" t="s">
        <v>68</v>
      </c>
      <c r="V69" s="320"/>
      <c r="W69" s="321"/>
      <c r="X69" s="321"/>
      <c r="Y69" s="321"/>
      <c r="Z69" s="322"/>
      <c r="AA69" s="322"/>
      <c r="AB69" s="323"/>
      <c r="AC69" s="282"/>
      <c r="AD69" s="324"/>
    </row>
    <row r="70" spans="2:32" s="172" customFormat="1">
      <c r="B70" s="280" t="str">
        <f>+B65</f>
        <v>Quarter mean</v>
      </c>
      <c r="C70" s="267"/>
      <c r="D70" s="267"/>
      <c r="E70" s="267"/>
      <c r="F70" s="1329">
        <f>+F65</f>
        <v>708.61</v>
      </c>
      <c r="G70" s="1330"/>
      <c r="H70" s="267"/>
      <c r="I70" s="1331">
        <f>IF(I69="","",ROUND(+I71+(((I69-I71)/(F69-F71))*(F70-F71)),3))</f>
        <v>19.059999999999999</v>
      </c>
      <c r="J70" s="1332"/>
      <c r="K70" s="291"/>
      <c r="L70" s="1333">
        <f>+L65</f>
        <v>443.73</v>
      </c>
      <c r="M70" s="1334"/>
      <c r="N70" s="292"/>
      <c r="O70" s="1331">
        <f>IF(O69="","",ROUND(+O71+(((O69-O71)/(L69-L71))*(L70-L71)),3))</f>
        <v>13</v>
      </c>
      <c r="P70" s="1332"/>
      <c r="R70" s="237"/>
      <c r="S70" s="236"/>
      <c r="T70" s="236"/>
    </row>
    <row r="71" spans="2:32" s="172" customFormat="1">
      <c r="B71" s="280" t="str">
        <f>+B66</f>
        <v>Draft Inf</v>
      </c>
      <c r="C71" s="267"/>
      <c r="D71" s="267"/>
      <c r="E71" s="267"/>
      <c r="F71" s="1315">
        <f>F66</f>
        <v>707.61</v>
      </c>
      <c r="G71" s="1315"/>
      <c r="H71" s="267"/>
      <c r="I71" s="1316">
        <v>19.05</v>
      </c>
      <c r="J71" s="1317"/>
      <c r="K71" s="277"/>
      <c r="L71" s="1318">
        <f>L66</f>
        <v>442.73</v>
      </c>
      <c r="M71" s="1319"/>
      <c r="N71" s="292"/>
      <c r="O71" s="1316">
        <v>12</v>
      </c>
      <c r="P71" s="1320"/>
      <c r="R71" s="237"/>
      <c r="U71" s="306" t="s">
        <v>71</v>
      </c>
      <c r="V71" s="275"/>
      <c r="W71" s="275"/>
      <c r="X71" s="275"/>
      <c r="Y71" s="275"/>
      <c r="Z71" s="306"/>
      <c r="AA71" s="279"/>
      <c r="AB71" s="275"/>
      <c r="AC71" s="275"/>
      <c r="AD71" s="279"/>
    </row>
    <row r="72" spans="2:32" s="172" customFormat="1" ht="3.75" customHeight="1" thickBot="1">
      <c r="B72" s="293"/>
      <c r="C72" s="294"/>
      <c r="D72" s="294"/>
      <c r="E72" s="294"/>
      <c r="F72" s="295"/>
      <c r="G72" s="294"/>
      <c r="H72" s="294"/>
      <c r="I72" s="294"/>
      <c r="J72" s="296"/>
      <c r="K72" s="285"/>
      <c r="L72" s="1027"/>
      <c r="M72" s="294"/>
      <c r="N72" s="297"/>
      <c r="O72" s="298"/>
      <c r="P72" s="299"/>
      <c r="Q72" s="294"/>
      <c r="R72" s="300"/>
      <c r="U72" s="278" t="s">
        <v>73</v>
      </c>
      <c r="V72" s="267"/>
      <c r="W72" s="267"/>
      <c r="X72" s="267"/>
      <c r="Y72" s="267"/>
      <c r="Z72" s="278"/>
      <c r="AA72" s="267"/>
      <c r="AB72" s="267"/>
      <c r="AC72" s="267"/>
      <c r="AD72" s="241"/>
      <c r="AF72" s="301"/>
    </row>
    <row r="73" spans="2:32" s="172" customFormat="1">
      <c r="B73" s="302" t="s">
        <v>58</v>
      </c>
      <c r="C73" s="267"/>
      <c r="D73" s="267"/>
      <c r="E73" s="267"/>
      <c r="F73" s="303"/>
      <c r="G73" s="267"/>
      <c r="H73" s="267"/>
      <c r="I73" s="267"/>
      <c r="J73" s="304"/>
      <c r="K73" s="277"/>
      <c r="L73" s="278"/>
      <c r="M73" s="267"/>
      <c r="N73" s="292"/>
      <c r="O73" s="292"/>
      <c r="P73" s="305"/>
      <c r="R73" s="237"/>
      <c r="U73" s="278"/>
      <c r="V73" s="1311" t="s">
        <v>61</v>
      </c>
      <c r="W73" s="1312"/>
      <c r="X73" s="1312"/>
      <c r="Y73" s="1312"/>
      <c r="Z73" s="1365">
        <f>S20</f>
        <v>89.99</v>
      </c>
      <c r="AA73" s="1366"/>
      <c r="AB73" s="267"/>
      <c r="AC73" s="267"/>
      <c r="AD73" s="241"/>
      <c r="AF73" s="301"/>
    </row>
    <row r="74" spans="2:32" s="172" customFormat="1">
      <c r="B74" s="280" t="str">
        <f>+B64</f>
        <v>Draft Sup</v>
      </c>
      <c r="C74" s="267"/>
      <c r="D74" s="267"/>
      <c r="E74" s="267"/>
      <c r="F74" s="1315">
        <f>F64</f>
        <v>709.61</v>
      </c>
      <c r="G74" s="1315"/>
      <c r="H74" s="267"/>
      <c r="I74" s="1321">
        <v>571.5</v>
      </c>
      <c r="J74" s="1322"/>
      <c r="K74" s="277"/>
      <c r="L74" s="1318">
        <f>L64</f>
        <v>444.73</v>
      </c>
      <c r="M74" s="1319"/>
      <c r="N74" s="292"/>
      <c r="O74" s="1321">
        <v>54</v>
      </c>
      <c r="P74" s="1323"/>
      <c r="Q74" s="210"/>
      <c r="R74" s="237"/>
      <c r="U74" s="278"/>
      <c r="V74" s="1311" t="s">
        <v>75</v>
      </c>
      <c r="W74" s="1312"/>
      <c r="X74" s="1312"/>
      <c r="Y74" s="1312"/>
      <c r="Z74" s="1369">
        <v>0.32</v>
      </c>
      <c r="AA74" s="1370"/>
      <c r="AB74" s="267"/>
      <c r="AC74" s="267"/>
      <c r="AD74" s="241"/>
    </row>
    <row r="75" spans="2:32" s="172" customFormat="1">
      <c r="B75" s="280" t="str">
        <f>+B65</f>
        <v>Quarter mean</v>
      </c>
      <c r="C75" s="267"/>
      <c r="D75" s="267"/>
      <c r="E75" s="267"/>
      <c r="F75" s="1305">
        <f>+F65</f>
        <v>708.61</v>
      </c>
      <c r="G75" s="1306"/>
      <c r="H75" s="267"/>
      <c r="I75" s="1307">
        <f>IF(I74="","",ROUND(+I76+(((I74-I76)/(F74-F76))*(F75-F76)),1))</f>
        <v>571.5</v>
      </c>
      <c r="J75" s="1308"/>
      <c r="K75" s="472" t="s">
        <v>5</v>
      </c>
      <c r="L75" s="1309">
        <f>+L65</f>
        <v>443.73</v>
      </c>
      <c r="M75" s="1310"/>
      <c r="N75" s="292"/>
      <c r="O75" s="1307">
        <f>IF(O74="","",ROUND(+O76+(((O74-O76)/(L74-L76))*(L75-L76)),1))</f>
        <v>54</v>
      </c>
      <c r="P75" s="1308"/>
      <c r="Q75" s="472" t="s">
        <v>235</v>
      </c>
      <c r="R75" s="237"/>
      <c r="U75" s="278"/>
      <c r="V75" s="1311" t="s">
        <v>77</v>
      </c>
      <c r="W75" s="1312"/>
      <c r="X75" s="1312"/>
      <c r="Y75" s="1312"/>
      <c r="Z75" s="1360">
        <v>0.23</v>
      </c>
      <c r="AA75" s="1361"/>
      <c r="AB75" s="267"/>
      <c r="AC75" s="267"/>
      <c r="AD75" s="241"/>
    </row>
    <row r="76" spans="2:32" s="172" customFormat="1">
      <c r="B76" s="281" t="str">
        <f>+B66</f>
        <v>Draft Inf</v>
      </c>
      <c r="C76" s="282"/>
      <c r="D76" s="282"/>
      <c r="E76" s="282"/>
      <c r="F76" s="1349">
        <f>F66</f>
        <v>707.61</v>
      </c>
      <c r="G76" s="1349"/>
      <c r="H76" s="282"/>
      <c r="I76" s="1350">
        <v>571.5</v>
      </c>
      <c r="J76" s="1351"/>
      <c r="K76" s="277"/>
      <c r="L76" s="1352">
        <f>L66</f>
        <v>442.73</v>
      </c>
      <c r="M76" s="1353"/>
      <c r="N76" s="308"/>
      <c r="O76" s="1350">
        <v>54</v>
      </c>
      <c r="P76" s="1354"/>
      <c r="Q76" s="309"/>
      <c r="R76" s="237"/>
      <c r="U76" s="278"/>
      <c r="V76" s="1311" t="s">
        <v>79</v>
      </c>
      <c r="W76" s="1312"/>
      <c r="X76" s="1312"/>
      <c r="Y76" s="1312"/>
      <c r="Z76" s="1363">
        <f>ABS(ROUND(+S20*50-(S20*100*Z74/(Z74+Z75)),2))</f>
        <v>736.28</v>
      </c>
      <c r="AA76" s="1364"/>
      <c r="AB76" s="339" t="str">
        <f>IF(+S20*100/2-(S20*100*Z74/(Z74+Z75))&lt;0,"F","A")</f>
        <v>F</v>
      </c>
      <c r="AC76" s="340"/>
      <c r="AD76" s="241"/>
    </row>
    <row r="77" spans="2:32" s="172" customFormat="1">
      <c r="B77" s="310" t="s">
        <v>63</v>
      </c>
      <c r="F77" s="284"/>
      <c r="I77" s="235" t="s">
        <v>64</v>
      </c>
      <c r="J77" s="311"/>
      <c r="K77" s="267"/>
      <c r="L77" s="275"/>
      <c r="N77" s="228"/>
      <c r="O77" s="235" t="s">
        <v>64</v>
      </c>
      <c r="P77" s="228"/>
      <c r="Q77" s="309"/>
      <c r="R77" s="237"/>
      <c r="U77" s="319" t="s">
        <v>68</v>
      </c>
      <c r="V77" s="282"/>
      <c r="W77" s="282"/>
      <c r="X77" s="282"/>
      <c r="Y77" s="282"/>
      <c r="Z77" s="319"/>
      <c r="AA77" s="282"/>
      <c r="AB77" s="341"/>
      <c r="AC77" s="282"/>
      <c r="AD77" s="324"/>
    </row>
    <row r="78" spans="2:32" s="172" customFormat="1" ht="17" thickBot="1">
      <c r="B78" s="312"/>
      <c r="F78" s="284"/>
      <c r="J78" s="311"/>
      <c r="K78" s="267"/>
      <c r="L78" s="294"/>
      <c r="N78" s="228"/>
      <c r="O78" s="286"/>
      <c r="P78" s="228"/>
      <c r="Q78" s="309"/>
      <c r="R78" s="237"/>
    </row>
    <row r="79" spans="2:32" s="172" customFormat="1">
      <c r="B79" s="314" t="s">
        <v>67</v>
      </c>
      <c r="C79" s="271"/>
      <c r="D79" s="271"/>
      <c r="E79" s="271"/>
      <c r="F79" s="315"/>
      <c r="G79" s="271"/>
      <c r="H79" s="271"/>
      <c r="I79" s="271"/>
      <c r="J79" s="316"/>
      <c r="K79" s="271"/>
      <c r="L79" s="288"/>
      <c r="M79" s="271"/>
      <c r="N79" s="272"/>
      <c r="O79" s="317"/>
      <c r="P79" s="272"/>
      <c r="Q79" s="318"/>
      <c r="R79" s="273"/>
    </row>
    <row r="80" spans="2:32" s="172" customFormat="1">
      <c r="B80" s="325" t="s">
        <v>69</v>
      </c>
      <c r="C80" s="275"/>
      <c r="D80" s="275"/>
      <c r="E80" s="275"/>
      <c r="F80" s="1344">
        <f>F64+50</f>
        <v>759.61</v>
      </c>
      <c r="G80" s="1344"/>
      <c r="H80" s="275"/>
      <c r="I80" s="1345">
        <v>169.97</v>
      </c>
      <c r="J80" s="1346"/>
      <c r="K80" s="277"/>
      <c r="L80" s="1347">
        <f>L64+50</f>
        <v>494.73</v>
      </c>
      <c r="M80" s="1344"/>
      <c r="N80" s="290"/>
      <c r="O80" s="1345">
        <v>55</v>
      </c>
      <c r="P80" s="1348"/>
      <c r="Q80" s="309"/>
      <c r="R80" s="237"/>
    </row>
    <row r="81" spans="1:35" s="172" customFormat="1" ht="6" customHeight="1">
      <c r="B81" s="326"/>
      <c r="C81" s="267"/>
      <c r="D81" s="267"/>
      <c r="E81" s="267"/>
      <c r="F81" s="327"/>
      <c r="G81" s="327"/>
      <c r="H81" s="267"/>
      <c r="I81" s="328"/>
      <c r="J81" s="329"/>
      <c r="K81" s="277"/>
      <c r="L81" s="330"/>
      <c r="M81" s="327"/>
      <c r="N81" s="292"/>
      <c r="O81" s="328"/>
      <c r="P81" s="329"/>
      <c r="Q81" s="309"/>
      <c r="R81" s="237"/>
    </row>
    <row r="82" spans="1:35" s="172" customFormat="1">
      <c r="B82" s="326" t="s">
        <v>70</v>
      </c>
      <c r="C82" s="267"/>
      <c r="D82" s="267"/>
      <c r="E82" s="267"/>
      <c r="F82" s="1335">
        <f>F64-50</f>
        <v>659.61</v>
      </c>
      <c r="G82" s="1335"/>
      <c r="H82" s="267"/>
      <c r="I82" s="1336">
        <v>154.04</v>
      </c>
      <c r="J82" s="1337"/>
      <c r="K82" s="277"/>
      <c r="L82" s="1338">
        <f>L64-50</f>
        <v>394.73</v>
      </c>
      <c r="M82" s="1335"/>
      <c r="N82" s="292"/>
      <c r="O82" s="1336">
        <v>45</v>
      </c>
      <c r="P82" s="1339"/>
      <c r="Q82" s="309"/>
      <c r="R82" s="237"/>
    </row>
    <row r="83" spans="1:35" s="172" customFormat="1">
      <c r="B83" s="331" t="s">
        <v>72</v>
      </c>
      <c r="C83" s="282"/>
      <c r="D83" s="282"/>
      <c r="E83" s="282"/>
      <c r="F83" s="282"/>
      <c r="G83" s="282"/>
      <c r="H83" s="282"/>
      <c r="I83" s="1340">
        <f>IF(+I80-I82=0,"",I80-I82)</f>
        <v>15.930000000000007</v>
      </c>
      <c r="J83" s="1341"/>
      <c r="K83" s="277"/>
      <c r="L83" s="332"/>
      <c r="M83" s="282"/>
      <c r="N83" s="308"/>
      <c r="O83" s="1340">
        <f>IF(+O80-O82=0,"",O80-O82)</f>
        <v>10</v>
      </c>
      <c r="P83" s="1341"/>
      <c r="Q83" s="309"/>
      <c r="R83" s="237"/>
    </row>
    <row r="84" spans="1:35" s="172" customFormat="1" ht="17" thickBot="1">
      <c r="B84" s="261"/>
      <c r="C84" s="171"/>
      <c r="D84" s="171"/>
      <c r="E84" s="171"/>
      <c r="F84" s="171"/>
      <c r="G84" s="171"/>
      <c r="H84" s="171"/>
      <c r="I84" s="171"/>
      <c r="K84" s="267"/>
      <c r="L84" s="333"/>
      <c r="M84" s="269"/>
      <c r="R84" s="237"/>
    </row>
    <row r="85" spans="1:35" s="172" customFormat="1">
      <c r="B85" s="325" t="s">
        <v>74</v>
      </c>
      <c r="C85" s="275"/>
      <c r="D85" s="334"/>
      <c r="E85" s="334"/>
      <c r="F85" s="334"/>
      <c r="G85" s="334"/>
      <c r="H85" s="1367">
        <f>IF(S20="","",H86+(IF(K38="A",-I38+IF(K40="A",+I40,-I40),I38+IF(K40="A",I40,-I40))))</f>
        <v>9099</v>
      </c>
      <c r="I85" s="1367"/>
      <c r="J85" s="1368"/>
      <c r="K85" s="335"/>
      <c r="L85" s="306"/>
      <c r="M85" s="275"/>
      <c r="N85" s="1367">
        <f>IF(S20="","",N86+(IF(Q38="A",-O38+IF(Q40="A",+O40,-O40),O38+IF(Q40="A",O40,-O40))))</f>
        <v>8899</v>
      </c>
      <c r="O85" s="1367"/>
      <c r="P85" s="1368"/>
      <c r="Q85" s="336"/>
      <c r="R85" s="273"/>
    </row>
    <row r="86" spans="1:35" s="172" customFormat="1">
      <c r="B86" s="326" t="s">
        <v>76</v>
      </c>
      <c r="C86" s="267"/>
      <c r="D86" s="193"/>
      <c r="E86" s="193"/>
      <c r="F86" s="193"/>
      <c r="G86" s="193"/>
      <c r="H86" s="1355">
        <f>S20*100</f>
        <v>8999</v>
      </c>
      <c r="I86" s="1356"/>
      <c r="J86" s="1357"/>
      <c r="K86" s="337"/>
      <c r="L86" s="278"/>
      <c r="M86" s="267"/>
      <c r="N86" s="1355">
        <f>H86</f>
        <v>8999</v>
      </c>
      <c r="O86" s="1358"/>
      <c r="P86" s="1359"/>
      <c r="Q86" s="338"/>
      <c r="R86" s="237"/>
    </row>
    <row r="87" spans="1:35" s="172" customFormat="1">
      <c r="B87" s="326" t="s">
        <v>78</v>
      </c>
      <c r="C87" s="267"/>
      <c r="D87" s="193"/>
      <c r="E87" s="193"/>
      <c r="F87" s="193"/>
      <c r="G87" s="193"/>
      <c r="H87" s="1362">
        <f>IF(G30="","",+G30)</f>
        <v>3253.8</v>
      </c>
      <c r="I87" s="1356"/>
      <c r="J87" s="1357"/>
      <c r="K87" s="337"/>
      <c r="L87" s="278"/>
      <c r="M87" s="267"/>
      <c r="N87" s="1362">
        <f>+H87</f>
        <v>3253.8</v>
      </c>
      <c r="O87" s="1358"/>
      <c r="P87" s="1359"/>
      <c r="Q87" s="338"/>
      <c r="R87" s="237"/>
    </row>
    <row r="88" spans="1:35" s="172" customFormat="1">
      <c r="B88" s="326" t="s">
        <v>80</v>
      </c>
      <c r="C88" s="267"/>
      <c r="D88" s="193"/>
      <c r="E88" s="193"/>
      <c r="F88" s="193"/>
      <c r="G88" s="193"/>
      <c r="H88" s="1371">
        <f>IF(H150="","",ROUND(ABS(H156-H150),2))</f>
        <v>34</v>
      </c>
      <c r="I88" s="1372"/>
      <c r="J88" s="1372"/>
      <c r="K88" s="473" t="s">
        <v>5</v>
      </c>
      <c r="L88" s="267"/>
      <c r="M88" s="267"/>
      <c r="N88" s="1371">
        <f>IF(N150="","",ROUND(ABS(N156-N150),2))</f>
        <v>232</v>
      </c>
      <c r="O88" s="1373"/>
      <c r="P88" s="1373"/>
      <c r="Q88" s="473" t="str">
        <f>IF(O48="","",IF(N156-N150&lt;0,"F","A"))</f>
        <v>A</v>
      </c>
      <c r="R88" s="237"/>
    </row>
    <row r="89" spans="1:35" s="172" customFormat="1">
      <c r="B89" s="331" t="s">
        <v>81</v>
      </c>
      <c r="C89" s="282"/>
      <c r="D89" s="342"/>
      <c r="E89" s="342"/>
      <c r="F89" s="342"/>
      <c r="G89" s="342"/>
      <c r="H89" s="1374">
        <f>IF(H152="","",ROUND(ABS(H158-H152),2))</f>
        <v>33.619999999999997</v>
      </c>
      <c r="I89" s="1375"/>
      <c r="J89" s="1376"/>
      <c r="K89" s="474" t="str">
        <f>IF(I48="","",IF(H158-H152&lt;0,"F","A"))</f>
        <v>A</v>
      </c>
      <c r="L89" s="319"/>
      <c r="M89" s="282"/>
      <c r="N89" s="1374">
        <f>IF(N152="","",ROUND(ABS(N158-N152),2))</f>
        <v>234.6</v>
      </c>
      <c r="O89" s="1377"/>
      <c r="P89" s="1377"/>
      <c r="Q89" s="473" t="str">
        <f>IF(O48="","",IF(N158-N152&lt;0,"F","A"))</f>
        <v>A</v>
      </c>
      <c r="R89" s="237"/>
    </row>
    <row r="90" spans="1:35" s="172" customFormat="1" ht="17" thickBot="1">
      <c r="B90" s="227"/>
      <c r="D90" s="171"/>
      <c r="E90" s="171"/>
      <c r="F90" s="171"/>
      <c r="G90" s="171"/>
      <c r="H90" s="343"/>
      <c r="I90" s="223"/>
      <c r="J90" s="223"/>
      <c r="K90" s="344"/>
      <c r="N90" s="343"/>
      <c r="O90" s="228"/>
      <c r="P90" s="228"/>
      <c r="Q90" s="344"/>
    </row>
    <row r="91" spans="1:35" s="172" customFormat="1" ht="6.5" customHeight="1">
      <c r="B91" s="271"/>
      <c r="C91" s="271"/>
      <c r="D91" s="271"/>
      <c r="E91" s="271"/>
      <c r="F91" s="271"/>
      <c r="G91" s="271"/>
      <c r="H91" s="271"/>
      <c r="I91" s="271"/>
      <c r="J91" s="271"/>
      <c r="K91" s="271"/>
      <c r="L91" s="271"/>
      <c r="M91" s="271"/>
      <c r="N91" s="271"/>
      <c r="O91" s="271"/>
      <c r="P91" s="271"/>
      <c r="Q91" s="271"/>
      <c r="R91" s="271"/>
    </row>
    <row r="92" spans="1:35" s="172" customFormat="1" ht="6.5" customHeight="1">
      <c r="B92" s="227"/>
    </row>
    <row r="93" spans="1:35" s="172" customFormat="1" ht="16">
      <c r="A93" s="426"/>
      <c r="B93" s="1378" t="s">
        <v>14</v>
      </c>
      <c r="C93" s="1213"/>
      <c r="D93" s="1378" t="s">
        <v>212</v>
      </c>
      <c r="E93" s="1213"/>
      <c r="F93" s="1212" t="s">
        <v>16</v>
      </c>
      <c r="G93" s="1213"/>
      <c r="H93" s="1212" t="s">
        <v>17</v>
      </c>
      <c r="I93" s="1213"/>
      <c r="J93" s="1212" t="s">
        <v>18</v>
      </c>
      <c r="K93" s="1213"/>
      <c r="L93" s="1212" t="s">
        <v>211</v>
      </c>
      <c r="M93" s="1213"/>
      <c r="N93" s="1212" t="s">
        <v>16</v>
      </c>
      <c r="O93" s="1213"/>
      <c r="P93" s="1212" t="s">
        <v>17</v>
      </c>
      <c r="Q93" s="1213"/>
      <c r="R93" s="1212" t="s">
        <v>18</v>
      </c>
      <c r="S93" s="1213"/>
      <c r="U93" s="427" t="s">
        <v>249</v>
      </c>
      <c r="V93" s="428"/>
      <c r="W93" s="428"/>
      <c r="X93" s="428"/>
      <c r="Y93" s="429"/>
      <c r="Z93" s="429"/>
      <c r="AA93" s="429"/>
      <c r="AB93" s="429"/>
      <c r="AC93" s="429"/>
      <c r="AD93" s="429"/>
      <c r="AE93" s="429"/>
      <c r="AF93" s="441"/>
      <c r="AG93" s="441"/>
      <c r="AH93" s="441"/>
      <c r="AI93" s="267"/>
    </row>
    <row r="94" spans="1:35" s="172" customFormat="1" ht="14.25" customHeight="1">
      <c r="A94" s="425">
        <f>COUNTA(B94:C123)</f>
        <v>1</v>
      </c>
      <c r="B94" s="1379" t="s">
        <v>265</v>
      </c>
      <c r="C94" s="1380"/>
      <c r="D94" s="1381" t="s">
        <v>266</v>
      </c>
      <c r="E94" s="1382"/>
      <c r="F94" s="1383">
        <v>123</v>
      </c>
      <c r="G94" s="1384"/>
      <c r="H94" s="1385">
        <v>1.0249999999999999</v>
      </c>
      <c r="I94" s="1386"/>
      <c r="J94" s="1387">
        <f>IF(B94="","",ROUND(F94*H94,3))</f>
        <v>126.075</v>
      </c>
      <c r="K94" s="1388"/>
      <c r="L94" s="1389"/>
      <c r="M94" s="1390"/>
      <c r="N94" s="1391"/>
      <c r="O94" s="1392"/>
      <c r="P94" s="1393"/>
      <c r="Q94" s="1394"/>
      <c r="R94" s="1395">
        <f>IF(B94="","",ROUND(N94*P94,3))</f>
        <v>0</v>
      </c>
      <c r="S94" s="1396"/>
      <c r="T94" s="241"/>
      <c r="U94" s="430"/>
      <c r="V94" s="1214" t="s">
        <v>250</v>
      </c>
      <c r="W94" s="1214"/>
      <c r="X94" s="1214"/>
      <c r="Y94" s="1215">
        <f>+H89</f>
        <v>33.619999999999997</v>
      </c>
      <c r="Z94" s="1216"/>
      <c r="AA94" s="1201"/>
      <c r="AB94" s="1201"/>
      <c r="AC94" s="431"/>
      <c r="AD94" s="431"/>
      <c r="AE94" s="432"/>
      <c r="AF94" s="441"/>
      <c r="AG94" s="441"/>
      <c r="AH94" s="441"/>
      <c r="AI94" s="267"/>
    </row>
    <row r="95" spans="1:35" s="172" customFormat="1" ht="14.25" customHeight="1">
      <c r="A95" s="425"/>
      <c r="B95" s="1379"/>
      <c r="C95" s="1380"/>
      <c r="D95" s="1397"/>
      <c r="E95" s="1398"/>
      <c r="F95" s="1399"/>
      <c r="G95" s="1400"/>
      <c r="H95" s="1401"/>
      <c r="I95" s="1402"/>
      <c r="J95" s="1387" t="str">
        <f t="shared" ref="J95:J103" si="0">IF(B95="","",ROUND(F95*H95,3))</f>
        <v/>
      </c>
      <c r="K95" s="1388"/>
      <c r="L95" s="1403"/>
      <c r="M95" s="1382"/>
      <c r="N95" s="1404"/>
      <c r="O95" s="1405"/>
      <c r="P95" s="1220"/>
      <c r="Q95" s="1221"/>
      <c r="R95" s="1222" t="str">
        <f t="shared" ref="R95:R123" si="1">IF(B95="","",ROUND(N95*P95,3))</f>
        <v/>
      </c>
      <c r="S95" s="1223"/>
      <c r="T95" s="241"/>
      <c r="U95" s="430"/>
      <c r="V95" s="430"/>
      <c r="W95" s="430"/>
      <c r="X95" s="430"/>
      <c r="Y95" s="431"/>
      <c r="Z95" s="431"/>
      <c r="AA95" s="1217" t="s">
        <v>251</v>
      </c>
      <c r="AB95" s="1217"/>
      <c r="AC95" s="1217"/>
      <c r="AD95" s="1217"/>
      <c r="AE95" s="433"/>
      <c r="AF95" s="441"/>
      <c r="AG95" s="431"/>
      <c r="AH95" s="431"/>
      <c r="AI95" s="267"/>
    </row>
    <row r="96" spans="1:35" s="172" customFormat="1" ht="14.25" customHeight="1">
      <c r="A96" s="425"/>
      <c r="B96" s="1379"/>
      <c r="C96" s="1380"/>
      <c r="D96" s="1397"/>
      <c r="E96" s="1398"/>
      <c r="F96" s="1399"/>
      <c r="G96" s="1400"/>
      <c r="H96" s="1220"/>
      <c r="I96" s="1221"/>
      <c r="J96" s="1387" t="str">
        <f t="shared" si="0"/>
        <v/>
      </c>
      <c r="K96" s="1388"/>
      <c r="L96" s="1399"/>
      <c r="M96" s="1398"/>
      <c r="N96" s="1404"/>
      <c r="O96" s="1405"/>
      <c r="P96" s="1220"/>
      <c r="Q96" s="1221"/>
      <c r="R96" s="1222" t="str">
        <f t="shared" si="1"/>
        <v/>
      </c>
      <c r="S96" s="1223"/>
      <c r="T96" s="241"/>
      <c r="U96" s="430"/>
      <c r="V96" s="430"/>
      <c r="W96" s="430"/>
      <c r="X96" s="430"/>
      <c r="Y96" s="431"/>
      <c r="Z96" s="431"/>
      <c r="AA96" s="1410" t="s">
        <v>252</v>
      </c>
      <c r="AB96" s="1410"/>
      <c r="AC96" s="1410" t="s">
        <v>253</v>
      </c>
      <c r="AD96" s="1410"/>
      <c r="AE96" s="433"/>
      <c r="AF96" s="441"/>
      <c r="AG96" s="1204" t="s">
        <v>259</v>
      </c>
      <c r="AH96" s="1205"/>
      <c r="AI96" s="267"/>
    </row>
    <row r="97" spans="1:35" s="172" customFormat="1" ht="14.25" customHeight="1">
      <c r="A97" s="425"/>
      <c r="B97" s="1379"/>
      <c r="C97" s="1380"/>
      <c r="D97" s="1406"/>
      <c r="E97" s="1407"/>
      <c r="F97" s="1408"/>
      <c r="G97" s="1409"/>
      <c r="H97" s="1220"/>
      <c r="I97" s="1221"/>
      <c r="J97" s="1387" t="str">
        <f t="shared" si="0"/>
        <v/>
      </c>
      <c r="K97" s="1388"/>
      <c r="L97" s="1408"/>
      <c r="M97" s="1407"/>
      <c r="N97" s="1404"/>
      <c r="O97" s="1405"/>
      <c r="P97" s="1220"/>
      <c r="Q97" s="1221"/>
      <c r="R97" s="1222" t="str">
        <f t="shared" si="1"/>
        <v/>
      </c>
      <c r="S97" s="1223"/>
      <c r="T97" s="241"/>
      <c r="U97" s="430"/>
      <c r="V97" s="430"/>
      <c r="W97" s="430"/>
      <c r="X97" s="430"/>
      <c r="Y97" s="431"/>
      <c r="Z97" s="431"/>
      <c r="AA97" s="1411">
        <v>0</v>
      </c>
      <c r="AB97" s="1412"/>
      <c r="AC97" s="1413">
        <v>45</v>
      </c>
      <c r="AD97" s="1412"/>
      <c r="AE97" s="433"/>
      <c r="AF97" s="441"/>
      <c r="AG97" s="1202">
        <f>+Y94</f>
        <v>33.619999999999997</v>
      </c>
      <c r="AH97" s="1203"/>
      <c r="AI97" s="267"/>
    </row>
    <row r="98" spans="1:35" s="172" customFormat="1" ht="14.25" customHeight="1">
      <c r="A98" s="425"/>
      <c r="B98" s="1379"/>
      <c r="C98" s="1380"/>
      <c r="D98" s="1406"/>
      <c r="E98" s="1407"/>
      <c r="F98" s="1408"/>
      <c r="G98" s="1409"/>
      <c r="H98" s="1220"/>
      <c r="I98" s="1221"/>
      <c r="J98" s="1387" t="str">
        <f t="shared" si="0"/>
        <v/>
      </c>
      <c r="K98" s="1388"/>
      <c r="L98" s="1408"/>
      <c r="M98" s="1407"/>
      <c r="N98" s="1404"/>
      <c r="O98" s="1405"/>
      <c r="P98" s="1220"/>
      <c r="Q98" s="1221"/>
      <c r="R98" s="1222" t="str">
        <f t="shared" si="1"/>
        <v/>
      </c>
      <c r="S98" s="1223"/>
      <c r="T98" s="241"/>
      <c r="U98" s="430"/>
      <c r="V98" s="1224" t="s">
        <v>254</v>
      </c>
      <c r="W98" s="1224"/>
      <c r="X98" s="1225"/>
      <c r="Y98" s="1226">
        <v>10</v>
      </c>
      <c r="Z98" s="1227"/>
      <c r="AA98" s="1197">
        <v>80</v>
      </c>
      <c r="AB98" s="1198"/>
      <c r="AC98" s="1197">
        <v>98</v>
      </c>
      <c r="AD98" s="1198"/>
      <c r="AE98" s="433"/>
      <c r="AF98" s="441"/>
      <c r="AG98" s="1218">
        <f>(((AC98-AA98)/(AC$97-AA$97))*(Y$94-AA$97))+AA98</f>
        <v>93.448000000000008</v>
      </c>
      <c r="AH98" s="1219"/>
      <c r="AI98" s="267"/>
    </row>
    <row r="99" spans="1:35" s="172" customFormat="1" ht="14.25" customHeight="1">
      <c r="A99" s="425"/>
      <c r="B99" s="1379"/>
      <c r="C99" s="1380"/>
      <c r="D99" s="1406"/>
      <c r="E99" s="1407"/>
      <c r="F99" s="1408"/>
      <c r="G99" s="1409"/>
      <c r="H99" s="1220"/>
      <c r="I99" s="1221"/>
      <c r="J99" s="1387" t="str">
        <f t="shared" si="0"/>
        <v/>
      </c>
      <c r="K99" s="1388"/>
      <c r="L99" s="1408"/>
      <c r="M99" s="1407"/>
      <c r="N99" s="1404"/>
      <c r="O99" s="1405"/>
      <c r="P99" s="1220"/>
      <c r="Q99" s="1221"/>
      <c r="R99" s="1222" t="str">
        <f t="shared" si="1"/>
        <v/>
      </c>
      <c r="S99" s="1223"/>
      <c r="T99" s="241"/>
      <c r="U99" s="430"/>
      <c r="V99" s="1224" t="s">
        <v>255</v>
      </c>
      <c r="W99" s="1224"/>
      <c r="X99" s="1416"/>
      <c r="Y99" s="1226">
        <v>5</v>
      </c>
      <c r="Z99" s="1227"/>
      <c r="AA99" s="1414">
        <v>66</v>
      </c>
      <c r="AB99" s="1415"/>
      <c r="AC99" s="1414">
        <v>72</v>
      </c>
      <c r="AD99" s="1415"/>
      <c r="AE99" s="433"/>
      <c r="AF99" s="441"/>
      <c r="AG99" s="1218">
        <f>(((AC99-AA99)/(AC$97-AA$97))*(Y$94-AA$97))+AA99</f>
        <v>70.48266666666666</v>
      </c>
      <c r="AH99" s="1219"/>
      <c r="AI99" s="267"/>
    </row>
    <row r="100" spans="1:35" s="172" customFormat="1" ht="14.25" customHeight="1">
      <c r="A100" s="425"/>
      <c r="B100" s="1379"/>
      <c r="C100" s="1380"/>
      <c r="D100" s="1406"/>
      <c r="E100" s="1407"/>
      <c r="F100" s="1408"/>
      <c r="G100" s="1409"/>
      <c r="H100" s="1220"/>
      <c r="I100" s="1221"/>
      <c r="J100" s="1387" t="str">
        <f t="shared" si="0"/>
        <v/>
      </c>
      <c r="K100" s="1388"/>
      <c r="L100" s="1408"/>
      <c r="M100" s="1407"/>
      <c r="N100" s="1404"/>
      <c r="O100" s="1405"/>
      <c r="P100" s="1220"/>
      <c r="Q100" s="1221"/>
      <c r="R100" s="1222" t="str">
        <f t="shared" si="1"/>
        <v/>
      </c>
      <c r="S100" s="1223"/>
      <c r="T100" s="241"/>
      <c r="U100" s="430"/>
      <c r="V100" s="430"/>
      <c r="W100" s="430"/>
      <c r="X100" s="430"/>
      <c r="Y100" s="431"/>
      <c r="Z100" s="431"/>
      <c r="AA100" s="431"/>
      <c r="AB100" s="431"/>
      <c r="AC100" s="431"/>
      <c r="AD100" s="431"/>
      <c r="AE100" s="433"/>
      <c r="AF100" s="441"/>
      <c r="AG100" s="431"/>
      <c r="AH100" s="431"/>
      <c r="AI100" s="267"/>
    </row>
    <row r="101" spans="1:35" s="172" customFormat="1" ht="14.25" customHeight="1">
      <c r="A101" s="425"/>
      <c r="B101" s="1379"/>
      <c r="C101" s="1380"/>
      <c r="D101" s="1406"/>
      <c r="E101" s="1407"/>
      <c r="F101" s="1408"/>
      <c r="G101" s="1409"/>
      <c r="H101" s="1220"/>
      <c r="I101" s="1221"/>
      <c r="J101" s="1387" t="str">
        <f t="shared" si="0"/>
        <v/>
      </c>
      <c r="K101" s="1388"/>
      <c r="L101" s="1408"/>
      <c r="M101" s="1407"/>
      <c r="N101" s="1404"/>
      <c r="O101" s="1405"/>
      <c r="P101" s="1220"/>
      <c r="Q101" s="1221"/>
      <c r="R101" s="1222" t="str">
        <f t="shared" si="1"/>
        <v/>
      </c>
      <c r="S101" s="1223"/>
      <c r="T101" s="241"/>
      <c r="U101" s="430"/>
      <c r="V101" s="1214" t="s">
        <v>256</v>
      </c>
      <c r="W101" s="1214"/>
      <c r="X101" s="1214"/>
      <c r="Y101" s="1417">
        <v>6</v>
      </c>
      <c r="Z101" s="1418"/>
      <c r="AA101" s="431"/>
      <c r="AB101" s="1419">
        <f>((AG98-AG99)/(Y98-Y99))*(Y$101-Y99)+AG99</f>
        <v>75.075733333333332</v>
      </c>
      <c r="AC101" s="1420"/>
      <c r="AD101" s="434" t="s">
        <v>257</v>
      </c>
      <c r="AE101" s="433"/>
      <c r="AF101" s="441"/>
      <c r="AG101" s="431"/>
      <c r="AH101" s="431"/>
      <c r="AI101" s="267"/>
    </row>
    <row r="102" spans="1:35" s="172" customFormat="1" ht="14.25" customHeight="1">
      <c r="A102" s="425"/>
      <c r="B102" s="1379"/>
      <c r="C102" s="1380"/>
      <c r="D102" s="1406"/>
      <c r="E102" s="1407"/>
      <c r="F102" s="1408"/>
      <c r="G102" s="1409"/>
      <c r="H102" s="1220"/>
      <c r="I102" s="1221"/>
      <c r="J102" s="1387" t="str">
        <f t="shared" si="0"/>
        <v/>
      </c>
      <c r="K102" s="1388"/>
      <c r="L102" s="1408"/>
      <c r="M102" s="1407"/>
      <c r="N102" s="1404"/>
      <c r="O102" s="1405"/>
      <c r="P102" s="1220"/>
      <c r="Q102" s="1221"/>
      <c r="R102" s="1222" t="str">
        <f t="shared" si="1"/>
        <v/>
      </c>
      <c r="S102" s="1223"/>
      <c r="U102" s="435"/>
      <c r="V102" s="429"/>
      <c r="W102" s="429"/>
      <c r="X102" s="429"/>
      <c r="Y102" s="429"/>
      <c r="Z102" s="429"/>
      <c r="AA102" s="429"/>
      <c r="AB102" s="429"/>
      <c r="AC102" s="429"/>
      <c r="AD102" s="429"/>
      <c r="AE102" s="436"/>
      <c r="AF102" s="441"/>
      <c r="AG102" s="431"/>
      <c r="AH102" s="431"/>
      <c r="AI102" s="267"/>
    </row>
    <row r="103" spans="1:35" s="172" customFormat="1" ht="14.25" customHeight="1">
      <c r="A103" s="425"/>
      <c r="B103" s="1379"/>
      <c r="C103" s="1380"/>
      <c r="D103" s="1406"/>
      <c r="E103" s="1407"/>
      <c r="F103" s="1408"/>
      <c r="G103" s="1409"/>
      <c r="H103" s="1421"/>
      <c r="I103" s="1422"/>
      <c r="J103" s="1387" t="str">
        <f t="shared" si="0"/>
        <v/>
      </c>
      <c r="K103" s="1388"/>
      <c r="L103" s="1408"/>
      <c r="M103" s="1407"/>
      <c r="N103" s="1404"/>
      <c r="O103" s="1405"/>
      <c r="P103" s="1421"/>
      <c r="Q103" s="1422"/>
      <c r="R103" s="1222" t="str">
        <f t="shared" si="1"/>
        <v/>
      </c>
      <c r="S103" s="1223"/>
      <c r="U103" s="437"/>
      <c r="V103" s="437"/>
      <c r="W103" s="437"/>
      <c r="X103" s="437"/>
      <c r="Y103" s="437"/>
      <c r="Z103" s="437"/>
      <c r="AA103" s="437"/>
      <c r="AB103" s="437"/>
      <c r="AC103" s="437"/>
      <c r="AD103" s="437"/>
      <c r="AE103" s="437"/>
      <c r="AF103" s="441"/>
      <c r="AG103" s="441"/>
      <c r="AH103" s="441"/>
      <c r="AI103" s="267"/>
    </row>
    <row r="104" spans="1:35" s="172" customFormat="1" ht="14.25" customHeight="1">
      <c r="A104" s="425"/>
      <c r="B104" s="1379"/>
      <c r="C104" s="1380"/>
      <c r="D104" s="1406"/>
      <c r="E104" s="1407"/>
      <c r="F104" s="1424"/>
      <c r="G104" s="1424"/>
      <c r="H104" s="1220"/>
      <c r="I104" s="1221"/>
      <c r="J104" s="1387" t="str">
        <f t="shared" ref="J104:J122" si="2">IF(B104="","",ROUND(F104*H104,3))</f>
        <v/>
      </c>
      <c r="K104" s="1388"/>
      <c r="L104" s="1408"/>
      <c r="M104" s="1407"/>
      <c r="N104" s="1425"/>
      <c r="O104" s="1426"/>
      <c r="P104" s="1220"/>
      <c r="Q104" s="1221"/>
      <c r="R104" s="1427" t="str">
        <f t="shared" si="1"/>
        <v/>
      </c>
      <c r="S104" s="1428"/>
      <c r="U104" s="429"/>
      <c r="V104" s="429"/>
      <c r="W104" s="429"/>
      <c r="X104" s="429"/>
      <c r="Y104" s="429"/>
      <c r="Z104" s="429"/>
      <c r="AA104" s="429"/>
      <c r="AB104" s="429"/>
      <c r="AC104" s="429"/>
      <c r="AD104" s="429"/>
      <c r="AE104" s="429"/>
      <c r="AF104" s="1423"/>
      <c r="AG104" s="1201"/>
      <c r="AH104" s="431"/>
    </row>
    <row r="105" spans="1:35" s="172" customFormat="1" ht="14.25" customHeight="1">
      <c r="A105" s="425"/>
      <c r="B105" s="1379"/>
      <c r="C105" s="1380"/>
      <c r="D105" s="1406"/>
      <c r="E105" s="1407"/>
      <c r="F105" s="1424"/>
      <c r="G105" s="1424"/>
      <c r="H105" s="1220"/>
      <c r="I105" s="1221"/>
      <c r="J105" s="1387" t="str">
        <f t="shared" si="2"/>
        <v/>
      </c>
      <c r="K105" s="1388"/>
      <c r="L105" s="1408"/>
      <c r="M105" s="1407"/>
      <c r="N105" s="1425"/>
      <c r="O105" s="1426"/>
      <c r="P105" s="1220"/>
      <c r="Q105" s="1221"/>
      <c r="R105" s="1222" t="str">
        <f t="shared" si="1"/>
        <v/>
      </c>
      <c r="S105" s="1223"/>
      <c r="T105" s="241"/>
      <c r="U105" s="440"/>
      <c r="V105" s="1214" t="s">
        <v>258</v>
      </c>
      <c r="W105" s="1214"/>
      <c r="X105" s="1214"/>
      <c r="Y105" s="1215">
        <f>+N89</f>
        <v>234.6</v>
      </c>
      <c r="Z105" s="1216"/>
      <c r="AA105" s="431"/>
      <c r="AB105" s="431"/>
      <c r="AC105" s="431"/>
      <c r="AD105" s="431"/>
      <c r="AE105" s="433"/>
      <c r="AF105" s="1201"/>
      <c r="AG105" s="1201"/>
      <c r="AH105" s="431"/>
    </row>
    <row r="106" spans="1:35" s="172" customFormat="1" ht="14.25" customHeight="1">
      <c r="A106" s="425"/>
      <c r="B106" s="1379"/>
      <c r="C106" s="1380"/>
      <c r="D106" s="1406"/>
      <c r="E106" s="1407"/>
      <c r="F106" s="1424"/>
      <c r="G106" s="1429"/>
      <c r="H106" s="1220"/>
      <c r="I106" s="1221"/>
      <c r="J106" s="1387" t="str">
        <f t="shared" si="2"/>
        <v/>
      </c>
      <c r="K106" s="1388"/>
      <c r="L106" s="1408"/>
      <c r="M106" s="1407"/>
      <c r="N106" s="1425"/>
      <c r="O106" s="1426"/>
      <c r="P106" s="1220"/>
      <c r="Q106" s="1221"/>
      <c r="R106" s="1222" t="str">
        <f t="shared" si="1"/>
        <v/>
      </c>
      <c r="S106" s="1223"/>
      <c r="T106" s="241"/>
      <c r="U106" s="431"/>
      <c r="V106" s="431"/>
      <c r="W106" s="431"/>
      <c r="X106" s="431"/>
      <c r="Y106" s="431"/>
      <c r="Z106" s="431"/>
      <c r="AA106" s="1217" t="s">
        <v>251</v>
      </c>
      <c r="AB106" s="1217"/>
      <c r="AC106" s="1217"/>
      <c r="AD106" s="1430"/>
      <c r="AE106" s="433"/>
      <c r="AF106" s="1201"/>
      <c r="AG106" s="1201"/>
      <c r="AH106" s="431"/>
    </row>
    <row r="107" spans="1:35" s="172" customFormat="1" ht="14.25" customHeight="1">
      <c r="A107" s="425"/>
      <c r="B107" s="1379"/>
      <c r="C107" s="1380"/>
      <c r="D107" s="1406"/>
      <c r="E107" s="1407"/>
      <c r="F107" s="1424"/>
      <c r="G107" s="1429"/>
      <c r="H107" s="1220"/>
      <c r="I107" s="1221"/>
      <c r="J107" s="1387" t="str">
        <f t="shared" si="2"/>
        <v/>
      </c>
      <c r="K107" s="1388"/>
      <c r="L107" s="1408"/>
      <c r="M107" s="1407"/>
      <c r="N107" s="1425"/>
      <c r="O107" s="1426"/>
      <c r="P107" s="1220"/>
      <c r="Q107" s="1221"/>
      <c r="R107" s="1222" t="str">
        <f t="shared" si="1"/>
        <v/>
      </c>
      <c r="S107" s="1223"/>
      <c r="T107" s="241"/>
      <c r="U107" s="431"/>
      <c r="V107" s="431"/>
      <c r="W107" s="431"/>
      <c r="X107" s="431"/>
      <c r="Y107" s="431"/>
      <c r="Z107" s="431"/>
      <c r="AA107" s="1410" t="s">
        <v>252</v>
      </c>
      <c r="AB107" s="1431"/>
      <c r="AC107" s="1432" t="s">
        <v>253</v>
      </c>
      <c r="AD107" s="1433"/>
      <c r="AE107" s="433"/>
      <c r="AF107" s="431"/>
      <c r="AG107" s="1204" t="s">
        <v>259</v>
      </c>
      <c r="AH107" s="1205"/>
    </row>
    <row r="108" spans="1:35" s="172" customFormat="1" ht="14.25" customHeight="1">
      <c r="A108" s="425"/>
      <c r="B108" s="1379"/>
      <c r="C108" s="1380"/>
      <c r="D108" s="1406"/>
      <c r="E108" s="1407"/>
      <c r="F108" s="1408"/>
      <c r="G108" s="1409"/>
      <c r="H108" s="1220"/>
      <c r="I108" s="1221"/>
      <c r="J108" s="1387" t="str">
        <f t="shared" si="2"/>
        <v/>
      </c>
      <c r="K108" s="1388"/>
      <c r="L108" s="1408"/>
      <c r="M108" s="1407"/>
      <c r="N108" s="1425"/>
      <c r="O108" s="1426"/>
      <c r="P108" s="1220"/>
      <c r="Q108" s="1221"/>
      <c r="R108" s="1222" t="str">
        <f t="shared" si="1"/>
        <v/>
      </c>
      <c r="S108" s="1223"/>
      <c r="T108" s="241"/>
      <c r="U108" s="431"/>
      <c r="V108" s="431"/>
      <c r="W108" s="431"/>
      <c r="X108" s="431"/>
      <c r="Y108" s="431"/>
      <c r="Z108" s="431"/>
      <c r="AA108" s="1411">
        <v>0</v>
      </c>
      <c r="AB108" s="1412"/>
      <c r="AC108" s="1411">
        <v>1</v>
      </c>
      <c r="AD108" s="1412"/>
      <c r="AE108" s="439"/>
      <c r="AF108" s="431"/>
      <c r="AG108" s="1202">
        <f>+Y105</f>
        <v>234.6</v>
      </c>
      <c r="AH108" s="1203"/>
    </row>
    <row r="109" spans="1:35" s="172" customFormat="1" ht="14.25" customHeight="1">
      <c r="A109" s="425"/>
      <c r="B109" s="1379"/>
      <c r="C109" s="1380"/>
      <c r="D109" s="1406"/>
      <c r="E109" s="1407"/>
      <c r="F109" s="1424"/>
      <c r="G109" s="1429"/>
      <c r="H109" s="1220"/>
      <c r="I109" s="1221"/>
      <c r="J109" s="1387" t="str">
        <f t="shared" si="2"/>
        <v/>
      </c>
      <c r="K109" s="1388"/>
      <c r="L109" s="1408"/>
      <c r="M109" s="1407"/>
      <c r="N109" s="1425"/>
      <c r="O109" s="1426"/>
      <c r="P109" s="1220"/>
      <c r="Q109" s="1221"/>
      <c r="R109" s="1222" t="str">
        <f t="shared" si="1"/>
        <v/>
      </c>
      <c r="S109" s="1223"/>
      <c r="T109" s="241"/>
      <c r="U109" s="431"/>
      <c r="V109" s="1224" t="s">
        <v>254</v>
      </c>
      <c r="W109" s="1224"/>
      <c r="X109" s="1225"/>
      <c r="Y109" s="1226">
        <v>12</v>
      </c>
      <c r="Z109" s="1436"/>
      <c r="AA109" s="1437">
        <v>22</v>
      </c>
      <c r="AB109" s="1438"/>
      <c r="AC109" s="1437">
        <v>44</v>
      </c>
      <c r="AD109" s="1438"/>
      <c r="AE109" s="439"/>
      <c r="AF109" s="431"/>
      <c r="AG109" s="1218">
        <f>(((AC109-AA109)/(AC$108-AA$108))*(Y$105-AA$108))+AA109</f>
        <v>5183.2</v>
      </c>
      <c r="AH109" s="1219"/>
    </row>
    <row r="110" spans="1:35" s="172" customFormat="1" ht="14.25" customHeight="1">
      <c r="A110" s="425"/>
      <c r="B110" s="1379"/>
      <c r="C110" s="1380"/>
      <c r="D110" s="1406"/>
      <c r="E110" s="1407"/>
      <c r="F110" s="1424"/>
      <c r="G110" s="1429"/>
      <c r="H110" s="1220"/>
      <c r="I110" s="1221"/>
      <c r="J110" s="1387" t="str">
        <f t="shared" si="2"/>
        <v/>
      </c>
      <c r="K110" s="1388"/>
      <c r="L110" s="1408"/>
      <c r="M110" s="1407"/>
      <c r="N110" s="1425"/>
      <c r="O110" s="1426"/>
      <c r="P110" s="1220"/>
      <c r="Q110" s="1221"/>
      <c r="R110" s="1222" t="str">
        <f t="shared" si="1"/>
        <v/>
      </c>
      <c r="S110" s="1223"/>
      <c r="T110" s="241"/>
      <c r="U110" s="431"/>
      <c r="V110" s="1224" t="s">
        <v>255</v>
      </c>
      <c r="W110" s="1224"/>
      <c r="X110" s="1225"/>
      <c r="Y110" s="1226">
        <v>4</v>
      </c>
      <c r="Z110" s="1227"/>
      <c r="AA110" s="1437">
        <v>12</v>
      </c>
      <c r="AB110" s="1439"/>
      <c r="AC110" s="1437">
        <v>15</v>
      </c>
      <c r="AD110" s="1438"/>
      <c r="AE110" s="439"/>
      <c r="AF110" s="431"/>
      <c r="AG110" s="1218">
        <f>(((AC110-AA110)/(AC$108-AA$108))*(Y$105-AA$108))+AA110</f>
        <v>715.8</v>
      </c>
      <c r="AH110" s="1219"/>
    </row>
    <row r="111" spans="1:35" s="172" customFormat="1" ht="14.25" customHeight="1">
      <c r="A111" s="425"/>
      <c r="B111" s="1434"/>
      <c r="C111" s="1435"/>
      <c r="D111" s="1406"/>
      <c r="E111" s="1407"/>
      <c r="F111" s="1424"/>
      <c r="G111" s="1429"/>
      <c r="H111" s="1220"/>
      <c r="I111" s="1221"/>
      <c r="J111" s="1387" t="str">
        <f t="shared" si="2"/>
        <v/>
      </c>
      <c r="K111" s="1388"/>
      <c r="L111" s="1408"/>
      <c r="M111" s="1407"/>
      <c r="N111" s="1425"/>
      <c r="O111" s="1426"/>
      <c r="P111" s="1220"/>
      <c r="Q111" s="1221"/>
      <c r="R111" s="1222" t="str">
        <f t="shared" si="1"/>
        <v/>
      </c>
      <c r="S111" s="1223"/>
      <c r="T111" s="241"/>
      <c r="U111" s="431"/>
      <c r="V111" s="430"/>
      <c r="W111" s="430"/>
      <c r="X111" s="430"/>
      <c r="Y111" s="431"/>
      <c r="Z111" s="431"/>
      <c r="AA111" s="431"/>
      <c r="AB111" s="431"/>
      <c r="AC111" s="431"/>
      <c r="AD111" s="437"/>
      <c r="AE111" s="433"/>
      <c r="AF111" s="431"/>
      <c r="AG111" s="431"/>
      <c r="AH111" s="431"/>
    </row>
    <row r="112" spans="1:35" s="172" customFormat="1" ht="14.25" customHeight="1">
      <c r="A112" s="241"/>
      <c r="B112" s="1434"/>
      <c r="C112" s="1435"/>
      <c r="D112" s="1406"/>
      <c r="E112" s="1407"/>
      <c r="F112" s="1424"/>
      <c r="G112" s="1429"/>
      <c r="H112" s="1421"/>
      <c r="I112" s="1422"/>
      <c r="J112" s="1387" t="str">
        <f t="shared" si="2"/>
        <v/>
      </c>
      <c r="K112" s="1388"/>
      <c r="L112" s="1408"/>
      <c r="M112" s="1407"/>
      <c r="N112" s="1425"/>
      <c r="O112" s="1426"/>
      <c r="P112" s="1421"/>
      <c r="Q112" s="1422"/>
      <c r="R112" s="1222" t="str">
        <f t="shared" si="1"/>
        <v/>
      </c>
      <c r="S112" s="1223"/>
      <c r="U112" s="438"/>
      <c r="V112" s="1214" t="s">
        <v>256</v>
      </c>
      <c r="W112" s="1214"/>
      <c r="X112" s="1214"/>
      <c r="Y112" s="1417">
        <v>8</v>
      </c>
      <c r="Z112" s="1418"/>
      <c r="AA112" s="431"/>
      <c r="AB112" s="1440">
        <f>((AG109-AG110)/(Y109-Y110))*(Y$112-Y110)+AG110</f>
        <v>2949.5</v>
      </c>
      <c r="AC112" s="1441"/>
      <c r="AD112" s="434" t="s">
        <v>257</v>
      </c>
      <c r="AE112" s="433"/>
      <c r="AF112" s="431"/>
      <c r="AG112" s="431"/>
      <c r="AH112" s="431"/>
    </row>
    <row r="113" spans="1:42" s="172" customFormat="1" ht="14.25" customHeight="1">
      <c r="A113" s="241"/>
      <c r="B113" s="1434"/>
      <c r="C113" s="1435"/>
      <c r="D113" s="1406"/>
      <c r="E113" s="1407"/>
      <c r="F113" s="1424"/>
      <c r="G113" s="1429"/>
      <c r="H113" s="1421"/>
      <c r="I113" s="1422"/>
      <c r="J113" s="1387" t="str">
        <f t="shared" si="2"/>
        <v/>
      </c>
      <c r="K113" s="1388"/>
      <c r="L113" s="1442"/>
      <c r="M113" s="1443"/>
      <c r="N113" s="1425"/>
      <c r="O113" s="1426"/>
      <c r="P113" s="1421"/>
      <c r="Q113" s="1422"/>
      <c r="R113" s="1222" t="str">
        <f t="shared" si="1"/>
        <v/>
      </c>
      <c r="S113" s="1223"/>
      <c r="U113" s="435"/>
      <c r="V113" s="429"/>
      <c r="W113" s="429"/>
      <c r="X113" s="429"/>
      <c r="Y113" s="429"/>
      <c r="Z113" s="429"/>
      <c r="AA113" s="429"/>
      <c r="AB113" s="429"/>
      <c r="AC113" s="429"/>
      <c r="AD113" s="429"/>
      <c r="AE113" s="436"/>
      <c r="AF113" s="431"/>
      <c r="AG113" s="431"/>
      <c r="AH113" s="431"/>
    </row>
    <row r="114" spans="1:42" s="172" customFormat="1" ht="14.25" customHeight="1">
      <c r="A114" s="241"/>
      <c r="B114" s="1434"/>
      <c r="C114" s="1435"/>
      <c r="D114" s="1406"/>
      <c r="E114" s="1407"/>
      <c r="F114" s="1424"/>
      <c r="G114" s="1429"/>
      <c r="H114" s="1421"/>
      <c r="I114" s="1422"/>
      <c r="J114" s="1387" t="str">
        <f t="shared" si="2"/>
        <v/>
      </c>
      <c r="K114" s="1388"/>
      <c r="L114" s="1442"/>
      <c r="M114" s="1443"/>
      <c r="N114" s="1425"/>
      <c r="O114" s="1426"/>
      <c r="P114" s="1421"/>
      <c r="Q114" s="1422"/>
      <c r="R114" s="1222" t="str">
        <f t="shared" si="1"/>
        <v/>
      </c>
      <c r="S114" s="1223"/>
      <c r="U114" s="267"/>
      <c r="V114" s="267"/>
      <c r="W114" s="267"/>
      <c r="X114" s="267"/>
      <c r="Y114" s="267"/>
      <c r="Z114" s="267"/>
      <c r="AA114" s="267"/>
      <c r="AB114" s="267"/>
      <c r="AC114" s="267"/>
      <c r="AD114" s="267"/>
      <c r="AE114" s="267"/>
      <c r="AF114" s="267"/>
      <c r="AG114" s="267"/>
      <c r="AH114" s="267"/>
      <c r="AI114" s="267"/>
    </row>
    <row r="115" spans="1:42" s="172" customFormat="1" ht="14.25" customHeight="1">
      <c r="A115" s="241"/>
      <c r="B115" s="1434"/>
      <c r="C115" s="1435"/>
      <c r="D115" s="1406"/>
      <c r="E115" s="1407"/>
      <c r="F115" s="1424"/>
      <c r="G115" s="1429"/>
      <c r="H115" s="1421"/>
      <c r="I115" s="1422"/>
      <c r="J115" s="1387" t="str">
        <f t="shared" si="2"/>
        <v/>
      </c>
      <c r="K115" s="1388"/>
      <c r="L115" s="1442"/>
      <c r="M115" s="1443"/>
      <c r="N115" s="1404"/>
      <c r="O115" s="1444"/>
      <c r="P115" s="1421"/>
      <c r="Q115" s="1422"/>
      <c r="R115" s="1222" t="str">
        <f t="shared" si="1"/>
        <v/>
      </c>
      <c r="S115" s="1223"/>
      <c r="U115" s="267"/>
      <c r="V115" s="267"/>
      <c r="W115" s="267"/>
      <c r="X115" s="267"/>
      <c r="Y115" s="267"/>
      <c r="Z115" s="267"/>
      <c r="AA115" s="267"/>
      <c r="AB115" s="267"/>
      <c r="AC115" s="267"/>
      <c r="AD115" s="267"/>
      <c r="AE115" s="267"/>
      <c r="AF115" s="267"/>
      <c r="AG115" s="267"/>
      <c r="AH115" s="267"/>
      <c r="AI115" s="267"/>
    </row>
    <row r="116" spans="1:42" s="172" customFormat="1" ht="14.25" customHeight="1">
      <c r="A116" s="241"/>
      <c r="B116" s="1434"/>
      <c r="C116" s="1435"/>
      <c r="D116" s="1406"/>
      <c r="E116" s="1407"/>
      <c r="F116" s="1424"/>
      <c r="G116" s="1429"/>
      <c r="H116" s="1421"/>
      <c r="I116" s="1422"/>
      <c r="J116" s="1387" t="str">
        <f t="shared" si="2"/>
        <v/>
      </c>
      <c r="K116" s="1388"/>
      <c r="L116" s="1442"/>
      <c r="M116" s="1443"/>
      <c r="N116" s="1425"/>
      <c r="O116" s="1426"/>
      <c r="P116" s="1421"/>
      <c r="Q116" s="1422"/>
      <c r="R116" s="1222" t="str">
        <f t="shared" si="1"/>
        <v/>
      </c>
      <c r="S116" s="1223"/>
      <c r="U116" s="267"/>
      <c r="V116" s="267"/>
      <c r="W116" s="267"/>
      <c r="X116" s="267"/>
      <c r="Y116" s="267"/>
      <c r="Z116" s="267"/>
      <c r="AA116" s="267"/>
      <c r="AB116" s="267"/>
      <c r="AC116" s="267"/>
      <c r="AD116" s="267"/>
      <c r="AE116" s="267"/>
      <c r="AF116" s="267"/>
      <c r="AG116" s="267"/>
      <c r="AH116" s="267"/>
      <c r="AI116" s="267"/>
    </row>
    <row r="117" spans="1:42" s="172" customFormat="1" ht="14.25" customHeight="1">
      <c r="A117" s="241"/>
      <c r="B117" s="1434"/>
      <c r="C117" s="1435"/>
      <c r="D117" s="1406"/>
      <c r="E117" s="1407"/>
      <c r="F117" s="1424"/>
      <c r="G117" s="1429"/>
      <c r="H117" s="1421"/>
      <c r="I117" s="1422"/>
      <c r="J117" s="1387" t="str">
        <f t="shared" si="2"/>
        <v/>
      </c>
      <c r="K117" s="1388"/>
      <c r="L117" s="1442"/>
      <c r="M117" s="1443"/>
      <c r="N117" s="1425"/>
      <c r="O117" s="1426"/>
      <c r="P117" s="1421"/>
      <c r="Q117" s="1422"/>
      <c r="R117" s="1222" t="str">
        <f t="shared" si="1"/>
        <v/>
      </c>
      <c r="S117" s="1223"/>
      <c r="U117" s="267"/>
      <c r="V117" s="267"/>
      <c r="W117" s="267"/>
      <c r="X117" s="267"/>
      <c r="Y117" s="267"/>
      <c r="Z117" s="267"/>
      <c r="AA117" s="267"/>
      <c r="AB117" s="267"/>
      <c r="AC117" s="267"/>
      <c r="AD117" s="267"/>
      <c r="AE117" s="267"/>
      <c r="AF117" s="267"/>
      <c r="AG117" s="267"/>
      <c r="AH117" s="267"/>
      <c r="AI117" s="267"/>
    </row>
    <row r="118" spans="1:42" s="172" customFormat="1" ht="14.25" customHeight="1">
      <c r="A118" s="241"/>
      <c r="B118" s="1434"/>
      <c r="C118" s="1435"/>
      <c r="D118" s="1406"/>
      <c r="E118" s="1407"/>
      <c r="F118" s="1424"/>
      <c r="G118" s="1429"/>
      <c r="H118" s="1421"/>
      <c r="I118" s="1422"/>
      <c r="J118" s="1387" t="str">
        <f t="shared" si="2"/>
        <v/>
      </c>
      <c r="K118" s="1388"/>
      <c r="L118" s="1442"/>
      <c r="M118" s="1443"/>
      <c r="N118" s="1425"/>
      <c r="O118" s="1426"/>
      <c r="P118" s="1421"/>
      <c r="Q118" s="1422"/>
      <c r="R118" s="1222" t="str">
        <f t="shared" si="1"/>
        <v/>
      </c>
      <c r="S118" s="1223"/>
      <c r="U118" s="267"/>
      <c r="V118" s="267"/>
      <c r="W118" s="267"/>
      <c r="X118" s="267"/>
      <c r="Y118" s="267"/>
      <c r="Z118" s="267"/>
      <c r="AA118" s="267"/>
      <c r="AB118" s="267"/>
      <c r="AC118" s="267"/>
      <c r="AD118" s="267"/>
      <c r="AE118" s="267"/>
      <c r="AF118" s="267"/>
      <c r="AG118" s="267"/>
      <c r="AH118" s="267"/>
      <c r="AI118" s="267"/>
    </row>
    <row r="119" spans="1:42" s="172" customFormat="1" ht="14.25" customHeight="1">
      <c r="A119" s="241"/>
      <c r="B119" s="1434"/>
      <c r="C119" s="1435"/>
      <c r="D119" s="1406"/>
      <c r="E119" s="1407"/>
      <c r="F119" s="1425"/>
      <c r="G119" s="1445"/>
      <c r="H119" s="1421"/>
      <c r="I119" s="1422"/>
      <c r="J119" s="1387" t="str">
        <f t="shared" si="2"/>
        <v/>
      </c>
      <c r="K119" s="1388"/>
      <c r="L119" s="1442"/>
      <c r="M119" s="1443"/>
      <c r="N119" s="1425"/>
      <c r="O119" s="1426"/>
      <c r="P119" s="1421"/>
      <c r="Q119" s="1422"/>
      <c r="R119" s="1222" t="str">
        <f t="shared" si="1"/>
        <v/>
      </c>
      <c r="S119" s="1223"/>
      <c r="U119" s="267"/>
      <c r="V119" s="267"/>
      <c r="W119" s="267"/>
      <c r="X119" s="267"/>
      <c r="Y119" s="267"/>
      <c r="Z119" s="267"/>
      <c r="AA119" s="267"/>
      <c r="AB119" s="267"/>
      <c r="AC119" s="267"/>
      <c r="AD119" s="267"/>
      <c r="AE119" s="267"/>
      <c r="AF119" s="267"/>
      <c r="AG119" s="267"/>
      <c r="AH119" s="267"/>
      <c r="AI119" s="267"/>
    </row>
    <row r="120" spans="1:42" s="172" customFormat="1" ht="14.25" customHeight="1">
      <c r="A120" s="241"/>
      <c r="B120" s="1434"/>
      <c r="C120" s="1435"/>
      <c r="D120" s="1406"/>
      <c r="E120" s="1407"/>
      <c r="F120" s="1425"/>
      <c r="G120" s="1445"/>
      <c r="H120" s="1421"/>
      <c r="I120" s="1422"/>
      <c r="J120" s="1387" t="str">
        <f t="shared" si="2"/>
        <v/>
      </c>
      <c r="K120" s="1388"/>
      <c r="L120" s="1442"/>
      <c r="M120" s="1443"/>
      <c r="N120" s="1425"/>
      <c r="O120" s="1426"/>
      <c r="P120" s="1421"/>
      <c r="Q120" s="1422"/>
      <c r="R120" s="1222" t="str">
        <f t="shared" si="1"/>
        <v/>
      </c>
      <c r="S120" s="1223"/>
      <c r="V120" s="267"/>
      <c r="W120" s="267"/>
      <c r="X120" s="267"/>
      <c r="Y120" s="267"/>
      <c r="Z120" s="267"/>
      <c r="AA120" s="267"/>
      <c r="AB120" s="267"/>
      <c r="AC120" s="267"/>
      <c r="AD120" s="267"/>
      <c r="AE120" s="267"/>
      <c r="AF120" s="267"/>
      <c r="AG120" s="267"/>
      <c r="AH120" s="267"/>
      <c r="AI120" s="267"/>
      <c r="AJ120" s="267"/>
      <c r="AK120" s="267"/>
      <c r="AL120" s="267"/>
      <c r="AM120" s="267"/>
      <c r="AN120" s="267"/>
      <c r="AO120" s="267"/>
      <c r="AP120" s="267"/>
    </row>
    <row r="121" spans="1:42" s="172" customFormat="1" ht="14.25" customHeight="1">
      <c r="A121" s="241"/>
      <c r="B121" s="1434"/>
      <c r="C121" s="1435"/>
      <c r="D121" s="1406"/>
      <c r="E121" s="1407"/>
      <c r="F121" s="1425"/>
      <c r="G121" s="1445"/>
      <c r="H121" s="1421"/>
      <c r="I121" s="1422"/>
      <c r="J121" s="1387" t="str">
        <f t="shared" si="2"/>
        <v/>
      </c>
      <c r="K121" s="1388"/>
      <c r="L121" s="1442"/>
      <c r="M121" s="1443"/>
      <c r="N121" s="1425"/>
      <c r="O121" s="1426"/>
      <c r="P121" s="1421"/>
      <c r="Q121" s="1422"/>
      <c r="R121" s="1222" t="str">
        <f t="shared" si="1"/>
        <v/>
      </c>
      <c r="S121" s="1223"/>
      <c r="V121" s="267"/>
      <c r="W121" s="267"/>
      <c r="X121" s="267"/>
      <c r="Y121" s="267"/>
      <c r="Z121" s="267"/>
      <c r="AA121" s="267"/>
      <c r="AB121" s="267"/>
      <c r="AC121" s="267"/>
      <c r="AD121" s="267"/>
      <c r="AE121" s="267"/>
      <c r="AF121" s="267"/>
      <c r="AG121" s="267"/>
      <c r="AH121" s="267"/>
      <c r="AI121" s="267"/>
      <c r="AJ121" s="267"/>
      <c r="AK121" s="267"/>
      <c r="AL121" s="267"/>
      <c r="AM121" s="267"/>
      <c r="AN121" s="267"/>
      <c r="AO121" s="267"/>
      <c r="AP121" s="267"/>
    </row>
    <row r="122" spans="1:42" s="172" customFormat="1" ht="14.25" customHeight="1">
      <c r="A122" s="241"/>
      <c r="B122" s="1434"/>
      <c r="C122" s="1435"/>
      <c r="D122" s="1446"/>
      <c r="E122" s="1447"/>
      <c r="F122" s="1448"/>
      <c r="G122" s="1449"/>
      <c r="H122" s="1450"/>
      <c r="I122" s="1451"/>
      <c r="J122" s="1387" t="str">
        <f t="shared" si="2"/>
        <v/>
      </c>
      <c r="K122" s="1388"/>
      <c r="L122" s="1452"/>
      <c r="M122" s="1453"/>
      <c r="N122" s="1448"/>
      <c r="O122" s="1454"/>
      <c r="P122" s="1220"/>
      <c r="Q122" s="1221"/>
      <c r="R122" s="1222" t="str">
        <f t="shared" si="1"/>
        <v/>
      </c>
      <c r="S122" s="1223"/>
      <c r="V122" s="267"/>
      <c r="W122" s="267"/>
      <c r="X122" s="267"/>
      <c r="Y122" s="267"/>
      <c r="Z122" s="267"/>
      <c r="AA122" s="267"/>
      <c r="AB122" s="267"/>
      <c r="AC122" s="267"/>
      <c r="AD122" s="267"/>
      <c r="AE122" s="267"/>
      <c r="AF122" s="267"/>
      <c r="AG122" s="267"/>
      <c r="AH122" s="267"/>
      <c r="AI122" s="267"/>
      <c r="AJ122" s="267"/>
      <c r="AK122" s="267"/>
      <c r="AL122" s="267"/>
      <c r="AM122" s="267"/>
      <c r="AN122" s="267"/>
      <c r="AO122" s="267"/>
      <c r="AP122" s="267"/>
    </row>
    <row r="123" spans="1:42" s="172" customFormat="1" ht="14.25" customHeight="1" thickBot="1">
      <c r="B123" s="1464"/>
      <c r="C123" s="1464"/>
      <c r="D123" s="1465"/>
      <c r="E123" s="1466"/>
      <c r="F123" s="1467"/>
      <c r="G123" s="1468"/>
      <c r="H123" s="1469"/>
      <c r="I123" s="1470"/>
      <c r="J123" s="1471"/>
      <c r="K123" s="1472"/>
      <c r="L123" s="1473"/>
      <c r="M123" s="1474"/>
      <c r="N123" s="1475"/>
      <c r="O123" s="1476"/>
      <c r="P123" s="1477"/>
      <c r="Q123" s="1477"/>
      <c r="R123" s="1455" t="str">
        <f t="shared" si="1"/>
        <v/>
      </c>
      <c r="S123" s="1456"/>
      <c r="V123" s="267"/>
      <c r="W123" s="267"/>
      <c r="X123" s="267"/>
      <c r="Y123" s="267"/>
      <c r="Z123" s="267"/>
      <c r="AA123" s="267"/>
      <c r="AB123" s="267"/>
      <c r="AC123" s="267"/>
      <c r="AD123" s="267"/>
      <c r="AE123" s="267"/>
      <c r="AF123" s="267"/>
      <c r="AG123" s="267"/>
      <c r="AH123" s="267"/>
      <c r="AI123" s="267"/>
      <c r="AJ123" s="267"/>
      <c r="AK123" s="267"/>
      <c r="AL123" s="267"/>
      <c r="AM123" s="267"/>
      <c r="AN123" s="267"/>
      <c r="AO123" s="267"/>
      <c r="AP123" s="267"/>
    </row>
    <row r="124" spans="1:42" s="172" customFormat="1" ht="14.25" customHeight="1">
      <c r="D124" s="171"/>
      <c r="E124" s="171"/>
      <c r="F124" s="1457">
        <f>SUM(F94:G123)</f>
        <v>123</v>
      </c>
      <c r="G124" s="1458"/>
      <c r="H124" s="193"/>
      <c r="I124" s="193"/>
      <c r="J124" s="1459">
        <f>SUM(J94:K123)</f>
        <v>126.075</v>
      </c>
      <c r="K124" s="1460"/>
      <c r="L124" s="171"/>
      <c r="M124" s="171"/>
      <c r="N124" s="1461">
        <f>SUM(N94:O123)</f>
        <v>0</v>
      </c>
      <c r="O124" s="1462"/>
      <c r="P124" s="345"/>
      <c r="Q124" s="345"/>
      <c r="R124" s="1459">
        <f>SUM(R94:S123)</f>
        <v>0</v>
      </c>
      <c r="S124" s="1460"/>
      <c r="V124" s="267"/>
      <c r="W124" s="267"/>
      <c r="X124" s="267"/>
      <c r="Y124" s="267"/>
      <c r="Z124" s="267"/>
      <c r="AA124" s="267"/>
      <c r="AB124" s="267"/>
      <c r="AC124" s="267"/>
      <c r="AD124" s="267"/>
      <c r="AE124" s="267"/>
      <c r="AF124" s="267"/>
      <c r="AG124" s="267"/>
      <c r="AH124" s="267"/>
      <c r="AI124" s="267"/>
      <c r="AJ124" s="267"/>
      <c r="AK124" s="267"/>
      <c r="AL124" s="267"/>
      <c r="AM124" s="267"/>
      <c r="AN124" s="267"/>
      <c r="AO124" s="267"/>
      <c r="AP124" s="267"/>
    </row>
    <row r="125" spans="1:42" s="172" customFormat="1">
      <c r="D125" s="171"/>
      <c r="E125" s="171"/>
      <c r="F125" s="346"/>
      <c r="G125" s="346"/>
      <c r="H125" s="171"/>
      <c r="I125" s="171"/>
      <c r="J125" s="346"/>
      <c r="K125" s="346"/>
      <c r="L125" s="171"/>
      <c r="M125" s="171"/>
      <c r="N125" s="346"/>
      <c r="O125" s="475"/>
      <c r="P125" s="171"/>
      <c r="Q125" s="171"/>
      <c r="R125" s="346"/>
      <c r="S125" s="346"/>
      <c r="V125" s="267"/>
      <c r="W125" s="267"/>
      <c r="X125" s="267"/>
      <c r="Y125" s="267"/>
      <c r="Z125" s="267"/>
      <c r="AA125" s="267"/>
      <c r="AB125" s="267"/>
      <c r="AC125" s="267"/>
      <c r="AD125" s="267"/>
      <c r="AE125" s="267"/>
      <c r="AF125" s="267"/>
      <c r="AG125" s="267"/>
      <c r="AH125" s="267"/>
      <c r="AI125" s="267"/>
      <c r="AJ125" s="267"/>
      <c r="AK125" s="267"/>
      <c r="AL125" s="267"/>
      <c r="AM125" s="267"/>
      <c r="AN125" s="267"/>
      <c r="AO125" s="267"/>
      <c r="AP125" s="267"/>
    </row>
    <row r="126" spans="1:42" s="172" customFormat="1">
      <c r="B126" s="227" t="s">
        <v>19</v>
      </c>
      <c r="D126" s="171"/>
      <c r="E126" s="171"/>
      <c r="F126" s="346"/>
      <c r="G126" s="346"/>
      <c r="H126" s="171"/>
      <c r="I126" s="171"/>
      <c r="J126" s="346" t="s">
        <v>20</v>
      </c>
      <c r="K126" s="1463">
        <v>1</v>
      </c>
      <c r="L126" s="1463"/>
      <c r="M126" s="171"/>
      <c r="N126" s="346"/>
      <c r="O126" s="346"/>
      <c r="P126" s="171"/>
      <c r="Q126" s="171"/>
      <c r="R126" s="346"/>
      <c r="S126" s="346"/>
      <c r="V126" s="267"/>
      <c r="W126" s="267"/>
      <c r="X126" s="267"/>
      <c r="Y126" s="267"/>
      <c r="Z126" s="267"/>
      <c r="AA126" s="267"/>
      <c r="AB126" s="267"/>
      <c r="AC126" s="267"/>
      <c r="AD126" s="267"/>
      <c r="AE126" s="267"/>
      <c r="AF126" s="267"/>
      <c r="AG126" s="267"/>
      <c r="AH126" s="267"/>
      <c r="AI126" s="267"/>
      <c r="AJ126" s="267"/>
      <c r="AK126" s="267"/>
      <c r="AL126" s="267"/>
      <c r="AM126" s="267"/>
      <c r="AN126" s="267"/>
      <c r="AO126" s="267"/>
      <c r="AP126" s="267"/>
    </row>
    <row r="127" spans="1:42" s="172" customFormat="1" ht="16">
      <c r="B127" s="1212" t="s">
        <v>14</v>
      </c>
      <c r="C127" s="1213"/>
      <c r="D127" s="1212" t="s">
        <v>15</v>
      </c>
      <c r="E127" s="1213"/>
      <c r="F127" s="1212" t="s">
        <v>16</v>
      </c>
      <c r="G127" s="1213"/>
      <c r="H127" s="1378" t="s">
        <v>17</v>
      </c>
      <c r="I127" s="1213"/>
      <c r="J127" s="1490" t="s">
        <v>18</v>
      </c>
      <c r="K127" s="1491"/>
      <c r="L127" s="1212" t="s">
        <v>15</v>
      </c>
      <c r="M127" s="1213"/>
      <c r="N127" s="1378" t="s">
        <v>16</v>
      </c>
      <c r="O127" s="1213"/>
      <c r="P127" s="1378" t="s">
        <v>17</v>
      </c>
      <c r="Q127" s="1213"/>
      <c r="R127" s="1212" t="s">
        <v>18</v>
      </c>
      <c r="S127" s="1213"/>
      <c r="V127" s="267"/>
      <c r="W127" s="267"/>
      <c r="X127" s="267"/>
      <c r="Y127" s="267"/>
      <c r="Z127" s="267"/>
      <c r="AA127" s="267"/>
      <c r="AB127" s="267"/>
      <c r="AC127" s="267"/>
      <c r="AD127" s="267"/>
      <c r="AE127" s="267"/>
      <c r="AF127" s="267"/>
      <c r="AG127" s="267"/>
      <c r="AH127" s="267"/>
      <c r="AI127" s="267"/>
      <c r="AJ127" s="267"/>
      <c r="AK127" s="267"/>
      <c r="AL127" s="267"/>
      <c r="AM127" s="267"/>
      <c r="AN127" s="267"/>
      <c r="AO127" s="267"/>
      <c r="AP127" s="267"/>
    </row>
    <row r="128" spans="1:42" s="172" customFormat="1" ht="14.25" customHeight="1">
      <c r="A128" s="241"/>
      <c r="B128" s="1478" t="s">
        <v>267</v>
      </c>
      <c r="C128" s="1479"/>
      <c r="D128" s="1397" t="s">
        <v>270</v>
      </c>
      <c r="E128" s="1398"/>
      <c r="F128" s="1480">
        <v>12</v>
      </c>
      <c r="G128" s="1481"/>
      <c r="H128" s="1482">
        <f>IF(K$126="","",K$126)</f>
        <v>1</v>
      </c>
      <c r="I128" s="1483"/>
      <c r="J128" s="1484">
        <f>IF(F128="","",+ROUND(F128*H128,3))</f>
        <v>12</v>
      </c>
      <c r="K128" s="1485"/>
      <c r="L128" s="1486" t="s">
        <v>270</v>
      </c>
      <c r="M128" s="1487"/>
      <c r="N128" s="1488">
        <v>11</v>
      </c>
      <c r="O128" s="1489"/>
      <c r="P128" s="1492">
        <f>IF(K$126="","",K$126)</f>
        <v>1</v>
      </c>
      <c r="Q128" s="1493"/>
      <c r="R128" s="1494">
        <f>IF(N128="","",+ROUND(N128*P128,3))</f>
        <v>11</v>
      </c>
      <c r="S128" s="1495"/>
      <c r="V128" s="267"/>
      <c r="W128" s="267"/>
      <c r="X128" s="267"/>
      <c r="Y128" s="267"/>
      <c r="Z128" s="267"/>
      <c r="AA128" s="267"/>
      <c r="AB128" s="267"/>
      <c r="AC128" s="267"/>
      <c r="AD128" s="267"/>
      <c r="AE128" s="267"/>
      <c r="AF128" s="267"/>
      <c r="AG128" s="267"/>
      <c r="AH128" s="267"/>
      <c r="AI128" s="267"/>
      <c r="AJ128" s="267"/>
      <c r="AK128" s="267"/>
      <c r="AL128" s="267"/>
      <c r="AM128" s="267"/>
      <c r="AN128" s="267"/>
      <c r="AO128" s="267"/>
      <c r="AP128" s="267"/>
    </row>
    <row r="129" spans="1:42" s="172" customFormat="1" ht="14.25" customHeight="1">
      <c r="A129" s="241"/>
      <c r="B129" s="1379" t="s">
        <v>268</v>
      </c>
      <c r="C129" s="1496"/>
      <c r="D129" s="1406" t="s">
        <v>270</v>
      </c>
      <c r="E129" s="1407"/>
      <c r="F129" s="1497"/>
      <c r="G129" s="1498"/>
      <c r="H129" s="1499">
        <f>IF(K$126="","",K$126)</f>
        <v>1</v>
      </c>
      <c r="I129" s="1500"/>
      <c r="J129" s="1501" t="str">
        <f>IF(F129="","",+ROUND(F129*H129,3))</f>
        <v/>
      </c>
      <c r="K129" s="1502"/>
      <c r="L129" s="1442"/>
      <c r="M129" s="1443"/>
      <c r="N129" s="1503"/>
      <c r="O129" s="1504"/>
      <c r="P129" s="1505">
        <f>IF(K$126="","",K$126)</f>
        <v>1</v>
      </c>
      <c r="Q129" s="1506"/>
      <c r="R129" s="1507" t="str">
        <f>IF(N129="","",+ROUND(N129*P129,3))</f>
        <v/>
      </c>
      <c r="S129" s="1508"/>
      <c r="V129" s="267"/>
      <c r="W129" s="267"/>
      <c r="X129" s="267"/>
      <c r="Y129" s="267"/>
      <c r="Z129" s="267"/>
      <c r="AA129" s="267"/>
      <c r="AB129" s="267"/>
      <c r="AC129" s="267"/>
      <c r="AD129" s="267"/>
      <c r="AE129" s="267"/>
      <c r="AF129" s="267"/>
      <c r="AG129" s="267"/>
      <c r="AH129" s="267"/>
      <c r="AI129" s="267"/>
      <c r="AJ129" s="267"/>
      <c r="AK129" s="267"/>
      <c r="AL129" s="267"/>
      <c r="AM129" s="267"/>
      <c r="AN129" s="267"/>
      <c r="AO129" s="267"/>
      <c r="AP129" s="267"/>
    </row>
    <row r="130" spans="1:42" s="172" customFormat="1" ht="14.25" customHeight="1">
      <c r="A130" s="241"/>
      <c r="B130" s="1434" t="s">
        <v>269</v>
      </c>
      <c r="C130" s="1509"/>
      <c r="D130" s="1406"/>
      <c r="E130" s="1407"/>
      <c r="F130" s="1497"/>
      <c r="G130" s="1510"/>
      <c r="H130" s="1511">
        <f>IF(K$126="","",K$126)</f>
        <v>1</v>
      </c>
      <c r="I130" s="1493"/>
      <c r="J130" s="1512" t="str">
        <f>IF(F130="","",+ROUND(F130*H130,3))</f>
        <v/>
      </c>
      <c r="K130" s="1513"/>
      <c r="L130" s="1442"/>
      <c r="M130" s="1443"/>
      <c r="N130" s="1503"/>
      <c r="O130" s="1504"/>
      <c r="P130" s="1514">
        <f>IF(K$126="","",K$126)</f>
        <v>1</v>
      </c>
      <c r="Q130" s="1500"/>
      <c r="R130" s="1515" t="str">
        <f>IF(N130="","",+ROUND(N130*P130,3))</f>
        <v/>
      </c>
      <c r="S130" s="1516"/>
      <c r="V130" s="267"/>
      <c r="W130" s="267"/>
      <c r="X130" s="267"/>
      <c r="Y130" s="267"/>
      <c r="Z130" s="267"/>
      <c r="AA130" s="267"/>
      <c r="AB130" s="267"/>
      <c r="AC130" s="267"/>
      <c r="AD130" s="267"/>
      <c r="AE130" s="267"/>
      <c r="AF130" s="267"/>
      <c r="AG130" s="267"/>
      <c r="AH130" s="267"/>
      <c r="AI130" s="267"/>
      <c r="AJ130" s="267"/>
      <c r="AK130" s="267"/>
      <c r="AL130" s="267"/>
      <c r="AM130" s="267"/>
      <c r="AN130" s="267"/>
      <c r="AO130" s="267"/>
      <c r="AP130" s="267"/>
    </row>
    <row r="131" spans="1:42" s="172" customFormat="1" ht="14.25" customHeight="1">
      <c r="B131" s="1464"/>
      <c r="C131" s="1464"/>
      <c r="D131" s="1536"/>
      <c r="E131" s="1537"/>
      <c r="F131" s="1538"/>
      <c r="G131" s="1539"/>
      <c r="H131" s="1540">
        <f>IF(K$126="","",K$126)</f>
        <v>1</v>
      </c>
      <c r="I131" s="1541"/>
      <c r="J131" s="1542" t="str">
        <f>IF(F131="","",+ROUND(F131*H131,3))</f>
        <v/>
      </c>
      <c r="K131" s="1543"/>
      <c r="L131" s="1544"/>
      <c r="M131" s="1545"/>
      <c r="N131" s="1526"/>
      <c r="O131" s="1527"/>
      <c r="P131" s="1528">
        <f>IF(K$126="","",K$126)</f>
        <v>1</v>
      </c>
      <c r="Q131" s="1529"/>
      <c r="R131" s="1530" t="str">
        <f>IF(N131="","",+ROUND(N131*P131,3))</f>
        <v/>
      </c>
      <c r="S131" s="1531"/>
      <c r="V131" s="267"/>
      <c r="W131" s="267"/>
      <c r="X131" s="267"/>
      <c r="Y131" s="267"/>
      <c r="Z131" s="267"/>
      <c r="AA131" s="267"/>
      <c r="AB131" s="267"/>
      <c r="AC131" s="267"/>
      <c r="AD131" s="267"/>
      <c r="AE131" s="267"/>
      <c r="AF131" s="267"/>
      <c r="AG131" s="267"/>
      <c r="AH131" s="267"/>
      <c r="AI131" s="267"/>
      <c r="AJ131" s="267"/>
      <c r="AK131" s="267"/>
      <c r="AL131" s="267"/>
      <c r="AM131" s="267"/>
      <c r="AN131" s="267"/>
      <c r="AO131" s="267"/>
      <c r="AP131" s="267"/>
    </row>
    <row r="132" spans="1:42" s="172" customFormat="1" ht="14.25" customHeight="1">
      <c r="D132" s="171"/>
      <c r="E132" s="171"/>
      <c r="F132" s="346"/>
      <c r="G132" s="346"/>
      <c r="H132" s="193"/>
      <c r="I132" s="193"/>
      <c r="J132" s="1532">
        <f>SUM(J128:K131)</f>
        <v>12</v>
      </c>
      <c r="K132" s="1533"/>
      <c r="L132" s="171"/>
      <c r="M132" s="171"/>
      <c r="N132" s="346"/>
      <c r="O132" s="346"/>
      <c r="P132" s="171"/>
      <c r="Q132" s="171"/>
      <c r="R132" s="1534">
        <f>SUM(R128:S131)</f>
        <v>11</v>
      </c>
      <c r="S132" s="1535"/>
      <c r="V132" s="267"/>
      <c r="W132" s="267"/>
      <c r="X132" s="267"/>
      <c r="Y132" s="267"/>
      <c r="Z132" s="267"/>
      <c r="AA132" s="267"/>
      <c r="AB132" s="267"/>
      <c r="AC132" s="267"/>
      <c r="AD132" s="267"/>
      <c r="AE132" s="267"/>
      <c r="AF132" s="267"/>
      <c r="AG132" s="267"/>
      <c r="AH132" s="267"/>
      <c r="AI132" s="267"/>
      <c r="AJ132" s="267"/>
      <c r="AK132" s="267"/>
      <c r="AL132" s="267"/>
      <c r="AM132" s="267"/>
      <c r="AN132" s="267"/>
      <c r="AO132" s="267"/>
      <c r="AP132" s="267"/>
    </row>
    <row r="133" spans="1:42" s="172" customFormat="1">
      <c r="D133" s="171"/>
      <c r="E133" s="171"/>
      <c r="F133" s="346"/>
      <c r="G133" s="346"/>
      <c r="H133" s="171"/>
      <c r="I133" s="171"/>
      <c r="J133" s="346"/>
      <c r="K133" s="347"/>
      <c r="L133" s="342"/>
      <c r="M133" s="342"/>
      <c r="N133" s="348"/>
      <c r="O133" s="346"/>
      <c r="P133" s="171"/>
      <c r="Q133" s="171"/>
      <c r="R133" s="346"/>
      <c r="S133" s="346"/>
      <c r="V133" s="267"/>
      <c r="W133" s="267"/>
      <c r="X133" s="267"/>
      <c r="Y133" s="267"/>
      <c r="Z133" s="267"/>
      <c r="AA133" s="267"/>
      <c r="AB133" s="267"/>
      <c r="AC133" s="267"/>
      <c r="AD133" s="267"/>
      <c r="AE133" s="267"/>
      <c r="AF133" s="267"/>
      <c r="AG133" s="267"/>
      <c r="AH133" s="267"/>
      <c r="AI133" s="267"/>
      <c r="AJ133" s="267"/>
      <c r="AK133" s="267"/>
      <c r="AL133" s="267"/>
      <c r="AM133" s="267"/>
      <c r="AN133" s="267"/>
      <c r="AO133" s="267"/>
      <c r="AP133" s="267"/>
    </row>
    <row r="134" spans="1:42" s="172" customFormat="1" ht="6" customHeight="1">
      <c r="A134" s="306"/>
      <c r="B134" s="349"/>
      <c r="C134" s="275"/>
      <c r="D134" s="334"/>
      <c r="E134" s="334"/>
      <c r="F134" s="350"/>
      <c r="G134" s="350"/>
      <c r="H134" s="334"/>
      <c r="I134" s="334"/>
      <c r="J134" s="351"/>
      <c r="K134" s="352"/>
      <c r="L134" s="353"/>
      <c r="M134" s="334"/>
      <c r="N134" s="470"/>
      <c r="O134" s="350"/>
      <c r="P134" s="354"/>
      <c r="Q134" s="355"/>
      <c r="R134" s="352"/>
      <c r="S134" s="356"/>
      <c r="V134" s="267"/>
      <c r="W134" s="267"/>
      <c r="X134" s="267"/>
      <c r="Y134" s="267"/>
      <c r="Z134" s="267"/>
      <c r="AA134" s="267"/>
      <c r="AB134" s="267"/>
      <c r="AC134" s="267"/>
      <c r="AD134" s="267"/>
      <c r="AE134" s="267"/>
      <c r="AF134" s="267"/>
      <c r="AG134" s="267"/>
      <c r="AH134" s="267"/>
      <c r="AI134" s="267"/>
      <c r="AJ134" s="267"/>
      <c r="AK134" s="267"/>
      <c r="AL134" s="267"/>
      <c r="AM134" s="267"/>
      <c r="AN134" s="267"/>
      <c r="AO134" s="267"/>
      <c r="AP134" s="267"/>
    </row>
    <row r="135" spans="1:42" s="172" customFormat="1" ht="14.25" customHeight="1">
      <c r="A135" s="278"/>
      <c r="B135" s="1517" t="s">
        <v>21</v>
      </c>
      <c r="C135" s="1518"/>
      <c r="D135" s="1518"/>
      <c r="E135" s="1518"/>
      <c r="F135" s="1518"/>
      <c r="G135" s="1518"/>
      <c r="H135" s="1522">
        <v>11</v>
      </c>
      <c r="I135" s="1523"/>
      <c r="J135" s="1524"/>
      <c r="K135" s="267"/>
      <c r="L135" s="278"/>
      <c r="M135" s="267"/>
      <c r="N135" s="1522">
        <v>11</v>
      </c>
      <c r="O135" s="1523"/>
      <c r="P135" s="1524"/>
      <c r="Q135" s="171"/>
      <c r="R135" s="346"/>
      <c r="S135" s="357"/>
      <c r="V135" s="267"/>
      <c r="W135" s="267"/>
      <c r="X135" s="267"/>
      <c r="Y135" s="267"/>
      <c r="Z135" s="267"/>
      <c r="AA135" s="267"/>
      <c r="AB135" s="267"/>
      <c r="AC135" s="267"/>
      <c r="AD135" s="267"/>
      <c r="AE135" s="358"/>
      <c r="AF135" s="267"/>
      <c r="AG135" s="267"/>
      <c r="AH135" s="267"/>
      <c r="AI135" s="358"/>
      <c r="AJ135" s="267"/>
      <c r="AK135" s="267"/>
      <c r="AL135" s="267"/>
      <c r="AM135" s="267"/>
      <c r="AN135" s="267"/>
      <c r="AO135" s="267"/>
      <c r="AP135" s="267"/>
    </row>
    <row r="136" spans="1:42" s="172" customFormat="1" ht="14.25" customHeight="1">
      <c r="A136" s="278"/>
      <c r="B136" s="1517" t="s">
        <v>22</v>
      </c>
      <c r="C136" s="1518"/>
      <c r="D136" s="1518"/>
      <c r="E136" s="1518"/>
      <c r="F136" s="1518"/>
      <c r="G136" s="1518"/>
      <c r="H136" s="1519">
        <v>23</v>
      </c>
      <c r="I136" s="1520"/>
      <c r="J136" s="1521"/>
      <c r="K136" s="267"/>
      <c r="L136" s="278"/>
      <c r="M136" s="267"/>
      <c r="N136" s="1522">
        <v>23</v>
      </c>
      <c r="O136" s="1523"/>
      <c r="P136" s="1524"/>
      <c r="Q136" s="171"/>
      <c r="R136" s="346"/>
      <c r="S136" s="357"/>
      <c r="V136" s="267"/>
      <c r="W136" s="267"/>
      <c r="X136" s="267"/>
      <c r="Y136" s="267"/>
      <c r="Z136" s="267"/>
      <c r="AA136" s="267"/>
      <c r="AB136" s="267"/>
      <c r="AC136" s="267"/>
      <c r="AD136" s="267"/>
      <c r="AE136" s="267"/>
      <c r="AF136" s="267"/>
      <c r="AG136" s="267"/>
      <c r="AH136" s="267"/>
      <c r="AI136" s="267"/>
      <c r="AJ136" s="267"/>
      <c r="AK136" s="267"/>
      <c r="AL136" s="267"/>
      <c r="AM136" s="267"/>
      <c r="AN136" s="267"/>
      <c r="AO136" s="267"/>
      <c r="AP136" s="267"/>
    </row>
    <row r="137" spans="1:42" s="172" customFormat="1" ht="14.25" customHeight="1">
      <c r="A137" s="278"/>
      <c r="B137" s="1517" t="s">
        <v>23</v>
      </c>
      <c r="C137" s="1518"/>
      <c r="D137" s="1518"/>
      <c r="E137" s="1518"/>
      <c r="F137" s="1518"/>
      <c r="G137" s="1518"/>
      <c r="H137" s="1522">
        <v>0</v>
      </c>
      <c r="I137" s="1523"/>
      <c r="J137" s="1524"/>
      <c r="K137" s="267"/>
      <c r="L137" s="278"/>
      <c r="M137" s="267"/>
      <c r="N137" s="1525">
        <v>0</v>
      </c>
      <c r="O137" s="1520"/>
      <c r="P137" s="1521"/>
      <c r="Q137" s="171"/>
      <c r="R137" s="346"/>
      <c r="S137" s="357"/>
      <c r="V137" s="267"/>
      <c r="W137" s="267"/>
      <c r="X137" s="267"/>
      <c r="Y137" s="267"/>
      <c r="Z137" s="267"/>
      <c r="AA137" s="267"/>
      <c r="AB137" s="267"/>
      <c r="AC137" s="267"/>
      <c r="AD137" s="267"/>
      <c r="AE137" s="267"/>
      <c r="AF137" s="267"/>
      <c r="AG137" s="267"/>
      <c r="AH137" s="267"/>
      <c r="AI137" s="267"/>
      <c r="AJ137" s="267"/>
      <c r="AK137" s="267"/>
      <c r="AL137" s="267"/>
      <c r="AM137" s="267"/>
      <c r="AN137" s="267"/>
      <c r="AO137" s="267"/>
      <c r="AP137" s="267"/>
    </row>
    <row r="138" spans="1:42" s="172" customFormat="1" ht="14.25" customHeight="1">
      <c r="A138" s="319"/>
      <c r="B138" s="1558" t="s">
        <v>24</v>
      </c>
      <c r="C138" s="1559"/>
      <c r="D138" s="1559"/>
      <c r="E138" s="1559"/>
      <c r="F138" s="1559"/>
      <c r="G138" s="1559"/>
      <c r="H138" s="1560">
        <f>SUM(H135:J137)</f>
        <v>34</v>
      </c>
      <c r="I138" s="1560"/>
      <c r="J138" s="1561"/>
      <c r="K138" s="267"/>
      <c r="L138" s="319"/>
      <c r="M138" s="282"/>
      <c r="N138" s="1560">
        <f>SUM(N135:P137)</f>
        <v>34</v>
      </c>
      <c r="O138" s="1560"/>
      <c r="P138" s="1561"/>
      <c r="Q138" s="171"/>
      <c r="R138" s="346"/>
      <c r="S138" s="357"/>
      <c r="V138" s="267"/>
      <c r="W138" s="267"/>
      <c r="X138" s="267"/>
      <c r="Y138" s="267"/>
      <c r="Z138" s="267"/>
      <c r="AA138" s="267"/>
      <c r="AB138" s="267"/>
      <c r="AC138" s="267"/>
      <c r="AD138" s="267"/>
      <c r="AE138" s="267"/>
      <c r="AF138" s="267"/>
      <c r="AG138" s="267"/>
      <c r="AH138" s="267"/>
      <c r="AI138" s="267"/>
      <c r="AJ138" s="267"/>
      <c r="AK138" s="267"/>
      <c r="AL138" s="267"/>
      <c r="AM138" s="267"/>
      <c r="AN138" s="267"/>
      <c r="AO138" s="267"/>
      <c r="AP138" s="267"/>
    </row>
    <row r="139" spans="1:42" s="172" customFormat="1">
      <c r="B139" s="256"/>
      <c r="D139" s="171"/>
      <c r="E139" s="171"/>
      <c r="F139" s="346"/>
      <c r="G139" s="346"/>
      <c r="H139" s="171"/>
      <c r="I139" s="171"/>
      <c r="J139" s="346"/>
      <c r="K139" s="359"/>
      <c r="L139" s="171"/>
      <c r="M139" s="171"/>
      <c r="N139" s="346"/>
      <c r="O139" s="346"/>
      <c r="P139" s="171"/>
      <c r="Q139" s="171"/>
      <c r="R139" s="346"/>
      <c r="S139" s="357"/>
    </row>
    <row r="140" spans="1:42" s="172" customFormat="1" ht="14.25" customHeight="1">
      <c r="A140" s="306"/>
      <c r="B140" s="1562" t="s">
        <v>25</v>
      </c>
      <c r="C140" s="1563"/>
      <c r="D140" s="1563"/>
      <c r="E140" s="1563"/>
      <c r="F140" s="1563"/>
      <c r="G140" s="1564"/>
      <c r="H140" s="1552">
        <v>2</v>
      </c>
      <c r="I140" s="1565"/>
      <c r="J140" s="1566"/>
      <c r="K140" s="241"/>
      <c r="L140" s="275"/>
      <c r="M140" s="360"/>
      <c r="N140" s="1567">
        <v>1</v>
      </c>
      <c r="O140" s="1567"/>
      <c r="P140" s="1568"/>
      <c r="Q140" s="171"/>
      <c r="R140" s="346"/>
      <c r="S140" s="357"/>
    </row>
    <row r="141" spans="1:42" s="172" customFormat="1" ht="14.25" customHeight="1">
      <c r="A141" s="319"/>
      <c r="B141" s="1546" t="s">
        <v>26</v>
      </c>
      <c r="C141" s="1547"/>
      <c r="D141" s="1548"/>
      <c r="E141" s="1548"/>
      <c r="F141" s="1548"/>
      <c r="G141" s="361"/>
      <c r="H141" s="1549">
        <v>1</v>
      </c>
      <c r="I141" s="1550"/>
      <c r="J141" s="1551"/>
      <c r="K141" s="267"/>
      <c r="L141" s="319"/>
      <c r="M141" s="361"/>
      <c r="N141" s="1552">
        <v>1</v>
      </c>
      <c r="O141" s="1552"/>
      <c r="P141" s="1553"/>
      <c r="Q141" s="171"/>
      <c r="R141" s="346"/>
      <c r="S141" s="357"/>
    </row>
    <row r="142" spans="1:42" s="172" customFormat="1" ht="6" customHeight="1">
      <c r="B142" s="362"/>
      <c r="C142" s="363"/>
      <c r="D142" s="364"/>
      <c r="E142" s="364"/>
      <c r="F142" s="347"/>
      <c r="G142" s="347"/>
      <c r="H142" s="364"/>
      <c r="I142" s="364"/>
      <c r="J142" s="347"/>
      <c r="K142" s="347"/>
      <c r="L142" s="364"/>
      <c r="M142" s="364"/>
      <c r="N142" s="347"/>
      <c r="O142" s="347"/>
      <c r="P142" s="364"/>
      <c r="Q142" s="364"/>
      <c r="R142" s="347"/>
      <c r="S142" s="365"/>
    </row>
    <row r="143" spans="1:42" s="172" customFormat="1">
      <c r="D143" s="171"/>
      <c r="E143" s="171"/>
      <c r="F143" s="346"/>
      <c r="G143" s="346"/>
      <c r="H143" s="171"/>
      <c r="I143" s="171"/>
      <c r="J143" s="346"/>
      <c r="K143" s="346"/>
      <c r="L143" s="171"/>
      <c r="M143" s="171"/>
      <c r="N143" s="346"/>
      <c r="O143" s="346"/>
      <c r="P143" s="171"/>
      <c r="Q143" s="171"/>
      <c r="R143" s="346"/>
      <c r="S143" s="346"/>
    </row>
    <row r="144" spans="1:42" s="172" customFormat="1">
      <c r="B144" s="1311" t="s">
        <v>82</v>
      </c>
      <c r="C144" s="1312"/>
      <c r="D144" s="1554"/>
      <c r="E144" s="1554"/>
      <c r="F144" s="1554"/>
      <c r="G144" s="1554"/>
      <c r="H144" s="1555">
        <f>IF(SUM(J124,J132,H138)=0,"",SUM(J124,J132,H138,H140,H141))</f>
        <v>175.07499999999999</v>
      </c>
      <c r="I144" s="1556"/>
      <c r="J144" s="1557"/>
      <c r="K144" s="366"/>
      <c r="L144" s="366"/>
      <c r="M144" s="366"/>
      <c r="N144" s="1555">
        <f>IF(SUM(R124,R132,N138,N140,N141)=0,"",SUM(R124,R132,N138,N140,N141))</f>
        <v>47</v>
      </c>
      <c r="O144" s="1556"/>
      <c r="P144" s="1557"/>
      <c r="Q144" s="367"/>
      <c r="R144" s="346"/>
      <c r="S144" s="346"/>
    </row>
    <row r="145" spans="1:19" s="172" customFormat="1">
      <c r="D145" s="171"/>
      <c r="E145" s="171"/>
      <c r="F145" s="346"/>
      <c r="G145" s="346"/>
      <c r="H145" s="171"/>
      <c r="I145" s="171"/>
      <c r="J145" s="346"/>
      <c r="K145" s="346"/>
      <c r="L145" s="171"/>
      <c r="M145" s="171"/>
      <c r="N145" s="346"/>
      <c r="O145" s="346"/>
      <c r="P145" s="171"/>
      <c r="Q145" s="171"/>
      <c r="R145" s="346"/>
      <c r="S145" s="346"/>
    </row>
    <row r="146" spans="1:19" s="172" customFormat="1" ht="16"/>
    <row r="147" spans="1:19" s="172" customFormat="1" ht="6" customHeight="1">
      <c r="B147" s="368"/>
      <c r="C147" s="212"/>
      <c r="D147" s="212"/>
      <c r="E147" s="212"/>
      <c r="F147" s="212"/>
      <c r="G147" s="212"/>
      <c r="H147" s="355"/>
      <c r="I147" s="355"/>
      <c r="J147" s="355"/>
      <c r="K147" s="212"/>
      <c r="L147" s="369"/>
      <c r="M147" s="369"/>
      <c r="N147" s="369"/>
      <c r="O147" s="369"/>
      <c r="P147" s="212"/>
      <c r="Q147" s="366"/>
      <c r="R147" s="249"/>
    </row>
    <row r="148" spans="1:19" s="172" customFormat="1">
      <c r="A148" s="306"/>
      <c r="B148" s="1580" t="s">
        <v>248</v>
      </c>
      <c r="C148" s="1583" t="s">
        <v>83</v>
      </c>
      <c r="D148" s="1584"/>
      <c r="E148" s="1584"/>
      <c r="F148" s="1584"/>
      <c r="G148" s="1585"/>
      <c r="H148" s="1586">
        <f>IF(I48="","",+I48)</f>
        <v>696</v>
      </c>
      <c r="I148" s="1587"/>
      <c r="J148" s="1587"/>
      <c r="K148" s="279"/>
      <c r="L148" s="333"/>
      <c r="M148" s="481"/>
      <c r="N148" s="1367">
        <f>IF(O48="","",+O48)</f>
        <v>323</v>
      </c>
      <c r="O148" s="1367"/>
      <c r="P148" s="1368"/>
      <c r="Q148" s="237"/>
      <c r="R148" s="370"/>
    </row>
    <row r="149" spans="1:19" s="172" customFormat="1">
      <c r="A149" s="278"/>
      <c r="B149" s="1581"/>
      <c r="C149" s="1588" t="s">
        <v>84</v>
      </c>
      <c r="D149" s="1570"/>
      <c r="E149" s="1570"/>
      <c r="F149" s="1570"/>
      <c r="G149" s="1571"/>
      <c r="H149" s="1572">
        <f>IF(I50="","",+I50)</f>
        <v>680</v>
      </c>
      <c r="I149" s="1356"/>
      <c r="J149" s="1356"/>
      <c r="K149" s="241"/>
      <c r="L149" s="268"/>
      <c r="M149" s="482"/>
      <c r="N149" s="1355">
        <f>IF(O50="","",+O50)</f>
        <v>323</v>
      </c>
      <c r="O149" s="1355"/>
      <c r="P149" s="1589"/>
      <c r="Q149" s="237"/>
      <c r="R149" s="370"/>
    </row>
    <row r="150" spans="1:19" s="172" customFormat="1">
      <c r="A150" s="278"/>
      <c r="B150" s="1581"/>
      <c r="C150" s="1569" t="s">
        <v>85</v>
      </c>
      <c r="D150" s="1570"/>
      <c r="E150" s="1570"/>
      <c r="F150" s="1570"/>
      <c r="G150" s="1571"/>
      <c r="H150" s="1572">
        <f>IF(H148="","",AVERAGE(H148:J149))</f>
        <v>688</v>
      </c>
      <c r="I150" s="1356"/>
      <c r="J150" s="1356"/>
      <c r="K150" s="241"/>
      <c r="L150" s="267"/>
      <c r="M150" s="483"/>
      <c r="N150" s="1355">
        <f>IF(N148="","",AVERAGE(N148:P149))</f>
        <v>323</v>
      </c>
      <c r="O150" s="1356"/>
      <c r="P150" s="1357"/>
      <c r="Q150" s="237"/>
      <c r="R150" s="370"/>
    </row>
    <row r="151" spans="1:19" s="172" customFormat="1">
      <c r="A151" s="278"/>
      <c r="B151" s="1581"/>
      <c r="C151" s="1569" t="s">
        <v>86</v>
      </c>
      <c r="D151" s="1570"/>
      <c r="E151" s="1570"/>
      <c r="F151" s="1570"/>
      <c r="G151" s="1571"/>
      <c r="H151" s="1572">
        <f>IF(H150="","",I38*H88/H85*(IF(K38="A",1,-1)*IF(K88="A",-1,1)))</f>
        <v>-0.37366743598197605</v>
      </c>
      <c r="I151" s="1356"/>
      <c r="J151" s="1356"/>
      <c r="K151" s="241"/>
      <c r="L151" s="267"/>
      <c r="M151" s="483"/>
      <c r="N151" s="1355">
        <f>IF(N150="","",O38*N88/N85*(IF(Q38="A",1,-1)*IF(Q88="A",-1,1)))</f>
        <v>2.6070344982582312</v>
      </c>
      <c r="O151" s="1355"/>
      <c r="P151" s="1357"/>
      <c r="Q151" s="237"/>
      <c r="R151" s="370"/>
    </row>
    <row r="152" spans="1:19" s="172" customFormat="1">
      <c r="A152" s="319"/>
      <c r="B152" s="1582"/>
      <c r="C152" s="1573" t="s">
        <v>87</v>
      </c>
      <c r="D152" s="1574"/>
      <c r="E152" s="1574"/>
      <c r="F152" s="1574"/>
      <c r="G152" s="1575"/>
      <c r="H152" s="1576">
        <f>IF(H150="","",+ROUND(H150+H151,2))</f>
        <v>687.63</v>
      </c>
      <c r="I152" s="1577"/>
      <c r="J152" s="1577"/>
      <c r="K152" s="324"/>
      <c r="L152" s="267"/>
      <c r="M152" s="484"/>
      <c r="N152" s="1578">
        <f>IF(N150="","",+ROUND(N150+N151,2))</f>
        <v>325.61</v>
      </c>
      <c r="O152" s="1578"/>
      <c r="P152" s="1579"/>
      <c r="Q152" s="255"/>
      <c r="R152" s="370"/>
    </row>
    <row r="153" spans="1:19" s="172" customFormat="1" ht="6" customHeight="1">
      <c r="B153" s="371"/>
      <c r="C153" s="372"/>
      <c r="D153" s="373"/>
      <c r="E153" s="223"/>
      <c r="F153" s="223"/>
      <c r="G153" s="223"/>
      <c r="H153" s="476"/>
      <c r="I153" s="477"/>
      <c r="J153" s="477"/>
      <c r="K153" s="374"/>
      <c r="L153" s="275"/>
      <c r="M153" s="485"/>
      <c r="N153" s="477"/>
      <c r="O153" s="477"/>
      <c r="P153" s="486"/>
      <c r="R153" s="237"/>
    </row>
    <row r="154" spans="1:19" s="172" customFormat="1">
      <c r="A154" s="306"/>
      <c r="B154" s="1580" t="s">
        <v>220</v>
      </c>
      <c r="C154" s="1583" t="s">
        <v>83</v>
      </c>
      <c r="D154" s="1584"/>
      <c r="E154" s="1584"/>
      <c r="F154" s="1584"/>
      <c r="G154" s="1585"/>
      <c r="H154" s="1586">
        <f>IF(+I52="","",I52)</f>
        <v>722</v>
      </c>
      <c r="I154" s="1587"/>
      <c r="J154" s="1587"/>
      <c r="K154" s="241"/>
      <c r="L154" s="375"/>
      <c r="M154" s="481"/>
      <c r="N154" s="1367">
        <f>IF(+O52="","",O52)</f>
        <v>555</v>
      </c>
      <c r="O154" s="1587"/>
      <c r="P154" s="1592"/>
      <c r="Q154" s="249"/>
      <c r="R154" s="237"/>
    </row>
    <row r="155" spans="1:19" s="172" customFormat="1">
      <c r="A155" s="278"/>
      <c r="B155" s="1590"/>
      <c r="C155" s="1588" t="s">
        <v>84</v>
      </c>
      <c r="D155" s="1570"/>
      <c r="E155" s="1570"/>
      <c r="F155" s="1570"/>
      <c r="G155" s="1571"/>
      <c r="H155" s="1572">
        <f>IF(+I54="","",I54)</f>
        <v>722</v>
      </c>
      <c r="I155" s="1356"/>
      <c r="J155" s="1356"/>
      <c r="K155" s="241"/>
      <c r="L155" s="268"/>
      <c r="M155" s="482"/>
      <c r="N155" s="1355">
        <f>IF(+O54="","",O54)</f>
        <v>555</v>
      </c>
      <c r="O155" s="1356"/>
      <c r="P155" s="1357"/>
      <c r="Q155" s="237"/>
      <c r="R155" s="237"/>
    </row>
    <row r="156" spans="1:19" s="172" customFormat="1">
      <c r="A156" s="278"/>
      <c r="B156" s="1590"/>
      <c r="C156" s="1569" t="s">
        <v>85</v>
      </c>
      <c r="D156" s="1570"/>
      <c r="E156" s="1570"/>
      <c r="F156" s="1570"/>
      <c r="G156" s="1571"/>
      <c r="H156" s="1572">
        <f>IF(H155="","",AVERAGE(H154:J155))</f>
        <v>722</v>
      </c>
      <c r="I156" s="1356"/>
      <c r="J156" s="1356"/>
      <c r="K156" s="241"/>
      <c r="L156" s="267"/>
      <c r="M156" s="483"/>
      <c r="N156" s="1355">
        <f>IF(N155="","",AVERAGE(N154:P155))</f>
        <v>555</v>
      </c>
      <c r="O156" s="1356"/>
      <c r="P156" s="1357"/>
      <c r="Q156" s="237"/>
      <c r="R156" s="237"/>
    </row>
    <row r="157" spans="1:19" s="172" customFormat="1">
      <c r="A157" s="278"/>
      <c r="B157" s="1590"/>
      <c r="C157" s="1569" t="s">
        <v>88</v>
      </c>
      <c r="D157" s="1570"/>
      <c r="E157" s="1570"/>
      <c r="F157" s="1570"/>
      <c r="G157" s="1571"/>
      <c r="H157" s="1572">
        <f>IF(H156="","",H88*I40/H85*(IF(K40="A",1,-1)*IF(K88="A",-1,1)))</f>
        <v>-0.7473348719639521</v>
      </c>
      <c r="I157" s="1356"/>
      <c r="J157" s="1356"/>
      <c r="K157" s="241"/>
      <c r="L157" s="267"/>
      <c r="M157" s="483"/>
      <c r="N157" s="1355">
        <f>IF(N156="","",N88*O40/N85*(IF(Q40="A",1,-1)*IF(Q88="A",-1,1)))</f>
        <v>5.2140689965164624</v>
      </c>
      <c r="O157" s="1355"/>
      <c r="P157" s="1357"/>
      <c r="Q157" s="237"/>
      <c r="R157" s="237"/>
    </row>
    <row r="158" spans="1:19" s="172" customFormat="1">
      <c r="A158" s="319"/>
      <c r="B158" s="1591"/>
      <c r="C158" s="1573" t="s">
        <v>89</v>
      </c>
      <c r="D158" s="1574"/>
      <c r="E158" s="1574"/>
      <c r="F158" s="1574"/>
      <c r="G158" s="1575"/>
      <c r="H158" s="1576">
        <f>IF(H156="","",+ROUND(H156+H157,2))</f>
        <v>721.25</v>
      </c>
      <c r="I158" s="1577"/>
      <c r="J158" s="1577"/>
      <c r="K158" s="324"/>
      <c r="L158" s="282"/>
      <c r="M158" s="484"/>
      <c r="N158" s="1578">
        <f>IF(N156="","",ROUND(N156+N157,2))</f>
        <v>560.21</v>
      </c>
      <c r="O158" s="1578"/>
      <c r="P158" s="1579"/>
      <c r="Q158" s="255"/>
      <c r="R158" s="237"/>
    </row>
    <row r="159" spans="1:19" s="172" customFormat="1" ht="6" customHeight="1">
      <c r="B159" s="376"/>
      <c r="C159" s="377"/>
      <c r="D159" s="378"/>
      <c r="E159" s="223"/>
      <c r="F159" s="223"/>
      <c r="G159" s="223"/>
      <c r="H159" s="476"/>
      <c r="I159" s="477"/>
      <c r="J159" s="477"/>
      <c r="M159" s="485"/>
      <c r="N159" s="477"/>
      <c r="O159" s="477"/>
      <c r="P159" s="486"/>
      <c r="R159" s="237"/>
    </row>
    <row r="160" spans="1:19" s="172" customFormat="1">
      <c r="A160" s="306"/>
      <c r="B160" s="1580" t="s">
        <v>90</v>
      </c>
      <c r="C160" s="1583" t="s">
        <v>83</v>
      </c>
      <c r="D160" s="1584"/>
      <c r="E160" s="1584"/>
      <c r="F160" s="1584"/>
      <c r="G160" s="1585"/>
      <c r="H160" s="1586">
        <f>IF(+I56="","",I56)</f>
        <v>700</v>
      </c>
      <c r="I160" s="1587"/>
      <c r="J160" s="1587"/>
      <c r="K160" s="279"/>
      <c r="L160" s="333"/>
      <c r="M160" s="481"/>
      <c r="N160" s="1367">
        <f>IF(+O56="","",O56)</f>
        <v>444</v>
      </c>
      <c r="O160" s="1587"/>
      <c r="P160" s="1592"/>
      <c r="Q160" s="249"/>
      <c r="R160" s="237"/>
    </row>
    <row r="161" spans="1:25" s="172" customFormat="1">
      <c r="A161" s="278"/>
      <c r="B161" s="1590"/>
      <c r="C161" s="1588" t="s">
        <v>84</v>
      </c>
      <c r="D161" s="1570"/>
      <c r="E161" s="1570"/>
      <c r="F161" s="1570"/>
      <c r="G161" s="1571"/>
      <c r="H161" s="1572">
        <f>IF(+I58="","",I58)</f>
        <v>720</v>
      </c>
      <c r="I161" s="1356"/>
      <c r="J161" s="1356"/>
      <c r="K161" s="241"/>
      <c r="L161" s="268"/>
      <c r="M161" s="482"/>
      <c r="N161" s="1355">
        <f>IF(+O58="","",O58)</f>
        <v>444</v>
      </c>
      <c r="O161" s="1356"/>
      <c r="P161" s="1357"/>
      <c r="Q161" s="237"/>
      <c r="R161" s="237"/>
    </row>
    <row r="162" spans="1:25" s="172" customFormat="1">
      <c r="A162" s="278"/>
      <c r="B162" s="1590"/>
      <c r="C162" s="1569" t="s">
        <v>85</v>
      </c>
      <c r="D162" s="1570"/>
      <c r="E162" s="1570"/>
      <c r="F162" s="1570"/>
      <c r="G162" s="1571"/>
      <c r="H162" s="1355">
        <f>IF(H160="","",AVERAGE(H160:J161))</f>
        <v>710</v>
      </c>
      <c r="I162" s="1356"/>
      <c r="J162" s="1356"/>
      <c r="K162" s="241"/>
      <c r="L162" s="267"/>
      <c r="M162" s="483"/>
      <c r="N162" s="1355">
        <f>IF(N160="","",AVERAGE(N160:P161))</f>
        <v>444</v>
      </c>
      <c r="O162" s="1356"/>
      <c r="P162" s="1357"/>
      <c r="Q162" s="237"/>
      <c r="R162" s="237"/>
    </row>
    <row r="163" spans="1:25" s="172" customFormat="1">
      <c r="A163" s="278"/>
      <c r="B163" s="1590"/>
      <c r="C163" s="1569" t="s">
        <v>91</v>
      </c>
      <c r="D163" s="1570"/>
      <c r="E163" s="1570"/>
      <c r="F163" s="1570"/>
      <c r="G163" s="1571"/>
      <c r="H163" s="1355">
        <f>IF(H162="","",H88*I42/H85*(IF(K42="A",1,-1)*IF(K88="A",-1,1)))</f>
        <v>0</v>
      </c>
      <c r="I163" s="1356"/>
      <c r="J163" s="1356"/>
      <c r="K163" s="241"/>
      <c r="L163" s="267"/>
      <c r="M163" s="483"/>
      <c r="N163" s="1355">
        <f>IF(N162="","",N88*O42/N85*(IF(Q42="A",1,-1)*IF(Q88="A",-1,1)))</f>
        <v>0</v>
      </c>
      <c r="O163" s="1355"/>
      <c r="P163" s="1357"/>
      <c r="Q163" s="237"/>
      <c r="R163" s="237"/>
    </row>
    <row r="164" spans="1:25" s="172" customFormat="1">
      <c r="A164" s="319"/>
      <c r="B164" s="1591"/>
      <c r="C164" s="1573" t="s">
        <v>92</v>
      </c>
      <c r="D164" s="1574"/>
      <c r="E164" s="1574"/>
      <c r="F164" s="1574"/>
      <c r="G164" s="1575"/>
      <c r="H164" s="1578">
        <f>IF(H162="","",+ROUND(H162+H163,2))</f>
        <v>710</v>
      </c>
      <c r="I164" s="1577"/>
      <c r="J164" s="1577"/>
      <c r="K164" s="324"/>
      <c r="L164" s="282"/>
      <c r="M164" s="484"/>
      <c r="N164" s="1578">
        <f>IF(N162="","",+ROUND(N162+N163,2))</f>
        <v>444</v>
      </c>
      <c r="O164" s="1578"/>
      <c r="P164" s="1579"/>
      <c r="Q164" s="255"/>
      <c r="R164" s="237"/>
    </row>
    <row r="165" spans="1:25" s="172" customFormat="1" ht="4" customHeight="1">
      <c r="B165" s="256"/>
      <c r="H165" s="478"/>
      <c r="I165" s="476"/>
      <c r="J165" s="476"/>
      <c r="M165" s="485"/>
      <c r="N165" s="476"/>
      <c r="O165" s="476"/>
      <c r="P165" s="478"/>
      <c r="R165" s="237"/>
    </row>
    <row r="166" spans="1:25" s="172" customFormat="1">
      <c r="A166" s="306"/>
      <c r="B166" s="1593" t="s">
        <v>93</v>
      </c>
      <c r="C166" s="1584"/>
      <c r="D166" s="1584"/>
      <c r="E166" s="1584"/>
      <c r="F166" s="1584"/>
      <c r="G166" s="1585"/>
      <c r="H166" s="1586">
        <f>IF(H152="","",AVERAGE(H152,H158))</f>
        <v>704.44</v>
      </c>
      <c r="I166" s="1367"/>
      <c r="J166" s="1367"/>
      <c r="K166" s="279"/>
      <c r="L166" s="275"/>
      <c r="M166" s="487"/>
      <c r="N166" s="1367">
        <f>IF(N152="","",AVERAGE(N152,N158))</f>
        <v>442.91</v>
      </c>
      <c r="O166" s="1367"/>
      <c r="P166" s="1368"/>
      <c r="Q166" s="249"/>
      <c r="R166" s="237"/>
    </row>
    <row r="167" spans="1:25" s="172" customFormat="1">
      <c r="A167" s="278"/>
      <c r="B167" s="1232" t="s">
        <v>94</v>
      </c>
      <c r="C167" s="1570"/>
      <c r="D167" s="1570"/>
      <c r="E167" s="1570"/>
      <c r="F167" s="1570"/>
      <c r="G167" s="1571"/>
      <c r="H167" s="1572">
        <f>IF(H164="","",AVERAGE(H164,H166))</f>
        <v>707.22</v>
      </c>
      <c r="I167" s="1356"/>
      <c r="J167" s="1356"/>
      <c r="K167" s="241"/>
      <c r="L167" s="267"/>
      <c r="M167" s="483"/>
      <c r="N167" s="1355">
        <f>IF(N164="","",AVERAGE(N164,N166))</f>
        <v>443.45500000000004</v>
      </c>
      <c r="O167" s="1356"/>
      <c r="P167" s="1357"/>
      <c r="Q167" s="237"/>
      <c r="R167" s="237"/>
    </row>
    <row r="168" spans="1:25" s="172" customFormat="1">
      <c r="A168" s="319"/>
      <c r="B168" s="1601" t="s">
        <v>95</v>
      </c>
      <c r="C168" s="1574"/>
      <c r="D168" s="1574"/>
      <c r="E168" s="1574"/>
      <c r="F168" s="1574"/>
      <c r="G168" s="1575"/>
      <c r="H168" s="1576">
        <f>IF(H167="","",AVERAGE(H167,H164))-T32</f>
        <v>708.61</v>
      </c>
      <c r="I168" s="1577"/>
      <c r="J168" s="1577"/>
      <c r="K168" s="324"/>
      <c r="L168" s="282"/>
      <c r="M168" s="484"/>
      <c r="N168" s="1578">
        <f>IF(N167="","",AVERAGE(N167,N164))-T32</f>
        <v>443.72750000000002</v>
      </c>
      <c r="O168" s="1577"/>
      <c r="P168" s="1579"/>
      <c r="Q168" s="255"/>
      <c r="R168" s="237"/>
    </row>
    <row r="169" spans="1:25" s="172" customFormat="1" ht="6" customHeight="1">
      <c r="B169" s="256"/>
      <c r="C169" s="267"/>
      <c r="D169" s="267"/>
      <c r="E169" s="267"/>
      <c r="F169" s="267"/>
      <c r="G169" s="267"/>
      <c r="H169" s="479"/>
      <c r="I169" s="480"/>
      <c r="J169" s="480"/>
      <c r="K169" s="267"/>
      <c r="L169" s="267"/>
      <c r="M169" s="488"/>
      <c r="N169" s="1602"/>
      <c r="O169" s="1602"/>
      <c r="P169" s="489"/>
      <c r="Q169" s="212"/>
      <c r="R169" s="237"/>
    </row>
    <row r="170" spans="1:25" s="172" customFormat="1">
      <c r="B170" s="1603" t="s">
        <v>55</v>
      </c>
      <c r="C170" s="1604"/>
      <c r="D170" s="1604"/>
      <c r="E170" s="1604"/>
      <c r="F170" s="1604"/>
      <c r="G170" s="1605"/>
      <c r="H170" s="1606">
        <f>+H65</f>
        <v>11992.5</v>
      </c>
      <c r="I170" s="1607"/>
      <c r="J170" s="1608"/>
      <c r="K170" s="366"/>
      <c r="L170" s="366"/>
      <c r="M170" s="1555">
        <f>+N65</f>
        <v>3277.5</v>
      </c>
      <c r="N170" s="1609"/>
      <c r="O170" s="1609"/>
      <c r="P170" s="1610"/>
      <c r="Q170" s="367"/>
      <c r="R170" s="237"/>
    </row>
    <row r="171" spans="1:25" s="172" customFormat="1" ht="6" customHeight="1">
      <c r="B171" s="256"/>
      <c r="H171" s="171"/>
      <c r="I171" s="171"/>
      <c r="J171" s="171"/>
      <c r="M171" s="379"/>
      <c r="R171" s="237"/>
    </row>
    <row r="172" spans="1:25" s="172" customFormat="1">
      <c r="B172" s="380" t="s">
        <v>96</v>
      </c>
      <c r="C172" s="212"/>
      <c r="D172" s="212"/>
      <c r="E172" s="212"/>
      <c r="F172" s="212"/>
      <c r="G172" s="249"/>
      <c r="H172" s="261"/>
      <c r="I172" s="171"/>
      <c r="J172" s="171"/>
      <c r="M172" s="379"/>
      <c r="R172" s="237"/>
    </row>
    <row r="173" spans="1:25" s="172" customFormat="1">
      <c r="A173" s="306"/>
      <c r="B173" s="1562" t="s">
        <v>97</v>
      </c>
      <c r="C173" s="1563"/>
      <c r="D173" s="1563"/>
      <c r="E173" s="1563"/>
      <c r="F173" s="1563"/>
      <c r="G173" s="1594"/>
      <c r="H173" s="1611">
        <f>IF(S20="","",ROUND(+H89*IF(K89="A",1,-1)*I70*ABS(I75)*IF(K75="A",1,-1)/H86,3))</f>
        <v>40.695</v>
      </c>
      <c r="I173" s="1612"/>
      <c r="J173" s="1612"/>
      <c r="K173" s="279"/>
      <c r="L173" s="275"/>
      <c r="M173" s="1595">
        <f>IF(N168="","",ROUND(+N89*IF(Q89="A",1,-1)*O70*ABS(O75)*IF(Q75="A",1,-1)/N86,3))</f>
        <v>-18.300999999999998</v>
      </c>
      <c r="N173" s="1587"/>
      <c r="O173" s="1587"/>
      <c r="P173" s="1592"/>
      <c r="Q173" s="249"/>
      <c r="R173" s="237"/>
    </row>
    <row r="174" spans="1:25" s="172" customFormat="1">
      <c r="A174" s="278"/>
      <c r="B174" s="1596" t="s">
        <v>98</v>
      </c>
      <c r="C174" s="1597"/>
      <c r="D174" s="1597"/>
      <c r="E174" s="1597"/>
      <c r="F174" s="1597"/>
      <c r="G174" s="1598"/>
      <c r="H174" s="1599">
        <f>IF(S20="","",ROUND(((H89*H89)/100)*50*I83/H86,3))</f>
        <v>1</v>
      </c>
      <c r="I174" s="1600"/>
      <c r="J174" s="1600"/>
      <c r="K174" s="241"/>
      <c r="L174" s="267"/>
      <c r="M174" s="1362">
        <f>IF(N168="","",ROUND(((N89*N89)/100)*50*O83/N86,3))</f>
        <v>30.58</v>
      </c>
      <c r="N174" s="1358"/>
      <c r="O174" s="1358"/>
      <c r="P174" s="1359"/>
      <c r="Q174" s="237"/>
      <c r="R174" s="237"/>
      <c r="Y174" s="381"/>
    </row>
    <row r="175" spans="1:25" s="172" customFormat="1">
      <c r="A175" s="319"/>
      <c r="B175" s="1546" t="s">
        <v>99</v>
      </c>
      <c r="C175" s="1621"/>
      <c r="D175" s="1621"/>
      <c r="E175" s="1621"/>
      <c r="F175" s="1621"/>
      <c r="G175" s="1622"/>
      <c r="H175" s="1623">
        <f>IF(H173="","",SUM(H173+H174))</f>
        <v>41.695</v>
      </c>
      <c r="I175" s="1624"/>
      <c r="J175" s="1624"/>
      <c r="K175" s="324"/>
      <c r="L175" s="282"/>
      <c r="M175" s="1625">
        <f>IF(M173="","",SUM(M173+M174))</f>
        <v>12.279</v>
      </c>
      <c r="N175" s="1626"/>
      <c r="O175" s="1626"/>
      <c r="P175" s="1627"/>
      <c r="Q175" s="255"/>
      <c r="R175" s="237"/>
    </row>
    <row r="176" spans="1:25" s="172" customFormat="1" ht="6" customHeight="1">
      <c r="B176" s="382"/>
      <c r="H176" s="490"/>
      <c r="I176" s="490"/>
      <c r="J176" s="490"/>
      <c r="M176" s="490"/>
      <c r="N176" s="1628"/>
      <c r="O176" s="1628"/>
      <c r="P176" s="490"/>
      <c r="R176" s="237"/>
    </row>
    <row r="177" spans="1:25" s="172" customFormat="1">
      <c r="A177" s="383"/>
      <c r="B177" s="1629" t="s">
        <v>100</v>
      </c>
      <c r="C177" s="1630"/>
      <c r="D177" s="1630"/>
      <c r="E177" s="1630"/>
      <c r="F177" s="1630"/>
      <c r="G177" s="1630"/>
      <c r="H177" s="1609">
        <f>IF(H170="","",H170+H175)</f>
        <v>12034.195</v>
      </c>
      <c r="I177" s="1556"/>
      <c r="J177" s="1556"/>
      <c r="K177" s="384"/>
      <c r="L177" s="374"/>
      <c r="M177" s="1609">
        <f>IF(M170="","",M170+M175)</f>
        <v>3289.779</v>
      </c>
      <c r="N177" s="1556"/>
      <c r="O177" s="1556"/>
      <c r="P177" s="1557"/>
      <c r="Q177" s="367"/>
      <c r="R177" s="237"/>
    </row>
    <row r="178" spans="1:25" s="172" customFormat="1" ht="6" customHeight="1">
      <c r="B178" s="256"/>
      <c r="H178" s="490"/>
      <c r="I178" s="490"/>
      <c r="J178" s="490"/>
      <c r="K178" s="275"/>
      <c r="L178" s="275"/>
      <c r="M178" s="496"/>
      <c r="N178" s="490"/>
      <c r="O178" s="490"/>
      <c r="P178" s="490"/>
      <c r="R178" s="237"/>
    </row>
    <row r="179" spans="1:25" s="172" customFormat="1" ht="14.25" customHeight="1">
      <c r="B179" s="1232" t="s">
        <v>101</v>
      </c>
      <c r="C179" s="1233"/>
      <c r="D179" s="1233"/>
      <c r="E179" s="1233"/>
      <c r="F179" s="1233"/>
      <c r="G179" s="1233"/>
      <c r="H179" s="1613">
        <v>1.0249999999999999</v>
      </c>
      <c r="I179" s="1614"/>
      <c r="J179" s="1615"/>
      <c r="K179" s="278"/>
      <c r="L179" s="267"/>
      <c r="M179" s="495"/>
      <c r="N179" s="1613">
        <v>1.0249999999999999</v>
      </c>
      <c r="O179" s="1616"/>
      <c r="P179" s="1617"/>
      <c r="R179" s="237"/>
      <c r="S179" s="210"/>
    </row>
    <row r="180" spans="1:25" s="172" customFormat="1" ht="6" customHeight="1">
      <c r="B180" s="256"/>
      <c r="H180" s="490"/>
      <c r="I180" s="490"/>
      <c r="J180" s="490"/>
      <c r="M180" s="490"/>
      <c r="N180" s="490"/>
      <c r="O180" s="490"/>
      <c r="P180" s="490"/>
      <c r="R180" s="237"/>
    </row>
    <row r="181" spans="1:25" s="172" customFormat="1">
      <c r="B181" s="1311" t="s">
        <v>102</v>
      </c>
      <c r="C181" s="1554"/>
      <c r="D181" s="1554"/>
      <c r="E181" s="1554"/>
      <c r="F181" s="1554"/>
      <c r="G181" s="1554"/>
      <c r="H181" s="1618">
        <f>IF(H177="","",+ROUND(H177*H179/K62,3))</f>
        <v>12034.195</v>
      </c>
      <c r="I181" s="1619"/>
      <c r="J181" s="1620"/>
      <c r="K181" s="366"/>
      <c r="L181" s="385"/>
      <c r="M181" s="1618">
        <f>IF(M177="","",+ROUND(M177*N179/K62,3))</f>
        <v>3289.779</v>
      </c>
      <c r="N181" s="1619"/>
      <c r="O181" s="1619"/>
      <c r="P181" s="1620"/>
      <c r="Q181" s="367"/>
      <c r="R181" s="237"/>
    </row>
    <row r="182" spans="1:25" s="172" customFormat="1" ht="6" customHeight="1">
      <c r="B182" s="256"/>
      <c r="H182" s="490"/>
      <c r="I182" s="490"/>
      <c r="J182" s="490"/>
      <c r="K182" s="267"/>
      <c r="M182" s="490"/>
      <c r="N182" s="490"/>
      <c r="O182" s="490"/>
      <c r="P182" s="490"/>
      <c r="R182" s="237"/>
    </row>
    <row r="183" spans="1:25" s="172" customFormat="1" ht="16">
      <c r="B183" s="256"/>
      <c r="H183" s="491"/>
      <c r="I183" s="490"/>
      <c r="J183" s="490"/>
      <c r="M183" s="492"/>
      <c r="N183" s="493"/>
      <c r="O183" s="493"/>
      <c r="P183" s="494"/>
      <c r="Q183" s="249"/>
      <c r="R183" s="237"/>
    </row>
    <row r="184" spans="1:25" s="172" customFormat="1">
      <c r="B184" s="1659" t="s">
        <v>0</v>
      </c>
      <c r="C184" s="1660"/>
      <c r="D184" s="1660"/>
      <c r="E184" s="1660"/>
      <c r="F184" s="1660"/>
      <c r="G184" s="1660"/>
      <c r="H184" s="1661">
        <f>IF(H170="","",H181-H144)</f>
        <v>11859.119999999999</v>
      </c>
      <c r="I184" s="1662"/>
      <c r="J184" s="1663"/>
      <c r="K184" s="386"/>
      <c r="L184" s="366"/>
      <c r="M184" s="1664">
        <f>IF(M170="","",M181-N144)</f>
        <v>3242.779</v>
      </c>
      <c r="N184" s="1664"/>
      <c r="O184" s="1664"/>
      <c r="P184" s="1665"/>
      <c r="Q184" s="367"/>
      <c r="R184" s="255"/>
    </row>
    <row r="185" spans="1:25" s="172" customFormat="1">
      <c r="B185" s="387"/>
      <c r="C185" s="388"/>
      <c r="D185" s="363"/>
      <c r="E185" s="363"/>
      <c r="F185" s="363"/>
      <c r="G185" s="363"/>
      <c r="I185" s="389"/>
      <c r="J185" s="390"/>
      <c r="K185" s="390"/>
      <c r="L185" s="389"/>
    </row>
    <row r="186" spans="1:25" s="172" customFormat="1" ht="17.25" customHeight="1">
      <c r="B186" s="1666" t="str">
        <f>IF(J186="","Cargo Un/Loaded",+IF((H184-M184)&lt;0,"Cargo Loaded on Board","Cargo Discharged"))</f>
        <v>Cargo Discharged</v>
      </c>
      <c r="C186" s="1667"/>
      <c r="D186" s="1667"/>
      <c r="E186" s="1667"/>
      <c r="F186" s="1667"/>
      <c r="G186" s="1668"/>
      <c r="H186" s="256"/>
      <c r="I186" s="391"/>
      <c r="J186" s="1669">
        <f>IF(M184="","",ABS(H184-M184))</f>
        <v>8616.3409999999985</v>
      </c>
      <c r="K186" s="1669"/>
      <c r="L186" s="1669"/>
      <c r="M186" s="1670"/>
      <c r="N186" s="267"/>
      <c r="O186" s="306"/>
      <c r="P186" s="275"/>
      <c r="Q186" s="275"/>
      <c r="R186" s="290" t="s">
        <v>103</v>
      </c>
      <c r="S186" s="1671">
        <f>IF(G32="","",G32)</f>
        <v>56</v>
      </c>
      <c r="T186" s="1672"/>
    </row>
    <row r="187" spans="1:25" s="172" customFormat="1" ht="17.25" customHeight="1">
      <c r="O187" s="442"/>
      <c r="P187" s="374"/>
      <c r="Q187" s="374"/>
      <c r="R187" s="443" t="s">
        <v>104</v>
      </c>
      <c r="S187" s="1649">
        <f>IF(J186="","",IF(H184-M184&lt;0,(H184-G30),(M184-G30)))</f>
        <v>-11.021000000000186</v>
      </c>
      <c r="T187" s="1650"/>
    </row>
    <row r="188" spans="1:25" s="172" customFormat="1" ht="5.25" customHeight="1"/>
    <row r="189" spans="1:25" s="172" customFormat="1">
      <c r="B189" s="1651" t="s">
        <v>105</v>
      </c>
      <c r="C189" s="1652"/>
      <c r="D189" s="1652"/>
      <c r="E189" s="1652"/>
      <c r="F189" s="1652"/>
      <c r="G189" s="1652"/>
      <c r="H189" s="1652"/>
      <c r="I189" s="1652"/>
      <c r="J189" s="1652"/>
      <c r="K189" s="1652"/>
      <c r="L189" s="1652"/>
      <c r="M189" s="1652"/>
      <c r="N189" s="1652"/>
      <c r="O189" s="1652"/>
      <c r="P189" s="1652"/>
      <c r="Q189" s="1652"/>
      <c r="R189" s="1652"/>
      <c r="S189" s="1652"/>
      <c r="T189" s="1652"/>
      <c r="U189" s="1652"/>
      <c r="V189" s="1652"/>
      <c r="W189" s="1652"/>
      <c r="X189" s="1652"/>
      <c r="Y189" s="1653"/>
    </row>
    <row r="190" spans="1:25" s="172" customFormat="1" ht="14.25" customHeight="1">
      <c r="A190" s="394" t="s">
        <v>236</v>
      </c>
      <c r="B190" s="1654"/>
      <c r="C190" s="1654"/>
      <c r="D190" s="1654"/>
      <c r="E190" s="1654"/>
      <c r="F190" s="1654"/>
      <c r="G190" s="1654"/>
      <c r="H190" s="1654"/>
      <c r="I190" s="1654"/>
      <c r="J190" s="1654"/>
      <c r="K190" s="1654"/>
      <c r="L190" s="1654"/>
      <c r="M190" s="1654"/>
      <c r="N190" s="1654"/>
      <c r="O190" s="1654"/>
      <c r="P190" s="1654"/>
      <c r="Q190" s="1654"/>
      <c r="R190" s="1654"/>
      <c r="S190" s="1654"/>
      <c r="T190" s="1654"/>
      <c r="U190" s="1654"/>
      <c r="V190" s="1654"/>
      <c r="W190" s="1654"/>
      <c r="X190" s="1654"/>
      <c r="Y190" s="1655"/>
    </row>
    <row r="191" spans="1:25" s="172" customFormat="1" ht="14.25" customHeight="1">
      <c r="A191" s="394" t="s">
        <v>237</v>
      </c>
      <c r="B191" s="1631"/>
      <c r="C191" s="1632"/>
      <c r="D191" s="1632"/>
      <c r="E191" s="1632"/>
      <c r="F191" s="1632"/>
      <c r="G191" s="1632"/>
      <c r="H191" s="1632"/>
      <c r="I191" s="1632"/>
      <c r="J191" s="1632"/>
      <c r="K191" s="1632"/>
      <c r="L191" s="1632"/>
      <c r="M191" s="1632"/>
      <c r="N191" s="1632"/>
      <c r="O191" s="1632"/>
      <c r="P191" s="1632"/>
      <c r="Q191" s="1632"/>
      <c r="R191" s="1632"/>
      <c r="S191" s="1632"/>
      <c r="T191" s="1632"/>
      <c r="U191" s="1632"/>
      <c r="V191" s="1632"/>
      <c r="W191" s="1632"/>
      <c r="X191" s="1632"/>
      <c r="Y191" s="1633"/>
    </row>
    <row r="192" spans="1:25" s="172" customFormat="1" ht="14.25" customHeight="1">
      <c r="A192" s="394" t="s">
        <v>221</v>
      </c>
      <c r="B192" s="1631"/>
      <c r="C192" s="1632"/>
      <c r="D192" s="1632"/>
      <c r="E192" s="1632"/>
      <c r="F192" s="1632"/>
      <c r="G192" s="1632"/>
      <c r="H192" s="1632"/>
      <c r="I192" s="1632"/>
      <c r="J192" s="1632"/>
      <c r="K192" s="1632"/>
      <c r="L192" s="1632"/>
      <c r="M192" s="1632"/>
      <c r="N192" s="1632"/>
      <c r="O192" s="1632"/>
      <c r="P192" s="1632"/>
      <c r="Q192" s="1632"/>
      <c r="R192" s="1632"/>
      <c r="S192" s="1632"/>
      <c r="T192" s="1632"/>
      <c r="U192" s="1632"/>
      <c r="V192" s="1632"/>
      <c r="W192" s="1632"/>
      <c r="X192" s="1632"/>
      <c r="Y192" s="1633"/>
    </row>
    <row r="193" spans="1:29" s="172" customFormat="1">
      <c r="A193" s="394"/>
      <c r="B193" s="395"/>
      <c r="C193" s="395"/>
      <c r="D193" s="395"/>
      <c r="E193" s="395"/>
      <c r="F193" s="395"/>
      <c r="G193" s="395"/>
      <c r="H193" s="396"/>
      <c r="I193" s="396"/>
      <c r="J193" s="397"/>
      <c r="K193" s="398"/>
      <c r="L193" s="399"/>
      <c r="M193" s="395"/>
      <c r="N193" s="395"/>
      <c r="O193" s="395"/>
      <c r="P193" s="395"/>
      <c r="Q193" s="395"/>
      <c r="R193" s="395"/>
      <c r="S193" s="397"/>
      <c r="T193" s="395"/>
      <c r="U193" s="395"/>
      <c r="V193" s="395"/>
      <c r="W193" s="400"/>
      <c r="X193" s="395"/>
      <c r="Y193" s="401"/>
    </row>
    <row r="194" spans="1:29" s="172" customFormat="1" ht="16">
      <c r="A194" s="241"/>
      <c r="B194" s="306"/>
      <c r="C194" s="275"/>
      <c r="D194" s="275"/>
      <c r="E194" s="275"/>
      <c r="F194" s="275"/>
      <c r="G194" s="275"/>
      <c r="H194" s="275"/>
      <c r="I194" s="275"/>
      <c r="J194" s="275"/>
      <c r="K194" s="275"/>
      <c r="L194" s="275"/>
      <c r="M194" s="275"/>
      <c r="N194" s="275"/>
      <c r="O194" s="275"/>
      <c r="P194" s="275"/>
      <c r="Q194" s="275"/>
      <c r="R194" s="275"/>
      <c r="S194" s="275"/>
      <c r="T194" s="275"/>
      <c r="U194" s="275"/>
      <c r="V194" s="275"/>
      <c r="W194" s="275"/>
      <c r="X194" s="275"/>
      <c r="Y194" s="279"/>
      <c r="Z194" s="267"/>
      <c r="AA194" s="267"/>
    </row>
    <row r="195" spans="1:29" s="172" customFormat="1" ht="16">
      <c r="B195" s="402" t="s">
        <v>106</v>
      </c>
      <c r="C195" s="403"/>
      <c r="D195" s="403"/>
      <c r="E195" s="403"/>
      <c r="F195" s="403"/>
      <c r="G195" s="404"/>
      <c r="H195" s="403"/>
      <c r="I195" s="403"/>
      <c r="J195" s="403"/>
      <c r="K195" s="267"/>
      <c r="L195" s="267"/>
      <c r="M195" s="267"/>
      <c r="N195" s="267"/>
      <c r="O195" s="267"/>
      <c r="P195" s="267"/>
      <c r="Q195" s="306"/>
      <c r="R195" s="275"/>
      <c r="S195" s="405"/>
      <c r="T195" s="275"/>
      <c r="U195" s="275"/>
      <c r="V195" s="275"/>
      <c r="W195" s="406"/>
      <c r="X195" s="279"/>
      <c r="Y195" s="241"/>
      <c r="Z195" s="267"/>
    </row>
    <row r="196" spans="1:29" s="172" customFormat="1" ht="16">
      <c r="B196" s="278"/>
      <c r="C196" s="267"/>
      <c r="D196" s="267"/>
      <c r="E196" s="267"/>
      <c r="F196" s="267"/>
      <c r="G196" s="267"/>
      <c r="H196" s="267"/>
      <c r="I196" s="267"/>
      <c r="J196" s="267"/>
      <c r="K196" s="267"/>
      <c r="L196" s="267"/>
      <c r="M196" s="267"/>
      <c r="N196" s="267"/>
      <c r="O196" s="267"/>
      <c r="P196" s="267"/>
      <c r="Q196" s="407"/>
      <c r="R196" s="212" t="s">
        <v>107</v>
      </c>
      <c r="S196" s="212"/>
      <c r="T196" s="212"/>
      <c r="U196" s="212"/>
      <c r="V196" s="212"/>
      <c r="W196" s="212"/>
      <c r="X196" s="385"/>
      <c r="Y196" s="385"/>
      <c r="Z196" s="267"/>
    </row>
    <row r="197" spans="1:29" s="172" customFormat="1" ht="16.5" customHeight="1">
      <c r="B197" s="408"/>
      <c r="C197" s="267"/>
      <c r="D197" s="409" t="s">
        <v>108</v>
      </c>
      <c r="E197" s="1656" t="str">
        <f>IF(J186="","",IF(H201-L201&lt;0,"Chargement","Déchargement"))</f>
        <v>Déchargement</v>
      </c>
      <c r="F197" s="1657"/>
      <c r="G197" s="1657"/>
      <c r="H197" s="1658"/>
      <c r="I197" s="267"/>
      <c r="J197" s="267"/>
      <c r="K197" s="267"/>
      <c r="L197" s="267"/>
      <c r="M197" s="267"/>
      <c r="N197" s="267"/>
      <c r="O197" s="267"/>
      <c r="P197" s="267"/>
      <c r="Q197" s="278"/>
      <c r="R197" s="306"/>
      <c r="S197" s="410"/>
      <c r="T197" s="340"/>
      <c r="U197" s="241"/>
      <c r="V197" s="306"/>
      <c r="W197" s="411"/>
      <c r="X197" s="307"/>
      <c r="Y197" s="241"/>
      <c r="Z197" s="267"/>
    </row>
    <row r="198" spans="1:29" s="172" customFormat="1" ht="16">
      <c r="B198" s="278"/>
      <c r="C198" s="267"/>
      <c r="D198" s="267"/>
      <c r="E198" s="267"/>
      <c r="F198" s="267"/>
      <c r="G198" s="267"/>
      <c r="H198" s="267"/>
      <c r="I198" s="267"/>
      <c r="J198" s="267"/>
      <c r="K198" s="267"/>
      <c r="L198" s="267"/>
      <c r="M198" s="267"/>
      <c r="N198" s="267"/>
      <c r="O198" s="267"/>
      <c r="P198" s="267"/>
      <c r="Q198" s="278"/>
      <c r="R198" s="278"/>
      <c r="S198" s="241"/>
      <c r="T198" s="267"/>
      <c r="U198" s="241"/>
      <c r="V198" s="278"/>
      <c r="W198" s="241"/>
      <c r="X198" s="241"/>
      <c r="Y198" s="241"/>
      <c r="Z198" s="267"/>
    </row>
    <row r="199" spans="1:29" s="172" customFormat="1">
      <c r="B199" s="278"/>
      <c r="C199" s="412"/>
      <c r="D199" s="267"/>
      <c r="E199" s="267"/>
      <c r="F199" s="267"/>
      <c r="G199" s="267"/>
      <c r="H199" s="267"/>
      <c r="I199" s="267"/>
      <c r="J199" s="267"/>
      <c r="K199" s="267"/>
      <c r="L199" s="267"/>
      <c r="M199" s="267"/>
      <c r="N199" s="267"/>
      <c r="O199" s="267"/>
      <c r="P199" s="267"/>
      <c r="Q199" s="278"/>
      <c r="R199" s="319"/>
      <c r="S199" s="413"/>
      <c r="T199" s="267"/>
      <c r="U199" s="241"/>
      <c r="V199" s="319"/>
      <c r="W199" s="414"/>
      <c r="X199" s="241"/>
      <c r="Y199" s="241"/>
      <c r="Z199" s="267"/>
      <c r="AA199" s="267"/>
      <c r="AC199" s="267"/>
    </row>
    <row r="200" spans="1:29" s="172" customFormat="1" ht="16.5" customHeight="1">
      <c r="B200" s="278"/>
      <c r="C200" s="267"/>
      <c r="D200" s="267"/>
      <c r="E200" s="267"/>
      <c r="F200" s="267"/>
      <c r="G200" s="267"/>
      <c r="H200" s="1644" t="s">
        <v>2</v>
      </c>
      <c r="I200" s="1644"/>
      <c r="J200" s="1644"/>
      <c r="K200" s="1644"/>
      <c r="L200" s="1644" t="s">
        <v>3</v>
      </c>
      <c r="M200" s="1644"/>
      <c r="N200" s="1644"/>
      <c r="O200" s="1644"/>
      <c r="P200" s="267"/>
      <c r="Q200" s="278"/>
      <c r="R200" s="1597" t="s">
        <v>109</v>
      </c>
      <c r="S200" s="1597"/>
      <c r="T200" s="1597"/>
      <c r="U200" s="267"/>
      <c r="V200" s="1597" t="s">
        <v>110</v>
      </c>
      <c r="W200" s="1597"/>
      <c r="X200" s="1645"/>
      <c r="Y200" s="241"/>
      <c r="Z200" s="267"/>
      <c r="AA200" s="267"/>
    </row>
    <row r="201" spans="1:29" s="172" customFormat="1" ht="16.5" customHeight="1">
      <c r="B201" s="278"/>
      <c r="C201" s="392" t="s">
        <v>111</v>
      </c>
      <c r="D201" s="393"/>
      <c r="E201" s="393"/>
      <c r="F201" s="393"/>
      <c r="G201" s="393"/>
      <c r="H201" s="1638">
        <f>I60</f>
        <v>708.61</v>
      </c>
      <c r="I201" s="1639"/>
      <c r="J201" s="1639"/>
      <c r="K201" s="1640"/>
      <c r="L201" s="1646">
        <f>O60</f>
        <v>443.73</v>
      </c>
      <c r="M201" s="1647"/>
      <c r="N201" s="1647"/>
      <c r="O201" s="1648"/>
      <c r="P201" s="267"/>
      <c r="Q201" s="278"/>
      <c r="R201" s="267"/>
      <c r="S201" s="415"/>
      <c r="T201" s="267"/>
      <c r="U201" s="267"/>
      <c r="V201" s="267"/>
      <c r="W201" s="416"/>
      <c r="X201" s="241"/>
      <c r="Y201" s="241"/>
      <c r="Z201" s="267"/>
      <c r="AA201" s="267"/>
      <c r="AC201" s="267"/>
    </row>
    <row r="202" spans="1:29" s="172" customFormat="1" ht="16.5" customHeight="1">
      <c r="B202" s="278"/>
      <c r="C202" s="417" t="s">
        <v>112</v>
      </c>
      <c r="D202" s="366"/>
      <c r="E202" s="366"/>
      <c r="F202" s="366"/>
      <c r="G202" s="366"/>
      <c r="H202" s="1635">
        <f>IF(H201="","",ABS(AVERAGE(H152,H158)-H164))</f>
        <v>5.5599999999999454</v>
      </c>
      <c r="I202" s="1636"/>
      <c r="J202" s="1636"/>
      <c r="K202" s="1637"/>
      <c r="L202" s="1638">
        <f>IF(L201="","",ABS(AVERAGE(N152,N158)-N164))</f>
        <v>1.089999999999975</v>
      </c>
      <c r="M202" s="1639"/>
      <c r="N202" s="1639"/>
      <c r="O202" s="1640"/>
      <c r="P202" s="267"/>
      <c r="Q202" s="278"/>
      <c r="R202" s="267" t="s">
        <v>113</v>
      </c>
      <c r="S202" s="267"/>
      <c r="T202" s="267"/>
      <c r="U202" s="267"/>
      <c r="V202" s="267"/>
      <c r="W202" s="267"/>
      <c r="X202" s="241"/>
      <c r="Y202" s="241"/>
      <c r="Z202" s="267"/>
      <c r="AA202" s="267"/>
    </row>
    <row r="203" spans="1:29" s="172" customFormat="1" ht="16.5" customHeight="1">
      <c r="B203" s="278"/>
      <c r="C203" s="418" t="s">
        <v>114</v>
      </c>
      <c r="D203" s="419"/>
      <c r="E203" s="419"/>
      <c r="F203" s="419"/>
      <c r="G203" s="444"/>
      <c r="H203" s="1641" t="str">
        <f>IF(H201="","",IF(AVERAGE(H152,H158)-H164&gt;0,"Hog",IF(AVERAGE(H152,H158)-H164&lt;0,"Sag",N/A)))</f>
        <v>Sag</v>
      </c>
      <c r="I203" s="1642"/>
      <c r="J203" s="1642"/>
      <c r="K203" s="1643"/>
      <c r="L203" s="1641" t="str">
        <f>IF(L201="","",IF(AVERAGE(N152,N158)-N164&gt;0,"Hog","Sag"))</f>
        <v>Sag</v>
      </c>
      <c r="M203" s="1642"/>
      <c r="N203" s="1642"/>
      <c r="O203" s="1643"/>
      <c r="P203" s="267"/>
      <c r="Q203" s="278"/>
      <c r="R203" s="420" t="s">
        <v>115</v>
      </c>
      <c r="S203" s="415"/>
      <c r="T203" s="267"/>
      <c r="U203" s="267" t="s">
        <v>116</v>
      </c>
      <c r="V203" s="267"/>
      <c r="W203" s="416"/>
      <c r="X203" s="241"/>
      <c r="Y203" s="241"/>
      <c r="Z203" s="267"/>
      <c r="AA203" s="267"/>
    </row>
    <row r="204" spans="1:29" s="172" customFormat="1" ht="15" customHeight="1">
      <c r="B204" s="278"/>
      <c r="C204" s="267"/>
      <c r="D204" s="267"/>
      <c r="E204" s="267"/>
      <c r="F204" s="267"/>
      <c r="G204" s="267"/>
      <c r="H204" s="267"/>
      <c r="I204" s="267"/>
      <c r="J204" s="267"/>
      <c r="K204" s="267"/>
      <c r="L204" s="267"/>
      <c r="M204" s="267"/>
      <c r="N204" s="267"/>
      <c r="O204" s="267"/>
      <c r="P204" s="267"/>
      <c r="Q204" s="319"/>
      <c r="R204" s="421" t="s">
        <v>117</v>
      </c>
      <c r="S204" s="282"/>
      <c r="T204" s="282"/>
      <c r="U204" s="342" t="s">
        <v>118</v>
      </c>
      <c r="V204" s="342"/>
      <c r="W204" s="342"/>
      <c r="X204" s="324"/>
      <c r="Y204" s="422"/>
      <c r="Z204" s="267"/>
      <c r="AA204" s="267"/>
    </row>
    <row r="205" spans="1:29" s="172" customFormat="1" ht="15" customHeight="1">
      <c r="B205" s="278"/>
      <c r="C205" s="267"/>
      <c r="D205" s="403" t="s">
        <v>119</v>
      </c>
      <c r="E205" s="403"/>
      <c r="F205" s="403"/>
      <c r="G205" s="267"/>
      <c r="H205" s="267"/>
      <c r="I205" s="267"/>
      <c r="J205" s="267"/>
      <c r="K205" s="267"/>
      <c r="L205" s="267"/>
      <c r="M205" s="267"/>
      <c r="N205" s="267"/>
      <c r="O205" s="267"/>
      <c r="P205" s="267"/>
      <c r="Q205" s="267"/>
      <c r="R205" s="267"/>
      <c r="S205" s="415"/>
      <c r="T205" s="267"/>
      <c r="U205" s="267"/>
      <c r="V205" s="267"/>
      <c r="W205" s="416"/>
      <c r="X205" s="267"/>
      <c r="Y205" s="241"/>
      <c r="Z205" s="267"/>
      <c r="AA205" s="267"/>
    </row>
    <row r="206" spans="1:29" s="172" customFormat="1" ht="16">
      <c r="B206" s="319"/>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324"/>
      <c r="Z206" s="267"/>
      <c r="AA206" s="267"/>
    </row>
    <row r="207" spans="1:29" s="172" customFormat="1" ht="16">
      <c r="S207" s="423"/>
      <c r="W207" s="424"/>
    </row>
    <row r="208" spans="1:29" s="172" customFormat="1" ht="16"/>
    <row r="209" spans="6:6" s="172" customFormat="1" ht="16">
      <c r="F209" s="423"/>
    </row>
    <row r="210" spans="6:6" s="172" customFormat="1" ht="16"/>
    <row r="211" spans="6:6" s="172" customFormat="1" ht="16"/>
    <row r="212" spans="6:6" s="172" customFormat="1" ht="16"/>
    <row r="213" spans="6:6" s="172" customFormat="1" ht="16"/>
    <row r="214" spans="6:6" s="172" customFormat="1" ht="16"/>
    <row r="215" spans="6:6" s="172" customFormat="1" ht="16"/>
  </sheetData>
  <sheetProtection algorithmName="SHA-512" hashValue="ucPC9dxCQsVI61WLwypiT+VYJJrx0mqG+O8j1OOKy7ZkkV8gWUO/nGjLSkVTboRKb0LFpesAxivsnOCoeRM93A==" saltValue="d8UHB+r09mMZ/c9n03RcSQ==" spinCount="100000" sheet="1" objects="1" scenarios="1" selectLockedCells="1"/>
  <protectedRanges>
    <protectedRange password="8658" sqref="N151:N153" name="Plage2"/>
    <protectedRange password="8658" sqref="H151:H152 I153" name="Plage1"/>
    <protectedRange password="E509" sqref="B166:G168" name="Plage1_1"/>
    <protectedRange password="E509" sqref="S187:T187" name="Plage1_2"/>
    <protectedRange password="E509" sqref="D128:D131 F128:F131 H128:H131 P128:P131 F94:F123 D94:D123 H94:H123" name="Plage1_3"/>
    <protectedRange password="E509" sqref="N94:N123 L94:L123 N128:N131 L128:L131 P94:P123" name="Plage1_4"/>
    <protectedRange password="E509" sqref="N135:N137 B135:C137" name="Plage4"/>
  </protectedRanges>
  <mergeCells count="653">
    <mergeCell ref="B191:Y191"/>
    <mergeCell ref="B192:Y192"/>
    <mergeCell ref="AE1:AF1"/>
    <mergeCell ref="H202:K202"/>
    <mergeCell ref="L202:O202"/>
    <mergeCell ref="H203:K203"/>
    <mergeCell ref="L203:O203"/>
    <mergeCell ref="H200:K200"/>
    <mergeCell ref="L200:O200"/>
    <mergeCell ref="R200:T200"/>
    <mergeCell ref="V200:X200"/>
    <mergeCell ref="H201:K201"/>
    <mergeCell ref="L201:O201"/>
    <mergeCell ref="S187:T187"/>
    <mergeCell ref="B189:Y189"/>
    <mergeCell ref="B190:Y190"/>
    <mergeCell ref="E197:H197"/>
    <mergeCell ref="B184:G184"/>
    <mergeCell ref="H184:J184"/>
    <mergeCell ref="M184:P184"/>
    <mergeCell ref="B186:G186"/>
    <mergeCell ref="J186:M186"/>
    <mergeCell ref="S186:T186"/>
    <mergeCell ref="B179:G179"/>
    <mergeCell ref="H179:J179"/>
    <mergeCell ref="N179:P179"/>
    <mergeCell ref="B181:G181"/>
    <mergeCell ref="H181:J181"/>
    <mergeCell ref="M181:P181"/>
    <mergeCell ref="B175:G175"/>
    <mergeCell ref="H175:J175"/>
    <mergeCell ref="M175:P175"/>
    <mergeCell ref="N176:O176"/>
    <mergeCell ref="B177:G177"/>
    <mergeCell ref="H177:J177"/>
    <mergeCell ref="M177:P177"/>
    <mergeCell ref="B173:G173"/>
    <mergeCell ref="M173:P173"/>
    <mergeCell ref="B174:G174"/>
    <mergeCell ref="H174:J174"/>
    <mergeCell ref="M174:P174"/>
    <mergeCell ref="B168:G168"/>
    <mergeCell ref="H168:J168"/>
    <mergeCell ref="N168:P168"/>
    <mergeCell ref="N169:O169"/>
    <mergeCell ref="B170:G170"/>
    <mergeCell ref="H170:J170"/>
    <mergeCell ref="M170:P170"/>
    <mergeCell ref="H173:J173"/>
    <mergeCell ref="B166:G166"/>
    <mergeCell ref="H166:J166"/>
    <mergeCell ref="N166:P166"/>
    <mergeCell ref="B167:G167"/>
    <mergeCell ref="H167:J167"/>
    <mergeCell ref="N167:P167"/>
    <mergeCell ref="C163:G163"/>
    <mergeCell ref="H163:J163"/>
    <mergeCell ref="N163:P163"/>
    <mergeCell ref="C164:G164"/>
    <mergeCell ref="H164:J164"/>
    <mergeCell ref="N164:P164"/>
    <mergeCell ref="B160:B164"/>
    <mergeCell ref="C160:G160"/>
    <mergeCell ref="H160:J160"/>
    <mergeCell ref="N160:P160"/>
    <mergeCell ref="C161:G161"/>
    <mergeCell ref="H161:J161"/>
    <mergeCell ref="N161:P161"/>
    <mergeCell ref="C162:G162"/>
    <mergeCell ref="H162:J162"/>
    <mergeCell ref="N162:P162"/>
    <mergeCell ref="C157:G157"/>
    <mergeCell ref="H157:J157"/>
    <mergeCell ref="N157:P157"/>
    <mergeCell ref="C158:G158"/>
    <mergeCell ref="H158:J158"/>
    <mergeCell ref="N158:P158"/>
    <mergeCell ref="B154:B158"/>
    <mergeCell ref="C154:G154"/>
    <mergeCell ref="H154:J154"/>
    <mergeCell ref="N154:P154"/>
    <mergeCell ref="C155:G155"/>
    <mergeCell ref="H155:J155"/>
    <mergeCell ref="N155:P155"/>
    <mergeCell ref="C156:G156"/>
    <mergeCell ref="H156:J156"/>
    <mergeCell ref="N156:P156"/>
    <mergeCell ref="C151:G151"/>
    <mergeCell ref="H151:J151"/>
    <mergeCell ref="N151:P151"/>
    <mergeCell ref="C152:G152"/>
    <mergeCell ref="H152:J152"/>
    <mergeCell ref="N152:P152"/>
    <mergeCell ref="B148:B152"/>
    <mergeCell ref="C148:G148"/>
    <mergeCell ref="H148:J148"/>
    <mergeCell ref="N148:P148"/>
    <mergeCell ref="C149:G149"/>
    <mergeCell ref="H149:J149"/>
    <mergeCell ref="N149:P149"/>
    <mergeCell ref="C150:G150"/>
    <mergeCell ref="H150:J150"/>
    <mergeCell ref="N150:P150"/>
    <mergeCell ref="B141:C141"/>
    <mergeCell ref="D141:F141"/>
    <mergeCell ref="H141:J141"/>
    <mergeCell ref="N141:P141"/>
    <mergeCell ref="B144:G144"/>
    <mergeCell ref="H144:J144"/>
    <mergeCell ref="N144:P144"/>
    <mergeCell ref="B138:G138"/>
    <mergeCell ref="H138:J138"/>
    <mergeCell ref="N138:P138"/>
    <mergeCell ref="B140:G140"/>
    <mergeCell ref="H140:J140"/>
    <mergeCell ref="N140:P140"/>
    <mergeCell ref="B136:G136"/>
    <mergeCell ref="H136:J136"/>
    <mergeCell ref="N136:P136"/>
    <mergeCell ref="B137:G137"/>
    <mergeCell ref="H137:J137"/>
    <mergeCell ref="N137:P137"/>
    <mergeCell ref="N131:O131"/>
    <mergeCell ref="P131:Q131"/>
    <mergeCell ref="R131:S131"/>
    <mergeCell ref="J132:K132"/>
    <mergeCell ref="R132:S132"/>
    <mergeCell ref="B135:G135"/>
    <mergeCell ref="H135:J135"/>
    <mergeCell ref="N135:P135"/>
    <mergeCell ref="B131:C131"/>
    <mergeCell ref="D131:E131"/>
    <mergeCell ref="F131:G131"/>
    <mergeCell ref="H131:I131"/>
    <mergeCell ref="J131:K131"/>
    <mergeCell ref="L131:M131"/>
    <mergeCell ref="B130:C130"/>
    <mergeCell ref="D130:E130"/>
    <mergeCell ref="F130:G130"/>
    <mergeCell ref="H130:I130"/>
    <mergeCell ref="J130:K130"/>
    <mergeCell ref="L130:M130"/>
    <mergeCell ref="N130:O130"/>
    <mergeCell ref="P130:Q130"/>
    <mergeCell ref="R130:S130"/>
    <mergeCell ref="B129:C129"/>
    <mergeCell ref="D129:E129"/>
    <mergeCell ref="F129:G129"/>
    <mergeCell ref="H129:I129"/>
    <mergeCell ref="J129:K129"/>
    <mergeCell ref="L129:M129"/>
    <mergeCell ref="N129:O129"/>
    <mergeCell ref="P129:Q129"/>
    <mergeCell ref="R129:S129"/>
    <mergeCell ref="N127:O127"/>
    <mergeCell ref="P127:Q127"/>
    <mergeCell ref="R127:S127"/>
    <mergeCell ref="B128:C128"/>
    <mergeCell ref="D128:E128"/>
    <mergeCell ref="F128:G128"/>
    <mergeCell ref="H128:I128"/>
    <mergeCell ref="J128:K128"/>
    <mergeCell ref="L128:M128"/>
    <mergeCell ref="N128:O128"/>
    <mergeCell ref="B127:C127"/>
    <mergeCell ref="D127:E127"/>
    <mergeCell ref="F127:G127"/>
    <mergeCell ref="H127:I127"/>
    <mergeCell ref="J127:K127"/>
    <mergeCell ref="L127:M127"/>
    <mergeCell ref="P128:Q128"/>
    <mergeCell ref="R128:S128"/>
    <mergeCell ref="R123:S123"/>
    <mergeCell ref="F124:G124"/>
    <mergeCell ref="J124:K124"/>
    <mergeCell ref="N124:O124"/>
    <mergeCell ref="R124:S124"/>
    <mergeCell ref="K126:L126"/>
    <mergeCell ref="P122:Q122"/>
    <mergeCell ref="R122:S122"/>
    <mergeCell ref="B123:C123"/>
    <mergeCell ref="D123:E123"/>
    <mergeCell ref="F123:G123"/>
    <mergeCell ref="H123:I123"/>
    <mergeCell ref="J123:K123"/>
    <mergeCell ref="L123:M123"/>
    <mergeCell ref="N123:O123"/>
    <mergeCell ref="P123:Q123"/>
    <mergeCell ref="N121:O121"/>
    <mergeCell ref="P121:Q121"/>
    <mergeCell ref="R121:S121"/>
    <mergeCell ref="B122:C122"/>
    <mergeCell ref="D122:E122"/>
    <mergeCell ref="F122:G122"/>
    <mergeCell ref="H122:I122"/>
    <mergeCell ref="J122:K122"/>
    <mergeCell ref="L122:M122"/>
    <mergeCell ref="N122:O122"/>
    <mergeCell ref="B121:C121"/>
    <mergeCell ref="D121:E121"/>
    <mergeCell ref="F121:G121"/>
    <mergeCell ref="H121:I121"/>
    <mergeCell ref="J121:K121"/>
    <mergeCell ref="L121:M121"/>
    <mergeCell ref="B120:C120"/>
    <mergeCell ref="D120:E120"/>
    <mergeCell ref="F120:G120"/>
    <mergeCell ref="H120:I120"/>
    <mergeCell ref="J120:K120"/>
    <mergeCell ref="L120:M120"/>
    <mergeCell ref="N120:O120"/>
    <mergeCell ref="P120:Q120"/>
    <mergeCell ref="R120:S120"/>
    <mergeCell ref="B119:C119"/>
    <mergeCell ref="D119:E119"/>
    <mergeCell ref="F119:G119"/>
    <mergeCell ref="H119:I119"/>
    <mergeCell ref="J119:K119"/>
    <mergeCell ref="L119:M119"/>
    <mergeCell ref="N119:O119"/>
    <mergeCell ref="P119:Q119"/>
    <mergeCell ref="R119:S119"/>
    <mergeCell ref="N117:O117"/>
    <mergeCell ref="P117:Q117"/>
    <mergeCell ref="R117:S117"/>
    <mergeCell ref="B118:C118"/>
    <mergeCell ref="D118:E118"/>
    <mergeCell ref="F118:G118"/>
    <mergeCell ref="H118:I118"/>
    <mergeCell ref="J118:K118"/>
    <mergeCell ref="L118:M118"/>
    <mergeCell ref="N118:O118"/>
    <mergeCell ref="B117:C117"/>
    <mergeCell ref="D117:E117"/>
    <mergeCell ref="F117:G117"/>
    <mergeCell ref="H117:I117"/>
    <mergeCell ref="J117:K117"/>
    <mergeCell ref="L117:M117"/>
    <mergeCell ref="P118:Q118"/>
    <mergeCell ref="R118:S118"/>
    <mergeCell ref="B116:C116"/>
    <mergeCell ref="D116:E116"/>
    <mergeCell ref="F116:G116"/>
    <mergeCell ref="H116:I116"/>
    <mergeCell ref="J116:K116"/>
    <mergeCell ref="L116:M116"/>
    <mergeCell ref="N116:O116"/>
    <mergeCell ref="P116:Q116"/>
    <mergeCell ref="R116:S116"/>
    <mergeCell ref="B115:C115"/>
    <mergeCell ref="D115:E115"/>
    <mergeCell ref="F115:G115"/>
    <mergeCell ref="H115:I115"/>
    <mergeCell ref="J115:K115"/>
    <mergeCell ref="L115:M115"/>
    <mergeCell ref="N115:O115"/>
    <mergeCell ref="P115:Q115"/>
    <mergeCell ref="R115:S115"/>
    <mergeCell ref="AC110:AD110"/>
    <mergeCell ref="N113:O113"/>
    <mergeCell ref="P113:Q113"/>
    <mergeCell ref="R113:S113"/>
    <mergeCell ref="B114:C114"/>
    <mergeCell ref="D114:E114"/>
    <mergeCell ref="F114:G114"/>
    <mergeCell ref="H114:I114"/>
    <mergeCell ref="J114:K114"/>
    <mergeCell ref="L114:M114"/>
    <mergeCell ref="N114:O114"/>
    <mergeCell ref="B113:C113"/>
    <mergeCell ref="D113:E113"/>
    <mergeCell ref="F113:G113"/>
    <mergeCell ref="H113:I113"/>
    <mergeCell ref="J113:K113"/>
    <mergeCell ref="L113:M113"/>
    <mergeCell ref="P114:Q114"/>
    <mergeCell ref="R114:S114"/>
    <mergeCell ref="R109:S109"/>
    <mergeCell ref="V109:X109"/>
    <mergeCell ref="Y109:Z109"/>
    <mergeCell ref="AA109:AB109"/>
    <mergeCell ref="AC109:AD109"/>
    <mergeCell ref="B112:C112"/>
    <mergeCell ref="D112:E112"/>
    <mergeCell ref="F112:G112"/>
    <mergeCell ref="H112:I112"/>
    <mergeCell ref="J112:K112"/>
    <mergeCell ref="L112:M112"/>
    <mergeCell ref="V110:X110"/>
    <mergeCell ref="Y110:Z110"/>
    <mergeCell ref="AA110:AB110"/>
    <mergeCell ref="N112:O112"/>
    <mergeCell ref="P112:Q112"/>
    <mergeCell ref="R112:S112"/>
    <mergeCell ref="V112:X112"/>
    <mergeCell ref="Y112:Z112"/>
    <mergeCell ref="AB112:AC112"/>
    <mergeCell ref="L111:M111"/>
    <mergeCell ref="N111:O111"/>
    <mergeCell ref="P111:Q111"/>
    <mergeCell ref="R111:S111"/>
    <mergeCell ref="B109:C109"/>
    <mergeCell ref="D109:E109"/>
    <mergeCell ref="F109:G109"/>
    <mergeCell ref="H109:I109"/>
    <mergeCell ref="J109:K109"/>
    <mergeCell ref="L109:M109"/>
    <mergeCell ref="N109:O109"/>
    <mergeCell ref="AG110:AH110"/>
    <mergeCell ref="B111:C111"/>
    <mergeCell ref="D111:E111"/>
    <mergeCell ref="F111:G111"/>
    <mergeCell ref="H111:I111"/>
    <mergeCell ref="J111:K111"/>
    <mergeCell ref="AG109:AH109"/>
    <mergeCell ref="B110:C110"/>
    <mergeCell ref="D110:E110"/>
    <mergeCell ref="F110:G110"/>
    <mergeCell ref="H110:I110"/>
    <mergeCell ref="J110:K110"/>
    <mergeCell ref="L110:M110"/>
    <mergeCell ref="N110:O110"/>
    <mergeCell ref="P110:Q110"/>
    <mergeCell ref="R110:S110"/>
    <mergeCell ref="P109:Q109"/>
    <mergeCell ref="AA106:AD106"/>
    <mergeCell ref="B107:C107"/>
    <mergeCell ref="D107:E107"/>
    <mergeCell ref="F107:G107"/>
    <mergeCell ref="H107:I107"/>
    <mergeCell ref="J107:K107"/>
    <mergeCell ref="B108:C108"/>
    <mergeCell ref="D108:E108"/>
    <mergeCell ref="F108:G108"/>
    <mergeCell ref="H108:I108"/>
    <mergeCell ref="J108:K108"/>
    <mergeCell ref="L108:M108"/>
    <mergeCell ref="N108:O108"/>
    <mergeCell ref="P108:Q108"/>
    <mergeCell ref="R108:S108"/>
    <mergeCell ref="L107:M107"/>
    <mergeCell ref="N107:O107"/>
    <mergeCell ref="P107:Q107"/>
    <mergeCell ref="R107:S107"/>
    <mergeCell ref="AA107:AB107"/>
    <mergeCell ref="AC107:AD107"/>
    <mergeCell ref="AA108:AB108"/>
    <mergeCell ref="AC108:AD108"/>
    <mergeCell ref="B106:C106"/>
    <mergeCell ref="D106:E106"/>
    <mergeCell ref="F106:G106"/>
    <mergeCell ref="H106:I106"/>
    <mergeCell ref="J106:K106"/>
    <mergeCell ref="L106:M106"/>
    <mergeCell ref="N106:O106"/>
    <mergeCell ref="P106:Q106"/>
    <mergeCell ref="R106:S106"/>
    <mergeCell ref="P103:Q103"/>
    <mergeCell ref="R103:S103"/>
    <mergeCell ref="AF104:AG104"/>
    <mergeCell ref="B105:C105"/>
    <mergeCell ref="D105:E105"/>
    <mergeCell ref="F105:G105"/>
    <mergeCell ref="H105:I105"/>
    <mergeCell ref="J105:K105"/>
    <mergeCell ref="L105:M105"/>
    <mergeCell ref="N105:O105"/>
    <mergeCell ref="P105:Q105"/>
    <mergeCell ref="R105:S105"/>
    <mergeCell ref="V105:X105"/>
    <mergeCell ref="Y105:Z105"/>
    <mergeCell ref="AF105:AG105"/>
    <mergeCell ref="B104:C104"/>
    <mergeCell ref="D104:E104"/>
    <mergeCell ref="F104:G104"/>
    <mergeCell ref="H104:I104"/>
    <mergeCell ref="J104:K104"/>
    <mergeCell ref="L104:M104"/>
    <mergeCell ref="N104:O104"/>
    <mergeCell ref="P104:Q104"/>
    <mergeCell ref="R104:S104"/>
    <mergeCell ref="B103:C103"/>
    <mergeCell ref="D103:E103"/>
    <mergeCell ref="F103:G103"/>
    <mergeCell ref="H103:I103"/>
    <mergeCell ref="J103:K103"/>
    <mergeCell ref="L103:M103"/>
    <mergeCell ref="N103:O103"/>
    <mergeCell ref="B102:C102"/>
    <mergeCell ref="D102:E102"/>
    <mergeCell ref="F102:G102"/>
    <mergeCell ref="H102:I102"/>
    <mergeCell ref="J102:K102"/>
    <mergeCell ref="L102:M102"/>
    <mergeCell ref="N100:O100"/>
    <mergeCell ref="P100:Q100"/>
    <mergeCell ref="R100:S100"/>
    <mergeCell ref="B100:C100"/>
    <mergeCell ref="D100:E100"/>
    <mergeCell ref="F100:G100"/>
    <mergeCell ref="H100:I100"/>
    <mergeCell ref="J100:K100"/>
    <mergeCell ref="N102:O102"/>
    <mergeCell ref="P102:Q102"/>
    <mergeCell ref="R102:S102"/>
    <mergeCell ref="B98:C98"/>
    <mergeCell ref="D98:E98"/>
    <mergeCell ref="F98:G98"/>
    <mergeCell ref="H98:I98"/>
    <mergeCell ref="J98:K98"/>
    <mergeCell ref="L98:M98"/>
    <mergeCell ref="N98:O98"/>
    <mergeCell ref="AC99:AD99"/>
    <mergeCell ref="B101:C101"/>
    <mergeCell ref="D101:E101"/>
    <mergeCell ref="F101:G101"/>
    <mergeCell ref="H101:I101"/>
    <mergeCell ref="J101:K101"/>
    <mergeCell ref="L101:M101"/>
    <mergeCell ref="V99:X99"/>
    <mergeCell ref="Y99:Z99"/>
    <mergeCell ref="AA99:AB99"/>
    <mergeCell ref="N101:O101"/>
    <mergeCell ref="P101:Q101"/>
    <mergeCell ref="R101:S101"/>
    <mergeCell ref="V101:X101"/>
    <mergeCell ref="Y101:Z101"/>
    <mergeCell ref="AB101:AC101"/>
    <mergeCell ref="L100:M100"/>
    <mergeCell ref="B99:C99"/>
    <mergeCell ref="D99:E99"/>
    <mergeCell ref="F99:G99"/>
    <mergeCell ref="H99:I99"/>
    <mergeCell ref="J99:K99"/>
    <mergeCell ref="L99:M99"/>
    <mergeCell ref="N99:O99"/>
    <mergeCell ref="P99:Q99"/>
    <mergeCell ref="R99:S99"/>
    <mergeCell ref="B96:C96"/>
    <mergeCell ref="D96:E96"/>
    <mergeCell ref="F96:G96"/>
    <mergeCell ref="H96:I96"/>
    <mergeCell ref="J96:K96"/>
    <mergeCell ref="AG96:AH96"/>
    <mergeCell ref="B97:C97"/>
    <mergeCell ref="D97:E97"/>
    <mergeCell ref="F97:G97"/>
    <mergeCell ref="H97:I97"/>
    <mergeCell ref="J97:K97"/>
    <mergeCell ref="L97:M97"/>
    <mergeCell ref="N97:O97"/>
    <mergeCell ref="P97:Q97"/>
    <mergeCell ref="R97:S97"/>
    <mergeCell ref="L96:M96"/>
    <mergeCell ref="N96:O96"/>
    <mergeCell ref="P96:Q96"/>
    <mergeCell ref="R96:S96"/>
    <mergeCell ref="AA96:AB96"/>
    <mergeCell ref="AC96:AD96"/>
    <mergeCell ref="AA97:AB97"/>
    <mergeCell ref="AC97:AD97"/>
    <mergeCell ref="B95:C95"/>
    <mergeCell ref="D95:E95"/>
    <mergeCell ref="F95:G95"/>
    <mergeCell ref="H95:I95"/>
    <mergeCell ref="J95:K95"/>
    <mergeCell ref="L95:M95"/>
    <mergeCell ref="N95:O95"/>
    <mergeCell ref="P95:Q95"/>
    <mergeCell ref="R95:S95"/>
    <mergeCell ref="B94:C94"/>
    <mergeCell ref="D94:E94"/>
    <mergeCell ref="F94:G94"/>
    <mergeCell ref="H94:I94"/>
    <mergeCell ref="J94:K94"/>
    <mergeCell ref="L94:M94"/>
    <mergeCell ref="N94:O94"/>
    <mergeCell ref="P94:Q94"/>
    <mergeCell ref="R94:S94"/>
    <mergeCell ref="H88:J88"/>
    <mergeCell ref="N88:P88"/>
    <mergeCell ref="H89:J89"/>
    <mergeCell ref="N89:P89"/>
    <mergeCell ref="B93:C93"/>
    <mergeCell ref="D93:E93"/>
    <mergeCell ref="F93:G93"/>
    <mergeCell ref="H93:I93"/>
    <mergeCell ref="J93:K93"/>
    <mergeCell ref="L93:M93"/>
    <mergeCell ref="N93:O93"/>
    <mergeCell ref="P93:Q93"/>
    <mergeCell ref="H86:J86"/>
    <mergeCell ref="N86:P86"/>
    <mergeCell ref="V75:Y75"/>
    <mergeCell ref="Z75:AA75"/>
    <mergeCell ref="H87:J87"/>
    <mergeCell ref="N87:P87"/>
    <mergeCell ref="V76:Y76"/>
    <mergeCell ref="Z76:AA76"/>
    <mergeCell ref="V73:Y73"/>
    <mergeCell ref="Z73:AA73"/>
    <mergeCell ref="H85:J85"/>
    <mergeCell ref="N85:P85"/>
    <mergeCell ref="V74:Y74"/>
    <mergeCell ref="Z74:AA74"/>
    <mergeCell ref="F82:G82"/>
    <mergeCell ref="I82:J82"/>
    <mergeCell ref="L82:M82"/>
    <mergeCell ref="O82:P82"/>
    <mergeCell ref="I83:J83"/>
    <mergeCell ref="O83:P83"/>
    <mergeCell ref="V67:Y67"/>
    <mergeCell ref="Z67:AA67"/>
    <mergeCell ref="V68:Y68"/>
    <mergeCell ref="Z68:AA68"/>
    <mergeCell ref="F80:G80"/>
    <mergeCell ref="I80:J80"/>
    <mergeCell ref="L80:M80"/>
    <mergeCell ref="O80:P80"/>
    <mergeCell ref="F76:G76"/>
    <mergeCell ref="I76:J76"/>
    <mergeCell ref="L76:M76"/>
    <mergeCell ref="O76:P76"/>
    <mergeCell ref="V66:Y66"/>
    <mergeCell ref="Z66:AA66"/>
    <mergeCell ref="F75:G75"/>
    <mergeCell ref="I75:J75"/>
    <mergeCell ref="L75:M75"/>
    <mergeCell ref="O75:P75"/>
    <mergeCell ref="V65:Y65"/>
    <mergeCell ref="Z65:AA65"/>
    <mergeCell ref="F71:G71"/>
    <mergeCell ref="I71:J71"/>
    <mergeCell ref="L71:M71"/>
    <mergeCell ref="O71:P71"/>
    <mergeCell ref="F74:G74"/>
    <mergeCell ref="I74:J74"/>
    <mergeCell ref="L74:M74"/>
    <mergeCell ref="O74:P74"/>
    <mergeCell ref="F69:G69"/>
    <mergeCell ref="I69:J69"/>
    <mergeCell ref="L69:M69"/>
    <mergeCell ref="O69:P69"/>
    <mergeCell ref="F70:G70"/>
    <mergeCell ref="I70:J70"/>
    <mergeCell ref="L70:M70"/>
    <mergeCell ref="O70:P70"/>
    <mergeCell ref="F66:G66"/>
    <mergeCell ref="H66:J66"/>
    <mergeCell ref="L66:M66"/>
    <mergeCell ref="N66:P66"/>
    <mergeCell ref="B60:H60"/>
    <mergeCell ref="I60:J60"/>
    <mergeCell ref="O60:P60"/>
    <mergeCell ref="K62:L62"/>
    <mergeCell ref="F64:G64"/>
    <mergeCell ref="H64:J64"/>
    <mergeCell ref="L64:M64"/>
    <mergeCell ref="N64:P64"/>
    <mergeCell ref="I56:J56"/>
    <mergeCell ref="O56:P56"/>
    <mergeCell ref="E58:H58"/>
    <mergeCell ref="I58:J58"/>
    <mergeCell ref="O58:P58"/>
    <mergeCell ref="E54:H54"/>
    <mergeCell ref="I54:J54"/>
    <mergeCell ref="O54:P54"/>
    <mergeCell ref="F65:G65"/>
    <mergeCell ref="H65:J65"/>
    <mergeCell ref="L65:M65"/>
    <mergeCell ref="N65:P65"/>
    <mergeCell ref="W2:X2"/>
    <mergeCell ref="F4:K4"/>
    <mergeCell ref="S4:U4"/>
    <mergeCell ref="W4:X4"/>
    <mergeCell ref="W14:X14"/>
    <mergeCell ref="F16:H16"/>
    <mergeCell ref="S16:U16"/>
    <mergeCell ref="W16:X16"/>
    <mergeCell ref="F10:K10"/>
    <mergeCell ref="S10:U10"/>
    <mergeCell ref="W10:X10"/>
    <mergeCell ref="F12:K12"/>
    <mergeCell ref="S12:U12"/>
    <mergeCell ref="W12:X12"/>
    <mergeCell ref="F14:K14"/>
    <mergeCell ref="S14:U14"/>
    <mergeCell ref="W6:X6"/>
    <mergeCell ref="W8:X8"/>
    <mergeCell ref="F2:K2"/>
    <mergeCell ref="S2:U2"/>
    <mergeCell ref="S6:U6"/>
    <mergeCell ref="S8:U8"/>
    <mergeCell ref="I40:J40"/>
    <mergeCell ref="O40:P40"/>
    <mergeCell ref="G26:I26"/>
    <mergeCell ref="G28:I28"/>
    <mergeCell ref="G30:I30"/>
    <mergeCell ref="G32:I32"/>
    <mergeCell ref="F35:K35"/>
    <mergeCell ref="L35:Q35"/>
    <mergeCell ref="F6:K6"/>
    <mergeCell ref="F8:K8"/>
    <mergeCell ref="F18:H18"/>
    <mergeCell ref="G20:I20"/>
    <mergeCell ref="AA98:AB98"/>
    <mergeCell ref="G22:I22"/>
    <mergeCell ref="S22:T22"/>
    <mergeCell ref="G24:I24"/>
    <mergeCell ref="S24:T24"/>
    <mergeCell ref="B38:H38"/>
    <mergeCell ref="I38:J38"/>
    <mergeCell ref="O38:P38"/>
    <mergeCell ref="B40:H40"/>
    <mergeCell ref="E50:H50"/>
    <mergeCell ref="I50:J50"/>
    <mergeCell ref="O50:P50"/>
    <mergeCell ref="E52:H52"/>
    <mergeCell ref="I52:J52"/>
    <mergeCell ref="O52:P52"/>
    <mergeCell ref="B42:H42"/>
    <mergeCell ref="I42:J42"/>
    <mergeCell ref="O42:P42"/>
    <mergeCell ref="B44:K45"/>
    <mergeCell ref="E48:H48"/>
    <mergeCell ref="I48:J48"/>
    <mergeCell ref="O48:P48"/>
    <mergeCell ref="L48:N48"/>
    <mergeCell ref="E56:H56"/>
    <mergeCell ref="AC98:AD98"/>
    <mergeCell ref="S20:T20"/>
    <mergeCell ref="AF106:AG106"/>
    <mergeCell ref="AG108:AH108"/>
    <mergeCell ref="AG107:AH107"/>
    <mergeCell ref="U53:X53"/>
    <mergeCell ref="L50:N50"/>
    <mergeCell ref="L52:N52"/>
    <mergeCell ref="L54:N54"/>
    <mergeCell ref="L56:N56"/>
    <mergeCell ref="L58:N58"/>
    <mergeCell ref="L60:N60"/>
    <mergeCell ref="R93:S93"/>
    <mergeCell ref="AG97:AH97"/>
    <mergeCell ref="V94:X94"/>
    <mergeCell ref="Y94:Z94"/>
    <mergeCell ref="AA94:AB94"/>
    <mergeCell ref="AA95:AD95"/>
    <mergeCell ref="AG99:AH99"/>
    <mergeCell ref="AG98:AH98"/>
    <mergeCell ref="P98:Q98"/>
    <mergeCell ref="R98:S98"/>
    <mergeCell ref="V98:X98"/>
    <mergeCell ref="Y98:Z98"/>
  </mergeCells>
  <dataValidations count="19">
    <dataValidation type="list" errorStyle="warning" showInputMessage="1" showErrorMessage="1" error="Inserer port" sqref="F10:K10" xr:uid="{E4A84990-0E9A-44E0-9A9E-455E081F2C0B}">
      <formula1>$AT$1:$AT$8</formula1>
    </dataValidation>
    <dataValidation type="list" errorStyle="warning" showInputMessage="1" showErrorMessage="1" error="Inserer port" sqref="F11:K11" xr:uid="{635BE0F1-48B7-4AC3-BB83-B23FD8F8F373}">
      <formula1>$AJ$6:$AJ$19</formula1>
    </dataValidation>
    <dataValidation allowBlank="1" showInputMessage="1" showErrorMessage="1" prompt="PORT, PAYS" sqref="F12:K12 F14:K14" xr:uid="{BF984D55-FF05-437B-B41E-E063368E666E}"/>
    <dataValidation errorStyle="information" allowBlank="1" prompt="##:##" sqref="W8 W10:W12 W2:W6 W16 W18 W14" xr:uid="{E99A09CE-4B43-473F-8D82-88F6FF933787}"/>
    <dataValidation allowBlank="1" showInputMessage="1" showErrorMessage="1" prompt="Dist Mid en cm !!!" sqref="I42:J43 O42:P43" xr:uid="{22CCD6D4-B67B-4131-B12F-3E11F84C77A5}"/>
    <dataValidation allowBlank="1" showInputMessage="1" showErrorMessage="1" prompt="Dist Aft en cm !!!" sqref="I40:J41 O40:P41" xr:uid="{DB12B0A9-CE60-4DFF-81C9-9C445B27F762}"/>
    <dataValidation allowBlank="1" showInputMessage="1" showErrorMessage="1" prompt="Dist Fore en cm !!!" sqref="I38:J39 O38:P39" xr:uid="{2FC1C081-7184-456B-8B78-5D2706C0E1D9}"/>
    <dataValidation allowBlank="1" showInputMessage="1" prompt="!! (en mètres)" sqref="G24:G25" xr:uid="{31503EA2-4EEE-457B-B521-48AFBFE532F3}"/>
    <dataValidation allowBlank="1" showInputMessage="1" showErrorMessage="1" prompt="!! (en mètres)" sqref="G26:G27" xr:uid="{50D83EFA-0674-4F2F-BAA2-7A724D482D24}"/>
    <dataValidation errorStyle="information" allowBlank="1" showInputMessage="1" showErrorMessage="1" error="en mètres" prompt="!!! LOA en mètres" sqref="S22:S23" xr:uid="{F7DAC732-76E8-4E88-BA0C-0782088C7B3F}"/>
    <dataValidation errorStyle="information" allowBlank="1" showInputMessage="1" prompt="!!! LBP en mètres" sqref="S20:S21" xr:uid="{4BF14E48-3B86-4366-A038-5DE60C735052}"/>
    <dataValidation allowBlank="1" showInputMessage="1" showErrorMessage="1" prompt="!!! en mètres" sqref="S24:S25" xr:uid="{58621599-C29F-4FF5-BB03-822BEA1D355A}"/>
    <dataValidation allowBlank="1" showInputMessage="1" showErrorMessage="1" prompt="Draft MS en cm !!!" sqref="I58:J58 O58:P58" xr:uid="{2376E35C-DAF4-42EB-804D-237F215D8BB3}"/>
    <dataValidation allowBlank="1" showInputMessage="1" showErrorMessage="1" prompt="Draft MP en cm !!!" sqref="I56:J57 O56:P57" xr:uid="{C9472D5E-0860-4061-9CCD-2CA2D9438FE4}"/>
    <dataValidation allowBlank="1" showInputMessage="1" showErrorMessage="1" prompt="Draft AS en cm !!!" sqref="I54:J54 O54:P54" xr:uid="{B02DFFDF-51BA-441B-AF82-900FE3F422B7}"/>
    <dataValidation allowBlank="1" showInputMessage="1" showErrorMessage="1" prompt="Draft AP en cm !!!" sqref="I52:J53 O52:P53" xr:uid="{B94E4240-C1AC-4925-9CC5-BF744B75E6EE}"/>
    <dataValidation allowBlank="1" showInputMessage="1" showErrorMessage="1" prompt="Draft FS en cm !!!" sqref="I50:J50 O50:P50" xr:uid="{AC74B721-A421-4558-A6A9-3ABA4DDF066D}"/>
    <dataValidation allowBlank="1" showInputMessage="1" showErrorMessage="1" prompt="Draft FP en cm !!!" sqref="I48:J49 O48:P49" xr:uid="{330A49E7-CAD4-46C2-A8AC-A0A15230A54B}"/>
    <dataValidation showInputMessage="1" showErrorMessage="1" errorTitle="A ou F ou 0" error="A (AFT) / F (FORE) / (0) NUL " promptTitle="AFT (A) ou FORE (F) ou NUL (0)" sqref="Q75 K75" xr:uid="{F786E715-0277-4BF6-82AC-B6E3AFF3A2BF}"/>
  </dataValidations>
  <pageMargins left="0.70866141732283472" right="0.70866141732283472"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DCF53-1D31-4B21-9050-2BCB8AC89E50}">
  <sheetPr codeName="Feuil5"/>
  <dimension ref="A1:P45"/>
  <sheetViews>
    <sheetView showGridLines="0" showRowColHeaders="0" tabSelected="1" showRuler="0" zoomScale="85" zoomScaleNormal="85" zoomScaleSheetLayoutView="90" workbookViewId="0">
      <selection activeCell="G42" sqref="G42"/>
    </sheetView>
  </sheetViews>
  <sheetFormatPr baseColWidth="10" defaultRowHeight="14.5"/>
  <cols>
    <col min="1" max="13" width="10.90625" style="497"/>
    <col min="14" max="14" width="24.1796875" style="497" customWidth="1"/>
    <col min="15" max="15" width="3.54296875" style="497" customWidth="1"/>
    <col min="16" max="16" width="41.26953125" style="497" customWidth="1"/>
    <col min="17" max="16384" width="10.90625" style="497"/>
  </cols>
  <sheetData>
    <row r="1" spans="1:16">
      <c r="A1" s="1192"/>
      <c r="B1" s="1192"/>
      <c r="C1" s="1192"/>
      <c r="D1" s="1192"/>
      <c r="E1" s="1192"/>
      <c r="F1" s="1192"/>
      <c r="G1" s="1192"/>
      <c r="H1" s="1192"/>
      <c r="I1" s="1192"/>
      <c r="J1" s="1192"/>
      <c r="K1" s="1192"/>
      <c r="L1" s="1192"/>
      <c r="M1" s="1192"/>
      <c r="N1" s="1192"/>
      <c r="O1" s="1192"/>
      <c r="P1" s="1192"/>
    </row>
    <row r="2" spans="1:16">
      <c r="A2" s="1192"/>
      <c r="B2" s="1192"/>
      <c r="C2" s="1192"/>
      <c r="D2" s="1192"/>
      <c r="E2" s="1192"/>
      <c r="F2" s="1192"/>
      <c r="G2" s="1192"/>
      <c r="H2" s="1192"/>
      <c r="I2" s="1192"/>
      <c r="J2" s="1192"/>
      <c r="K2" s="1192"/>
      <c r="L2" s="1192"/>
      <c r="M2" s="1192"/>
      <c r="N2" s="1192"/>
      <c r="O2" s="1192"/>
      <c r="P2" s="1192"/>
    </row>
    <row r="3" spans="1:16">
      <c r="A3" s="1192"/>
      <c r="B3" s="1192"/>
      <c r="C3" s="1192"/>
      <c r="D3" s="1192"/>
      <c r="E3" s="1192"/>
      <c r="F3" s="1192"/>
      <c r="G3" s="1192"/>
      <c r="H3" s="1192"/>
      <c r="I3" s="1192"/>
      <c r="J3" s="1192"/>
      <c r="K3" s="1192"/>
      <c r="L3" s="1192"/>
      <c r="M3" s="1192"/>
      <c r="N3" s="1192"/>
      <c r="O3" s="1192"/>
      <c r="P3" s="1192"/>
    </row>
    <row r="4" spans="1:16">
      <c r="A4" s="1192"/>
      <c r="B4" s="1192"/>
      <c r="C4" s="1192"/>
      <c r="D4" s="1192"/>
      <c r="E4" s="1192"/>
      <c r="F4" s="1192"/>
      <c r="G4" s="1192"/>
      <c r="H4" s="1192"/>
      <c r="I4" s="1192"/>
      <c r="J4" s="1192"/>
      <c r="K4" s="1192"/>
      <c r="L4" s="1192"/>
      <c r="M4" s="1192"/>
      <c r="N4" s="1192"/>
      <c r="O4" s="1192"/>
      <c r="P4" s="1192"/>
    </row>
    <row r="5" spans="1:16">
      <c r="A5" s="1192"/>
      <c r="B5" s="1192"/>
      <c r="C5" s="1192"/>
      <c r="D5" s="1192"/>
      <c r="E5" s="1192"/>
      <c r="F5" s="1192"/>
      <c r="G5" s="1192"/>
      <c r="H5" s="1192"/>
      <c r="I5" s="1192"/>
      <c r="J5" s="1192"/>
      <c r="K5" s="1192"/>
      <c r="L5" s="1192"/>
      <c r="M5" s="1192"/>
      <c r="N5" s="1192"/>
      <c r="O5" s="1192"/>
      <c r="P5" s="1192"/>
    </row>
    <row r="6" spans="1:16">
      <c r="A6" s="1192"/>
      <c r="B6" s="1192"/>
      <c r="C6" s="1192"/>
      <c r="D6" s="1192"/>
      <c r="E6" s="1192"/>
      <c r="F6" s="1192"/>
      <c r="G6" s="1192"/>
      <c r="H6" s="1192"/>
      <c r="I6" s="1192"/>
      <c r="J6" s="1192"/>
      <c r="K6" s="1192"/>
      <c r="L6" s="1192"/>
      <c r="M6" s="1192"/>
      <c r="N6" s="1192"/>
      <c r="O6" s="1192"/>
      <c r="P6" s="1192"/>
    </row>
    <row r="7" spans="1:16">
      <c r="A7" s="1192"/>
      <c r="B7" s="1192"/>
      <c r="C7" s="1192"/>
      <c r="D7" s="1192"/>
      <c r="E7" s="1192"/>
      <c r="F7" s="1192"/>
      <c r="G7" s="1192"/>
      <c r="H7" s="1192"/>
      <c r="I7" s="1192"/>
      <c r="J7" s="1192"/>
      <c r="K7" s="1192"/>
      <c r="L7" s="1192"/>
      <c r="M7" s="1192"/>
      <c r="N7" s="1192"/>
      <c r="O7" s="1192"/>
      <c r="P7" s="1192"/>
    </row>
    <row r="8" spans="1:16">
      <c r="A8" s="1192"/>
      <c r="B8" s="1192"/>
      <c r="C8" s="1192"/>
      <c r="D8" s="1192"/>
      <c r="E8" s="1192"/>
      <c r="F8" s="1192"/>
      <c r="G8" s="1192"/>
      <c r="H8" s="1192"/>
      <c r="I8" s="1192"/>
      <c r="J8" s="1192"/>
      <c r="K8" s="1192"/>
      <c r="L8" s="1192"/>
      <c r="M8" s="1192"/>
      <c r="N8" s="1196"/>
      <c r="O8" s="1192"/>
      <c r="P8" s="1192"/>
    </row>
    <row r="9" spans="1:16">
      <c r="A9" s="1192"/>
      <c r="B9" s="1192"/>
      <c r="C9" s="1192"/>
      <c r="D9" s="1192"/>
      <c r="E9" s="1192"/>
      <c r="F9" s="1192"/>
      <c r="G9" s="1192"/>
      <c r="H9" s="1192"/>
      <c r="I9" s="1192"/>
      <c r="J9" s="1192"/>
      <c r="K9" s="1192"/>
      <c r="L9" s="1192"/>
      <c r="M9" s="1192"/>
      <c r="N9" s="1192"/>
      <c r="O9" s="1192"/>
      <c r="P9" s="1192"/>
    </row>
    <row r="10" spans="1:16">
      <c r="A10" s="1192"/>
      <c r="B10" s="1192"/>
      <c r="C10" s="1192"/>
      <c r="D10" s="1192"/>
      <c r="E10" s="1192"/>
      <c r="F10" s="1192"/>
      <c r="G10" s="1192"/>
      <c r="H10" s="1192"/>
      <c r="I10" s="1192"/>
      <c r="J10" s="1192"/>
      <c r="K10" s="1192"/>
      <c r="L10" s="1192"/>
      <c r="M10" s="1192"/>
      <c r="N10" s="1192"/>
      <c r="O10" s="1192"/>
      <c r="P10" s="1192"/>
    </row>
    <row r="11" spans="1:16">
      <c r="A11" s="1192"/>
      <c r="B11" s="1192"/>
      <c r="C11" s="1192"/>
      <c r="D11" s="1192"/>
      <c r="E11" s="1192"/>
      <c r="F11" s="1192"/>
      <c r="G11" s="1192"/>
      <c r="H11" s="1192"/>
      <c r="I11" s="1192"/>
      <c r="J11" s="1192"/>
      <c r="K11" s="1192"/>
      <c r="L11" s="1192"/>
      <c r="M11" s="1192"/>
      <c r="N11" s="1192"/>
      <c r="O11" s="1192"/>
      <c r="P11" s="1192"/>
    </row>
    <row r="12" spans="1:16">
      <c r="A12" s="1192"/>
      <c r="B12" s="1192"/>
      <c r="C12" s="1192"/>
      <c r="D12" s="1192"/>
      <c r="E12" s="1192"/>
      <c r="F12" s="1192"/>
      <c r="G12" s="1192"/>
      <c r="H12" s="1192"/>
      <c r="I12" s="1192"/>
      <c r="J12" s="1192"/>
      <c r="K12" s="1192"/>
      <c r="L12" s="1192"/>
      <c r="M12" s="1192"/>
      <c r="N12" s="1192"/>
      <c r="O12" s="1192"/>
      <c r="P12" s="1192"/>
    </row>
    <row r="13" spans="1:16">
      <c r="A13" s="1192"/>
      <c r="B13" s="1192"/>
      <c r="C13" s="1192"/>
      <c r="D13" s="1192"/>
      <c r="E13" s="1192"/>
      <c r="F13" s="1192"/>
      <c r="G13" s="1192"/>
      <c r="H13" s="1192"/>
      <c r="I13" s="1192"/>
      <c r="J13" s="1192"/>
      <c r="K13" s="1192"/>
      <c r="L13" s="1192"/>
      <c r="M13" s="1192"/>
      <c r="N13" s="1192"/>
      <c r="O13" s="1192"/>
      <c r="P13" s="1192"/>
    </row>
    <row r="14" spans="1:16">
      <c r="A14" s="1192"/>
      <c r="B14" s="1192"/>
      <c r="C14" s="1192"/>
      <c r="D14" s="1192"/>
      <c r="E14" s="1192"/>
      <c r="F14" s="1192"/>
      <c r="G14" s="1192"/>
      <c r="H14" s="1192"/>
      <c r="I14" s="1192"/>
      <c r="J14" s="1192"/>
      <c r="K14" s="1192"/>
      <c r="L14" s="1192"/>
      <c r="M14" s="1192"/>
      <c r="N14" s="1192"/>
      <c r="O14" s="1192"/>
      <c r="P14" s="1192"/>
    </row>
    <row r="15" spans="1:16">
      <c r="A15" s="1192"/>
      <c r="B15" s="1192"/>
      <c r="C15" s="1192"/>
      <c r="D15" s="1192"/>
      <c r="E15" s="1192"/>
      <c r="F15" s="1192"/>
      <c r="G15" s="1192"/>
      <c r="H15" s="1192"/>
      <c r="I15" s="1192"/>
      <c r="J15" s="1192"/>
      <c r="K15" s="1192"/>
      <c r="L15" s="1192"/>
      <c r="M15" s="1192"/>
      <c r="N15" s="1192"/>
      <c r="O15" s="1192"/>
      <c r="P15" s="1192"/>
    </row>
    <row r="16" spans="1:16">
      <c r="A16" s="1192"/>
      <c r="B16" s="1192"/>
      <c r="C16" s="1192"/>
      <c r="D16" s="1192"/>
      <c r="E16" s="1192"/>
      <c r="F16" s="1192"/>
      <c r="G16" s="1192"/>
      <c r="H16" s="1192"/>
      <c r="I16" s="1192"/>
      <c r="J16" s="1192"/>
      <c r="K16" s="1192"/>
      <c r="L16" s="1192"/>
      <c r="M16" s="1192"/>
      <c r="N16" s="1192"/>
      <c r="O16" s="1192"/>
      <c r="P16" s="1192"/>
    </row>
    <row r="17" spans="1:16">
      <c r="A17" s="1192"/>
      <c r="B17" s="1192"/>
      <c r="C17" s="1192"/>
      <c r="D17" s="1192"/>
      <c r="E17" s="1192"/>
      <c r="F17" s="1192"/>
      <c r="G17" s="1192"/>
      <c r="H17" s="1192"/>
      <c r="I17" s="1192"/>
      <c r="J17" s="1192"/>
      <c r="K17" s="1192"/>
      <c r="L17" s="1192"/>
      <c r="M17" s="1192"/>
      <c r="N17" s="1192"/>
      <c r="O17" s="1192"/>
      <c r="P17" s="1192"/>
    </row>
    <row r="18" spans="1:16">
      <c r="A18" s="1192"/>
      <c r="B18" s="1192"/>
      <c r="C18" s="1192"/>
      <c r="D18" s="1192"/>
      <c r="E18" s="1192"/>
      <c r="F18" s="1192"/>
      <c r="G18" s="1192"/>
      <c r="H18" s="1192"/>
      <c r="I18" s="1192"/>
      <c r="J18" s="1192"/>
      <c r="K18" s="1192"/>
      <c r="L18" s="1192"/>
      <c r="M18" s="1192"/>
      <c r="N18" s="1192"/>
      <c r="O18" s="1192"/>
      <c r="P18" s="1192"/>
    </row>
    <row r="19" spans="1:16">
      <c r="A19" s="1192"/>
      <c r="B19" s="1192"/>
      <c r="C19" s="1192"/>
      <c r="D19" s="1192"/>
      <c r="E19" s="1192"/>
      <c r="F19" s="1192"/>
      <c r="G19" s="1192"/>
      <c r="H19" s="1192"/>
      <c r="I19" s="1192"/>
      <c r="J19" s="1192"/>
      <c r="K19" s="1192"/>
      <c r="L19" s="1192"/>
      <c r="M19" s="1192"/>
      <c r="N19" s="1192"/>
      <c r="O19" s="1192"/>
      <c r="P19" s="1192"/>
    </row>
    <row r="20" spans="1:16">
      <c r="A20" s="1192"/>
      <c r="B20" s="1192"/>
      <c r="C20" s="1192"/>
      <c r="D20" s="1192"/>
      <c r="E20" s="1192"/>
      <c r="F20" s="1192"/>
      <c r="G20" s="1192"/>
      <c r="H20" s="1192"/>
      <c r="I20" s="1192"/>
      <c r="J20" s="1192"/>
      <c r="K20" s="1192"/>
      <c r="L20" s="1192"/>
      <c r="M20" s="1192"/>
      <c r="N20" s="1192"/>
      <c r="O20" s="1192"/>
      <c r="P20" s="1192"/>
    </row>
    <row r="21" spans="1:16">
      <c r="A21" s="1192"/>
      <c r="B21" s="1192"/>
      <c r="C21" s="1192"/>
      <c r="D21" s="1192"/>
      <c r="E21" s="1192"/>
      <c r="F21" s="1192"/>
      <c r="G21" s="1192"/>
      <c r="H21" s="1192"/>
      <c r="I21" s="1192"/>
      <c r="J21" s="1192"/>
      <c r="K21" s="1192"/>
      <c r="L21" s="1192"/>
      <c r="M21" s="1192"/>
      <c r="N21" s="1192"/>
      <c r="O21" s="1192"/>
      <c r="P21" s="1192"/>
    </row>
    <row r="22" spans="1:16">
      <c r="A22" s="1192"/>
      <c r="B22" s="1192"/>
      <c r="C22" s="1192"/>
      <c r="D22" s="1192"/>
      <c r="E22" s="1192"/>
      <c r="F22" s="1192"/>
      <c r="G22" s="1192"/>
      <c r="H22" s="1192"/>
      <c r="I22" s="1192"/>
      <c r="J22" s="1192"/>
      <c r="K22" s="1192"/>
      <c r="L22" s="1192"/>
      <c r="M22" s="1192"/>
      <c r="N22" s="1192"/>
      <c r="O22" s="1192"/>
      <c r="P22" s="1192"/>
    </row>
    <row r="23" spans="1:16">
      <c r="A23" s="1192"/>
      <c r="B23" s="1192"/>
      <c r="C23" s="1192"/>
      <c r="D23" s="1192"/>
      <c r="E23" s="1192"/>
      <c r="F23" s="1192"/>
      <c r="G23" s="1192"/>
      <c r="H23" s="1192"/>
      <c r="I23" s="1192"/>
      <c r="J23" s="1192"/>
      <c r="K23" s="1192"/>
      <c r="L23" s="1192"/>
      <c r="M23" s="1192"/>
      <c r="N23" s="1192"/>
      <c r="O23" s="1192"/>
      <c r="P23" s="1192"/>
    </row>
    <row r="24" spans="1:16">
      <c r="A24" s="1192"/>
      <c r="B24" s="1192"/>
      <c r="C24" s="1192"/>
      <c r="D24" s="1192"/>
      <c r="E24" s="1192"/>
      <c r="F24" s="1192"/>
      <c r="G24" s="1192"/>
      <c r="H24" s="1192"/>
      <c r="I24" s="1192"/>
      <c r="J24" s="1192"/>
      <c r="K24" s="1192"/>
      <c r="L24" s="1192"/>
      <c r="M24" s="1192"/>
      <c r="N24" s="1192"/>
      <c r="O24" s="1192"/>
      <c r="P24" s="1192"/>
    </row>
    <row r="25" spans="1:16">
      <c r="A25" s="1192"/>
      <c r="B25" s="1192"/>
      <c r="C25" s="1192"/>
      <c r="D25" s="1192"/>
      <c r="E25" s="1192"/>
      <c r="F25" s="1192"/>
      <c r="G25" s="1192"/>
      <c r="H25" s="1192"/>
      <c r="I25" s="1192"/>
      <c r="J25" s="1192"/>
      <c r="K25" s="1192"/>
      <c r="L25" s="1192"/>
      <c r="M25" s="1192"/>
      <c r="N25" s="1192"/>
      <c r="O25" s="1192"/>
      <c r="P25" s="1192"/>
    </row>
    <row r="26" spans="1:16">
      <c r="A26" s="1192"/>
      <c r="B26" s="1192"/>
      <c r="C26" s="1192"/>
      <c r="D26" s="1192"/>
      <c r="E26" s="1192"/>
      <c r="F26" s="1192"/>
      <c r="G26" s="1192"/>
      <c r="H26" s="1192"/>
      <c r="I26" s="1192"/>
      <c r="J26" s="1192"/>
      <c r="K26" s="1192"/>
      <c r="L26" s="1192"/>
      <c r="M26" s="1192"/>
      <c r="N26" s="1192"/>
      <c r="O26" s="1192"/>
      <c r="P26" s="1192"/>
    </row>
    <row r="27" spans="1:16">
      <c r="A27" s="1192"/>
      <c r="B27" s="1192"/>
      <c r="C27" s="1192"/>
      <c r="D27" s="1192"/>
      <c r="E27" s="1192"/>
      <c r="F27" s="1192"/>
      <c r="G27" s="1192"/>
      <c r="H27" s="1192"/>
      <c r="I27" s="1192"/>
      <c r="J27" s="1192"/>
      <c r="K27" s="1192"/>
      <c r="L27" s="1192"/>
      <c r="M27" s="1192"/>
      <c r="N27" s="1192"/>
      <c r="O27" s="1192"/>
      <c r="P27" s="1192"/>
    </row>
    <row r="28" spans="1:16">
      <c r="A28" s="1192"/>
      <c r="B28" s="1192"/>
      <c r="C28" s="1192"/>
      <c r="D28" s="1192"/>
      <c r="E28" s="1192"/>
      <c r="F28" s="1192"/>
      <c r="G28" s="1192"/>
      <c r="H28" s="1192"/>
      <c r="I28" s="1192"/>
      <c r="J28" s="1192"/>
      <c r="K28" s="1192"/>
      <c r="L28" s="1192"/>
      <c r="M28" s="1192"/>
      <c r="N28" s="1192"/>
      <c r="O28" s="1192"/>
      <c r="P28" s="1192"/>
    </row>
    <row r="29" spans="1:16">
      <c r="A29" s="1192"/>
      <c r="B29" s="1192"/>
      <c r="C29" s="1192"/>
      <c r="D29" s="1192"/>
      <c r="E29" s="1192"/>
      <c r="F29" s="1192"/>
      <c r="G29" s="1192"/>
      <c r="H29" s="1192"/>
      <c r="I29" s="1192"/>
      <c r="J29" s="1192"/>
      <c r="K29" s="1192"/>
      <c r="L29" s="1192"/>
      <c r="M29" s="1192"/>
      <c r="N29" s="1192"/>
      <c r="O29" s="1192"/>
      <c r="P29" s="1192"/>
    </row>
    <row r="30" spans="1:16">
      <c r="A30" s="1192"/>
      <c r="B30" s="1192"/>
      <c r="C30" s="1192"/>
      <c r="D30" s="1192"/>
      <c r="E30" s="1192"/>
      <c r="F30" s="1192"/>
      <c r="G30" s="1192"/>
      <c r="H30" s="1192"/>
      <c r="I30" s="1192"/>
      <c r="J30" s="1192"/>
      <c r="K30" s="1192"/>
      <c r="L30" s="1192"/>
      <c r="M30" s="1192"/>
      <c r="N30" s="1192"/>
      <c r="O30" s="1192"/>
      <c r="P30" s="1192"/>
    </row>
    <row r="31" spans="1:16">
      <c r="A31" s="1192"/>
      <c r="B31" s="1192"/>
      <c r="C31" s="1192"/>
      <c r="D31" s="1192"/>
      <c r="E31" s="1192"/>
      <c r="F31" s="1192"/>
      <c r="G31" s="1192"/>
      <c r="H31" s="1192"/>
      <c r="I31" s="1192"/>
      <c r="J31" s="1192"/>
      <c r="K31" s="1192"/>
      <c r="L31" s="1192"/>
      <c r="M31" s="1192"/>
      <c r="N31" s="1192"/>
      <c r="O31" s="1192"/>
      <c r="P31" s="1192"/>
    </row>
    <row r="32" spans="1:16">
      <c r="A32" s="1192"/>
      <c r="B32" s="1192"/>
      <c r="C32" s="1192"/>
      <c r="D32" s="1192"/>
      <c r="E32" s="1192"/>
      <c r="F32" s="1192"/>
      <c r="G32" s="1192"/>
      <c r="H32" s="1192"/>
      <c r="I32" s="1192"/>
      <c r="J32" s="1192"/>
      <c r="K32" s="1192"/>
      <c r="L32" s="1192"/>
      <c r="M32" s="1192"/>
      <c r="N32" s="1192"/>
      <c r="O32" s="1192"/>
      <c r="P32" s="1192"/>
    </row>
    <row r="33" spans="1:16">
      <c r="A33" s="1192"/>
      <c r="B33" s="1192"/>
      <c r="C33" s="1192"/>
      <c r="D33" s="1192"/>
      <c r="E33" s="1192"/>
      <c r="F33" s="1192"/>
      <c r="G33" s="1192"/>
      <c r="H33" s="1192"/>
      <c r="I33" s="1192"/>
      <c r="J33" s="1192"/>
      <c r="K33" s="1192"/>
      <c r="L33" s="1192"/>
      <c r="M33" s="1192"/>
      <c r="N33" s="1192"/>
      <c r="O33" s="1192"/>
      <c r="P33" s="1192"/>
    </row>
    <row r="34" spans="1:16">
      <c r="A34" s="1192"/>
      <c r="B34" s="1192"/>
      <c r="C34" s="1192"/>
      <c r="D34" s="1192"/>
      <c r="E34" s="1192"/>
      <c r="F34" s="1192"/>
      <c r="G34" s="1192"/>
      <c r="H34" s="1192"/>
      <c r="I34" s="1192"/>
      <c r="J34" s="1192"/>
      <c r="K34" s="1192"/>
      <c r="L34" s="1192"/>
      <c r="M34" s="1192"/>
      <c r="N34" s="1192"/>
      <c r="O34" s="1192"/>
      <c r="P34" s="1192"/>
    </row>
    <row r="35" spans="1:16">
      <c r="A35" s="1192"/>
      <c r="B35" s="1192"/>
      <c r="C35" s="1192"/>
      <c r="D35" s="1192"/>
      <c r="E35" s="1192"/>
      <c r="F35" s="1192"/>
      <c r="G35" s="1192"/>
      <c r="H35" s="1192"/>
      <c r="I35" s="1192"/>
      <c r="J35" s="1192"/>
      <c r="K35" s="1192"/>
      <c r="L35" s="1192"/>
      <c r="M35" s="1192"/>
      <c r="N35" s="1192"/>
      <c r="O35" s="1192"/>
      <c r="P35" s="1192"/>
    </row>
    <row r="36" spans="1:16">
      <c r="A36" s="1192"/>
      <c r="B36" s="1192"/>
      <c r="C36" s="1192"/>
      <c r="D36" s="1192"/>
      <c r="E36" s="1192"/>
      <c r="F36" s="1192"/>
      <c r="G36" s="1192"/>
      <c r="H36" s="1192"/>
      <c r="I36" s="1192"/>
      <c r="J36" s="1192"/>
      <c r="K36" s="1192"/>
      <c r="L36" s="1192"/>
      <c r="M36" s="1192"/>
      <c r="N36" s="1192"/>
      <c r="O36" s="1192"/>
      <c r="P36" s="1192"/>
    </row>
    <row r="37" spans="1:16">
      <c r="A37" s="1192"/>
      <c r="B37" s="1192"/>
      <c r="C37" s="1192"/>
      <c r="D37" s="1192"/>
      <c r="E37" s="1192"/>
      <c r="F37" s="1192"/>
      <c r="G37" s="1192"/>
      <c r="H37" s="1192"/>
      <c r="I37" s="1192"/>
      <c r="J37" s="1192"/>
      <c r="K37" s="1192"/>
      <c r="L37" s="1192"/>
      <c r="M37" s="1192"/>
      <c r="N37" s="1192"/>
      <c r="O37" s="1192"/>
      <c r="P37" s="1192"/>
    </row>
    <row r="38" spans="1:16">
      <c r="A38" s="1192"/>
      <c r="B38" s="1192"/>
      <c r="C38" s="1192"/>
      <c r="D38" s="1192"/>
      <c r="E38" s="1192"/>
      <c r="F38" s="1192"/>
      <c r="G38" s="1192"/>
      <c r="H38" s="1192"/>
      <c r="I38" s="1192"/>
      <c r="J38" s="1192"/>
      <c r="K38" s="1192"/>
      <c r="L38" s="1192"/>
      <c r="M38" s="1192"/>
      <c r="N38" s="1192"/>
      <c r="O38" s="1192"/>
      <c r="P38" s="1192"/>
    </row>
    <row r="39" spans="1:16">
      <c r="A39" s="1192"/>
      <c r="B39" s="1192"/>
      <c r="C39" s="1192"/>
      <c r="D39" s="1192"/>
      <c r="E39" s="1192"/>
      <c r="F39" s="1192"/>
      <c r="G39" s="1192"/>
      <c r="H39" s="1192"/>
      <c r="I39" s="1192"/>
      <c r="J39" s="1192"/>
      <c r="K39" s="1192"/>
      <c r="L39" s="1192"/>
      <c r="M39" s="1192"/>
      <c r="N39" s="1192"/>
      <c r="O39" s="1192"/>
      <c r="P39" s="1192"/>
    </row>
    <row r="40" spans="1:16">
      <c r="A40" s="1192"/>
      <c r="B40" s="1192"/>
      <c r="C40" s="1192"/>
      <c r="D40" s="1192"/>
      <c r="E40" s="1192"/>
      <c r="F40" s="1192"/>
      <c r="G40" s="1192"/>
      <c r="H40" s="1192"/>
      <c r="I40" s="1192"/>
      <c r="J40" s="1192"/>
      <c r="K40" s="1192"/>
      <c r="L40" s="1192"/>
      <c r="M40" s="1192"/>
      <c r="N40" s="1192"/>
      <c r="O40" s="1192"/>
      <c r="P40" s="1192"/>
    </row>
    <row r="41" spans="1:16">
      <c r="A41" s="1192"/>
      <c r="B41" s="1192"/>
      <c r="C41" s="1192"/>
      <c r="D41" s="1192"/>
      <c r="E41" s="1192"/>
      <c r="F41" s="1192"/>
      <c r="G41" s="1192"/>
      <c r="H41" s="1192"/>
      <c r="I41" s="1192"/>
      <c r="J41" s="1192"/>
      <c r="K41" s="1192"/>
      <c r="L41" s="1192"/>
      <c r="M41" s="1192"/>
      <c r="N41" s="1192"/>
      <c r="O41" s="1192"/>
      <c r="P41" s="1192"/>
    </row>
    <row r="42" spans="1:16">
      <c r="A42" s="1192"/>
      <c r="B42" s="1192"/>
      <c r="C42" s="1192"/>
      <c r="D42" s="1192"/>
      <c r="E42" s="1192"/>
      <c r="F42" s="1192"/>
      <c r="G42" s="1192"/>
      <c r="H42" s="1192"/>
      <c r="I42" s="1192"/>
      <c r="J42" s="1192"/>
      <c r="K42" s="1192"/>
      <c r="L42" s="1192"/>
      <c r="M42" s="1192"/>
      <c r="N42" s="1192"/>
      <c r="O42" s="1192"/>
      <c r="P42" s="1192"/>
    </row>
    <row r="43" spans="1:16">
      <c r="A43" s="1192"/>
      <c r="B43" s="1192"/>
      <c r="C43" s="1192"/>
      <c r="D43" s="1192"/>
      <c r="E43" s="1192"/>
      <c r="F43" s="1192"/>
      <c r="G43" s="1192"/>
      <c r="H43" s="1192"/>
      <c r="I43" s="1192"/>
      <c r="J43" s="1192"/>
      <c r="K43" s="1192"/>
      <c r="L43" s="1192"/>
      <c r="M43" s="1192"/>
      <c r="N43" s="1192"/>
      <c r="O43" s="1192"/>
      <c r="P43" s="1192"/>
    </row>
    <row r="44" spans="1:16">
      <c r="A44" s="1192"/>
      <c r="B44" s="1192"/>
      <c r="C44" s="1192"/>
      <c r="D44" s="1192"/>
      <c r="E44" s="1192"/>
      <c r="F44" s="1192"/>
      <c r="G44" s="1192"/>
      <c r="H44" s="1192"/>
      <c r="I44" s="1192"/>
      <c r="J44" s="1192"/>
      <c r="K44" s="1192"/>
      <c r="L44" s="1192"/>
      <c r="M44" s="1192"/>
      <c r="N44" s="1192"/>
      <c r="O44" s="1192"/>
      <c r="P44" s="1192"/>
    </row>
    <row r="45" spans="1:16">
      <c r="A45" s="1192"/>
      <c r="B45" s="1192"/>
      <c r="C45" s="1192"/>
      <c r="D45" s="1192"/>
      <c r="E45" s="1192"/>
      <c r="F45" s="1192"/>
      <c r="G45" s="1192"/>
      <c r="H45" s="1192"/>
      <c r="I45" s="1192"/>
      <c r="J45" s="1192"/>
      <c r="K45" s="1192"/>
      <c r="L45" s="1192"/>
      <c r="M45" s="1192"/>
      <c r="N45" s="1192"/>
      <c r="O45" s="1192"/>
      <c r="P45" s="1192"/>
    </row>
  </sheetData>
  <sheetProtection algorithmName="SHA-512" hashValue="L9FVxvRHGjux/DrV7Nmpaih7N0gL9cie9CzoBX6TvkjTJ1YAS1gQFkl4MP+ex/LUjRJZZJCqEKXxJgZB7UkSTA==" saltValue="ld7gizpJ3b+kYkFziix4Lg==" spinCount="100000" sheet="1" objects="1" scenarios="1"/>
  <pageMargins left="0.7" right="0.7" top="0.75" bottom="0.75" header="0.3" footer="0.3"/>
  <pageSetup paperSize="9" scale="41" orientation="portrait" r:id="rId1"/>
  <colBreaks count="1" manualBreakCount="1">
    <brk id="16" max="44"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6AE6A-FAAD-49F6-A9E9-DED87AE8DF4F}">
  <sheetPr codeName="Feuil15"/>
  <dimension ref="A1:J2943"/>
  <sheetViews>
    <sheetView showRowColHeaders="0" workbookViewId="0">
      <selection activeCell="J5" sqref="J5"/>
    </sheetView>
  </sheetViews>
  <sheetFormatPr baseColWidth="10" defaultColWidth="9.1796875" defaultRowHeight="12.5"/>
  <cols>
    <col min="1" max="1" width="15.08984375" style="1180" customWidth="1"/>
    <col min="2" max="2" width="17.36328125" style="1180" customWidth="1"/>
    <col min="3" max="9" width="11.453125" style="1180" customWidth="1"/>
    <col min="10" max="10" width="7.54296875" style="1180" customWidth="1"/>
    <col min="11" max="12" width="11.453125" style="1180" customWidth="1"/>
    <col min="13" max="13" width="9.81640625" style="1180" bestFit="1" customWidth="1"/>
    <col min="14" max="256" width="11.453125" style="1180" customWidth="1"/>
    <col min="257" max="16384" width="9.1796875" style="1180"/>
  </cols>
  <sheetData>
    <row r="1" spans="1:6" ht="15">
      <c r="A1" s="1673" t="s">
        <v>568</v>
      </c>
      <c r="B1" s="1673"/>
      <c r="E1" s="1181" t="s">
        <v>629</v>
      </c>
    </row>
    <row r="2" spans="1:6" ht="15.5">
      <c r="A2" s="1182"/>
      <c r="B2" s="1182"/>
    </row>
    <row r="3" spans="1:6" ht="15.5">
      <c r="A3" s="1183">
        <v>-35</v>
      </c>
      <c r="B3" s="1184">
        <v>0.68389999999999995</v>
      </c>
      <c r="E3" s="1185">
        <v>-50</v>
      </c>
      <c r="F3" s="1186">
        <v>0.99785699999999999</v>
      </c>
    </row>
    <row r="4" spans="1:6" ht="15.5">
      <c r="A4" s="1183">
        <v>-34.9</v>
      </c>
      <c r="B4" s="1184">
        <v>0.68379999999999996</v>
      </c>
      <c r="E4" s="1185">
        <f>E3+1</f>
        <v>-49</v>
      </c>
      <c r="F4" s="1186">
        <v>0.99788900000000003</v>
      </c>
    </row>
    <row r="5" spans="1:6" ht="15.5">
      <c r="A5" s="1183">
        <v>-34.799999999999997</v>
      </c>
      <c r="B5" s="1184">
        <v>0.68359999999999999</v>
      </c>
      <c r="E5" s="1185">
        <f t="shared" ref="E5:E68" si="0">E4+1</f>
        <v>-48</v>
      </c>
      <c r="F5" s="1186">
        <v>0.99792199999999998</v>
      </c>
    </row>
    <row r="6" spans="1:6" ht="15.5">
      <c r="A6" s="1183">
        <v>-34.700000000000003</v>
      </c>
      <c r="B6" s="1184">
        <v>0.6835</v>
      </c>
      <c r="E6" s="1185">
        <f t="shared" si="0"/>
        <v>-47</v>
      </c>
      <c r="F6" s="1186">
        <v>0.99795500000000004</v>
      </c>
    </row>
    <row r="7" spans="1:6" ht="15.5">
      <c r="A7" s="1183">
        <v>-34.6</v>
      </c>
      <c r="B7" s="1184">
        <v>0.68330000000000002</v>
      </c>
      <c r="E7" s="1185">
        <f t="shared" si="0"/>
        <v>-46</v>
      </c>
      <c r="F7" s="1186">
        <v>0.99798799999999999</v>
      </c>
    </row>
    <row r="8" spans="1:6" ht="15.5">
      <c r="A8" s="1183">
        <v>-34.5</v>
      </c>
      <c r="B8" s="1184">
        <v>0.68320000000000003</v>
      </c>
      <c r="E8" s="1185">
        <f t="shared" si="0"/>
        <v>-45</v>
      </c>
      <c r="F8" s="1186">
        <v>0.99802100000000005</v>
      </c>
    </row>
    <row r="9" spans="1:6" ht="15.5">
      <c r="A9" s="1183">
        <v>-34.4</v>
      </c>
      <c r="B9" s="1184">
        <v>0.68310000000000004</v>
      </c>
      <c r="E9" s="1185">
        <f t="shared" si="0"/>
        <v>-44</v>
      </c>
      <c r="F9" s="1186">
        <v>0.998054</v>
      </c>
    </row>
    <row r="10" spans="1:6" ht="15.5">
      <c r="A10" s="1183">
        <v>-34.299999999999997</v>
      </c>
      <c r="B10" s="1184">
        <v>0.68300000000000005</v>
      </c>
      <c r="E10" s="1185">
        <f t="shared" si="0"/>
        <v>-43</v>
      </c>
      <c r="F10" s="1186">
        <v>0.99808699999999995</v>
      </c>
    </row>
    <row r="11" spans="1:6" ht="15.5">
      <c r="A11" s="1183">
        <v>-34.200000000000003</v>
      </c>
      <c r="B11" s="1184">
        <v>0.68279999999999996</v>
      </c>
      <c r="E11" s="1185">
        <f t="shared" si="0"/>
        <v>-42</v>
      </c>
      <c r="F11" s="1186">
        <v>0.99812000000000001</v>
      </c>
    </row>
    <row r="12" spans="1:6" ht="15.5">
      <c r="A12" s="1183">
        <v>-34.1</v>
      </c>
      <c r="B12" s="1184">
        <v>0.68269999999999997</v>
      </c>
      <c r="E12" s="1185">
        <f t="shared" si="0"/>
        <v>-41</v>
      </c>
      <c r="F12" s="1186">
        <v>0.99815299999999996</v>
      </c>
    </row>
    <row r="13" spans="1:6" ht="15.5">
      <c r="A13" s="1183">
        <v>-34</v>
      </c>
      <c r="B13" s="1184">
        <v>0.68259999999999998</v>
      </c>
      <c r="E13" s="1185">
        <f t="shared" si="0"/>
        <v>-40</v>
      </c>
      <c r="F13" s="1186">
        <v>0.99818600000000002</v>
      </c>
    </row>
    <row r="14" spans="1:6" ht="15.5">
      <c r="A14" s="1183">
        <v>-33.9</v>
      </c>
      <c r="B14" s="1184">
        <v>0.6825</v>
      </c>
      <c r="E14" s="1185">
        <f t="shared" si="0"/>
        <v>-39</v>
      </c>
      <c r="F14" s="1186">
        <v>0.99821899999999997</v>
      </c>
    </row>
    <row r="15" spans="1:6" ht="15.5">
      <c r="A15" s="1183">
        <v>-33.799999999999997</v>
      </c>
      <c r="B15" s="1184">
        <v>0.68240000000000001</v>
      </c>
      <c r="E15" s="1185">
        <f t="shared" si="0"/>
        <v>-38</v>
      </c>
      <c r="F15" s="1186">
        <v>0.99825200000000003</v>
      </c>
    </row>
    <row r="16" spans="1:6" ht="15.5">
      <c r="A16" s="1183">
        <v>-33.700000000000003</v>
      </c>
      <c r="B16" s="1184">
        <v>0.68220000000000003</v>
      </c>
      <c r="E16" s="1185">
        <f t="shared" si="0"/>
        <v>-37</v>
      </c>
      <c r="F16" s="1186">
        <v>0.99828499999999998</v>
      </c>
    </row>
    <row r="17" spans="1:6" ht="15.5">
      <c r="A17" s="1183">
        <v>-33.6</v>
      </c>
      <c r="B17" s="1184">
        <v>0.68210000000000004</v>
      </c>
      <c r="E17" s="1185">
        <f t="shared" si="0"/>
        <v>-36</v>
      </c>
      <c r="F17" s="1186">
        <v>0.99831800000000004</v>
      </c>
    </row>
    <row r="18" spans="1:6" ht="15.5">
      <c r="A18" s="1183">
        <v>-33.5</v>
      </c>
      <c r="B18" s="1184">
        <v>0.68200000000000005</v>
      </c>
      <c r="E18" s="1185">
        <f t="shared" si="0"/>
        <v>-35</v>
      </c>
      <c r="F18" s="1186">
        <v>0.99835099999999999</v>
      </c>
    </row>
    <row r="19" spans="1:6" ht="15.5">
      <c r="A19" s="1183">
        <v>-33.4</v>
      </c>
      <c r="B19" s="1184">
        <v>0.68189999999999995</v>
      </c>
      <c r="E19" s="1185">
        <f t="shared" si="0"/>
        <v>-34</v>
      </c>
      <c r="F19" s="1186">
        <v>0.99838400000000005</v>
      </c>
    </row>
    <row r="20" spans="1:6" ht="15.5">
      <c r="A20" s="1183">
        <v>-33.299999999999997</v>
      </c>
      <c r="B20" s="1184">
        <v>0.68179999999999996</v>
      </c>
      <c r="E20" s="1185">
        <f t="shared" si="0"/>
        <v>-33</v>
      </c>
      <c r="F20" s="1186">
        <v>0.998417</v>
      </c>
    </row>
    <row r="21" spans="1:6" ht="15.5">
      <c r="A21" s="1183">
        <v>-33.200000000000003</v>
      </c>
      <c r="B21" s="1184">
        <v>0.68159999999999998</v>
      </c>
      <c r="E21" s="1185">
        <f t="shared" si="0"/>
        <v>-32</v>
      </c>
      <c r="F21" s="1186">
        <v>0.99844999999999995</v>
      </c>
    </row>
    <row r="22" spans="1:6" ht="15.5">
      <c r="A22" s="1183">
        <v>-33.1</v>
      </c>
      <c r="B22" s="1184">
        <v>0.68149999999999999</v>
      </c>
      <c r="E22" s="1185">
        <f t="shared" si="0"/>
        <v>-31</v>
      </c>
      <c r="F22" s="1186">
        <v>0.99848300000000001</v>
      </c>
    </row>
    <row r="23" spans="1:6" ht="15.5">
      <c r="A23" s="1183">
        <v>-33</v>
      </c>
      <c r="B23" s="1184">
        <v>0.68140000000000001</v>
      </c>
      <c r="E23" s="1185">
        <f t="shared" si="0"/>
        <v>-30</v>
      </c>
      <c r="F23" s="1186">
        <v>0.99851599999999996</v>
      </c>
    </row>
    <row r="24" spans="1:6" ht="15.5">
      <c r="A24" s="1183">
        <v>-32.9</v>
      </c>
      <c r="B24" s="1184">
        <v>0.68130000000000002</v>
      </c>
      <c r="E24" s="1185">
        <f t="shared" si="0"/>
        <v>-29</v>
      </c>
      <c r="F24" s="1186">
        <v>0.99854900000000002</v>
      </c>
    </row>
    <row r="25" spans="1:6" ht="15.5">
      <c r="A25" s="1183">
        <v>-32.799999999999997</v>
      </c>
      <c r="B25" s="1184">
        <v>0.68120000000000003</v>
      </c>
      <c r="E25" s="1185">
        <f t="shared" si="0"/>
        <v>-28</v>
      </c>
      <c r="F25" s="1186">
        <v>0.99858199999999997</v>
      </c>
    </row>
    <row r="26" spans="1:6" ht="15.5">
      <c r="A26" s="1183">
        <v>-32.700000000000003</v>
      </c>
      <c r="B26" s="1184">
        <v>0.68100000000000005</v>
      </c>
      <c r="E26" s="1185">
        <f t="shared" si="0"/>
        <v>-27</v>
      </c>
      <c r="F26" s="1186">
        <v>0.99861500000000003</v>
      </c>
    </row>
    <row r="27" spans="1:6" ht="15.5">
      <c r="A27" s="1183">
        <v>-32.6</v>
      </c>
      <c r="B27" s="1184">
        <v>0.68089999999999995</v>
      </c>
      <c r="E27" s="1185">
        <f t="shared" si="0"/>
        <v>-26</v>
      </c>
      <c r="F27" s="1186">
        <v>0.99864799999999998</v>
      </c>
    </row>
    <row r="28" spans="1:6" ht="15.5">
      <c r="A28" s="1183">
        <v>-32.5</v>
      </c>
      <c r="B28" s="1184">
        <v>0.68079999999999996</v>
      </c>
      <c r="E28" s="1185">
        <f t="shared" si="0"/>
        <v>-25</v>
      </c>
      <c r="F28" s="1186">
        <v>0.99868100000000004</v>
      </c>
    </row>
    <row r="29" spans="1:6" ht="15.5">
      <c r="A29" s="1183">
        <v>-32.4</v>
      </c>
      <c r="B29" s="1184">
        <v>0.68069999999999997</v>
      </c>
      <c r="E29" s="1185">
        <f t="shared" si="0"/>
        <v>-24</v>
      </c>
      <c r="F29" s="1186">
        <v>0.99871399999999999</v>
      </c>
    </row>
    <row r="30" spans="1:6" ht="15.5">
      <c r="A30" s="1183">
        <v>-32.299999999999997</v>
      </c>
      <c r="B30" s="1184">
        <v>0.68049999999999999</v>
      </c>
      <c r="E30" s="1185">
        <f t="shared" si="0"/>
        <v>-23</v>
      </c>
      <c r="F30" s="1186">
        <v>0.99874700000000005</v>
      </c>
    </row>
    <row r="31" spans="1:6" ht="15.5">
      <c r="A31" s="1183">
        <v>-32.200000000000003</v>
      </c>
      <c r="B31" s="1184">
        <v>0.6804</v>
      </c>
      <c r="E31" s="1185">
        <f t="shared" si="0"/>
        <v>-22</v>
      </c>
      <c r="F31" s="1186">
        <v>0.99877899999999997</v>
      </c>
    </row>
    <row r="32" spans="1:6" ht="15.5">
      <c r="A32" s="1183">
        <v>-32.1</v>
      </c>
      <c r="B32" s="1184">
        <v>0.68020000000000003</v>
      </c>
      <c r="E32" s="1185">
        <f t="shared" si="0"/>
        <v>-21</v>
      </c>
      <c r="F32" s="1186">
        <v>0.99881200000000003</v>
      </c>
    </row>
    <row r="33" spans="1:10" ht="15.5">
      <c r="A33" s="1183">
        <v>-32</v>
      </c>
      <c r="B33" s="1184">
        <v>0.68010000000000004</v>
      </c>
      <c r="E33" s="1185">
        <f t="shared" si="0"/>
        <v>-20</v>
      </c>
      <c r="F33" s="1186">
        <v>0.99884499999999998</v>
      </c>
    </row>
    <row r="34" spans="1:10" ht="15.5">
      <c r="A34" s="1183">
        <v>-31.9</v>
      </c>
      <c r="B34" s="1184">
        <v>0.68</v>
      </c>
      <c r="E34" s="1185">
        <f t="shared" si="0"/>
        <v>-19</v>
      </c>
      <c r="F34" s="1186">
        <v>0.99887800000000004</v>
      </c>
    </row>
    <row r="35" spans="1:10" ht="15.5">
      <c r="A35" s="1183">
        <v>-31.8</v>
      </c>
      <c r="B35" s="1184">
        <v>0.67989999999999995</v>
      </c>
      <c r="E35" s="1185">
        <f t="shared" si="0"/>
        <v>-18</v>
      </c>
      <c r="F35" s="1186">
        <v>0.99891099999999999</v>
      </c>
    </row>
    <row r="36" spans="1:10" ht="15.5">
      <c r="A36" s="1183">
        <v>-31.7</v>
      </c>
      <c r="B36" s="1184">
        <v>0.67969999999999997</v>
      </c>
      <c r="E36" s="1185">
        <f t="shared" si="0"/>
        <v>-17</v>
      </c>
      <c r="F36" s="1186">
        <v>0.99894400000000005</v>
      </c>
    </row>
    <row r="37" spans="1:10" ht="15.5">
      <c r="A37" s="1183">
        <v>-31.6</v>
      </c>
      <c r="B37" s="1184">
        <v>0.67959999999999998</v>
      </c>
      <c r="E37" s="1185">
        <f t="shared" si="0"/>
        <v>-16</v>
      </c>
      <c r="F37" s="1186">
        <v>0.998977</v>
      </c>
      <c r="I37" s="1187"/>
    </row>
    <row r="38" spans="1:10" ht="15.5">
      <c r="A38" s="1183">
        <v>-31.5</v>
      </c>
      <c r="B38" s="1184">
        <v>0.67949999999999999</v>
      </c>
      <c r="E38" s="1185">
        <f t="shared" si="0"/>
        <v>-15</v>
      </c>
      <c r="F38" s="1186">
        <v>0.99900999999999995</v>
      </c>
      <c r="I38" s="1187"/>
    </row>
    <row r="39" spans="1:10" ht="15.5">
      <c r="A39" s="1183">
        <v>-31.4</v>
      </c>
      <c r="B39" s="1184">
        <v>0.6794</v>
      </c>
      <c r="E39" s="1185">
        <f t="shared" si="0"/>
        <v>-14</v>
      </c>
      <c r="F39" s="1186">
        <v>0.99904300000000001</v>
      </c>
      <c r="I39" s="1187"/>
    </row>
    <row r="40" spans="1:10" ht="15.5">
      <c r="A40" s="1183">
        <v>-31.3</v>
      </c>
      <c r="B40" s="1184">
        <v>0.67930000000000001</v>
      </c>
      <c r="E40" s="1185">
        <f t="shared" si="0"/>
        <v>-13</v>
      </c>
      <c r="F40" s="1186">
        <v>0.99907599999999996</v>
      </c>
      <c r="I40" s="1187"/>
    </row>
    <row r="41" spans="1:10" ht="15.5">
      <c r="A41" s="1183">
        <v>-31.2</v>
      </c>
      <c r="B41" s="1184">
        <v>0.67910000000000004</v>
      </c>
      <c r="E41" s="1185">
        <f t="shared" si="0"/>
        <v>-12</v>
      </c>
      <c r="F41" s="1186">
        <v>0.99910900000000002</v>
      </c>
      <c r="I41" s="1187"/>
    </row>
    <row r="42" spans="1:10" ht="15.5">
      <c r="A42" s="1183">
        <v>-31.1</v>
      </c>
      <c r="B42" s="1184">
        <v>0.67900000000000005</v>
      </c>
      <c r="E42" s="1185">
        <f t="shared" si="0"/>
        <v>-11</v>
      </c>
      <c r="F42" s="1186">
        <v>0.99914199999999997</v>
      </c>
      <c r="I42" s="1187"/>
      <c r="J42" s="1188"/>
    </row>
    <row r="43" spans="1:10" ht="15.5">
      <c r="A43" s="1183">
        <v>-31</v>
      </c>
      <c r="B43" s="1184">
        <v>0.67889999999999995</v>
      </c>
      <c r="E43" s="1185">
        <f t="shared" si="0"/>
        <v>-10</v>
      </c>
      <c r="F43" s="1186">
        <v>0.99917500000000004</v>
      </c>
      <c r="I43" s="1187"/>
    </row>
    <row r="44" spans="1:10" ht="15.5">
      <c r="A44" s="1183">
        <v>-30.9</v>
      </c>
      <c r="B44" s="1184">
        <v>0.67879999999999996</v>
      </c>
      <c r="E44" s="1185">
        <f t="shared" si="0"/>
        <v>-9</v>
      </c>
      <c r="F44" s="1186">
        <v>0.99920799999999999</v>
      </c>
      <c r="I44" s="1187"/>
    </row>
    <row r="45" spans="1:10" ht="15.5">
      <c r="A45" s="1183">
        <v>-30.8</v>
      </c>
      <c r="B45" s="1184">
        <v>0.67869999999999997</v>
      </c>
      <c r="E45" s="1185">
        <f t="shared" si="0"/>
        <v>-8</v>
      </c>
      <c r="F45" s="1186">
        <v>0.99924100000000005</v>
      </c>
      <c r="I45" s="1187"/>
    </row>
    <row r="46" spans="1:10" ht="15.5">
      <c r="A46" s="1183">
        <v>-30.7</v>
      </c>
      <c r="B46" s="1184">
        <v>0.67849999999999999</v>
      </c>
      <c r="E46" s="1185">
        <f t="shared" si="0"/>
        <v>-7</v>
      </c>
      <c r="F46" s="1186">
        <v>0.999274</v>
      </c>
      <c r="I46" s="1187"/>
    </row>
    <row r="47" spans="1:10" ht="15.5">
      <c r="A47" s="1183">
        <v>-30.6</v>
      </c>
      <c r="B47" s="1184">
        <v>0.6784</v>
      </c>
      <c r="E47" s="1185">
        <f t="shared" si="0"/>
        <v>-6</v>
      </c>
      <c r="F47" s="1186">
        <v>0.99930699999999995</v>
      </c>
      <c r="I47" s="1187"/>
    </row>
    <row r="48" spans="1:10" ht="15.5">
      <c r="A48" s="1183">
        <v>-30.5</v>
      </c>
      <c r="B48" s="1184">
        <v>0.67830000000000001</v>
      </c>
      <c r="E48" s="1185">
        <f t="shared" si="0"/>
        <v>-5</v>
      </c>
      <c r="F48" s="1186">
        <v>0.99934000000000001</v>
      </c>
      <c r="I48" s="1187"/>
    </row>
    <row r="49" spans="1:9" ht="15.5">
      <c r="A49" s="1183">
        <v>-30.4</v>
      </c>
      <c r="B49" s="1184">
        <v>0.67820000000000003</v>
      </c>
      <c r="E49" s="1185">
        <f t="shared" si="0"/>
        <v>-4</v>
      </c>
      <c r="F49" s="1186">
        <v>0.99937299999999996</v>
      </c>
      <c r="I49" s="1187"/>
    </row>
    <row r="50" spans="1:9" ht="15.5">
      <c r="A50" s="1183">
        <v>-30.3</v>
      </c>
      <c r="B50" s="1184">
        <v>0.67810000000000004</v>
      </c>
      <c r="E50" s="1185">
        <f t="shared" si="0"/>
        <v>-3</v>
      </c>
      <c r="F50" s="1186">
        <v>0.99940600000000002</v>
      </c>
      <c r="I50" s="1187"/>
    </row>
    <row r="51" spans="1:9" ht="15.5">
      <c r="A51" s="1183">
        <v>-30.2</v>
      </c>
      <c r="B51" s="1184">
        <v>0.67789999999999995</v>
      </c>
      <c r="E51" s="1185">
        <f t="shared" si="0"/>
        <v>-2</v>
      </c>
      <c r="F51" s="1186">
        <v>0.99943899999999997</v>
      </c>
      <c r="I51" s="1187"/>
    </row>
    <row r="52" spans="1:9" ht="15.5">
      <c r="A52" s="1183">
        <v>-30.1</v>
      </c>
      <c r="B52" s="1184">
        <v>0.67779999999999996</v>
      </c>
      <c r="E52" s="1185">
        <f t="shared" si="0"/>
        <v>-1</v>
      </c>
      <c r="F52" s="1186">
        <v>0.99947200000000003</v>
      </c>
      <c r="I52" s="1187"/>
    </row>
    <row r="53" spans="1:9" ht="15.5">
      <c r="A53" s="1183">
        <v>-30</v>
      </c>
      <c r="B53" s="1184">
        <v>0.67769999999999997</v>
      </c>
      <c r="E53" s="1185">
        <f t="shared" si="0"/>
        <v>0</v>
      </c>
      <c r="F53" s="1186">
        <v>0.99950499999999998</v>
      </c>
      <c r="I53" s="1187"/>
    </row>
    <row r="54" spans="1:9" ht="15.5">
      <c r="A54" s="1183">
        <v>-29.9</v>
      </c>
      <c r="B54" s="1184">
        <v>0.67759999999999998</v>
      </c>
      <c r="E54" s="1185">
        <f t="shared" si="0"/>
        <v>1</v>
      </c>
      <c r="F54" s="1186">
        <v>0.99953800000000004</v>
      </c>
      <c r="I54" s="1187"/>
    </row>
    <row r="55" spans="1:9" ht="15.5">
      <c r="A55" s="1183">
        <v>-29.8</v>
      </c>
      <c r="B55" s="1184">
        <v>0.6774</v>
      </c>
      <c r="E55" s="1185">
        <f t="shared" si="0"/>
        <v>2</v>
      </c>
      <c r="F55" s="1186">
        <v>0.99957099999999999</v>
      </c>
      <c r="I55" s="1187"/>
    </row>
    <row r="56" spans="1:9" ht="15.5">
      <c r="A56" s="1183">
        <v>-29.7</v>
      </c>
      <c r="B56" s="1184">
        <v>0.67730000000000001</v>
      </c>
      <c r="E56" s="1185">
        <f t="shared" si="0"/>
        <v>3</v>
      </c>
      <c r="F56" s="1186">
        <v>0.99960400000000005</v>
      </c>
      <c r="I56" s="1187"/>
    </row>
    <row r="57" spans="1:9" ht="15.5">
      <c r="A57" s="1183">
        <v>-29.6</v>
      </c>
      <c r="B57" s="1184">
        <v>0.67710000000000004</v>
      </c>
      <c r="E57" s="1185">
        <f t="shared" si="0"/>
        <v>4</v>
      </c>
      <c r="F57" s="1186">
        <v>0.999637</v>
      </c>
      <c r="I57" s="1187"/>
    </row>
    <row r="58" spans="1:9" ht="15.5">
      <c r="A58" s="1183">
        <v>-29.5</v>
      </c>
      <c r="B58" s="1184">
        <v>0.67700000000000005</v>
      </c>
      <c r="E58" s="1185">
        <f t="shared" si="0"/>
        <v>5</v>
      </c>
      <c r="F58" s="1186">
        <v>0.99966999999999995</v>
      </c>
    </row>
    <row r="59" spans="1:9" ht="15.5">
      <c r="A59" s="1183">
        <v>-29.4</v>
      </c>
      <c r="B59" s="1184">
        <v>0.67689999999999995</v>
      </c>
      <c r="E59" s="1185">
        <f t="shared" si="0"/>
        <v>6</v>
      </c>
      <c r="F59" s="1186">
        <v>0.99970300000000001</v>
      </c>
    </row>
    <row r="60" spans="1:9" ht="15.5">
      <c r="A60" s="1183">
        <v>-29.3</v>
      </c>
      <c r="B60" s="1184">
        <v>0.67679999999999996</v>
      </c>
      <c r="E60" s="1185">
        <f t="shared" si="0"/>
        <v>7</v>
      </c>
      <c r="F60" s="1186">
        <v>0.99973599999999996</v>
      </c>
    </row>
    <row r="61" spans="1:9" ht="15.5">
      <c r="A61" s="1183">
        <v>-29.2</v>
      </c>
      <c r="B61" s="1184">
        <v>0.67659999999999998</v>
      </c>
      <c r="E61" s="1185">
        <f t="shared" si="0"/>
        <v>8</v>
      </c>
      <c r="F61" s="1186">
        <v>0.99976900000000002</v>
      </c>
    </row>
    <row r="62" spans="1:9" ht="15.5">
      <c r="A62" s="1183">
        <v>-29.1</v>
      </c>
      <c r="B62" s="1184">
        <v>0.67649999999999999</v>
      </c>
      <c r="E62" s="1185">
        <f t="shared" si="0"/>
        <v>9</v>
      </c>
      <c r="F62" s="1186">
        <v>0.99980199999999997</v>
      </c>
    </row>
    <row r="63" spans="1:9" ht="15.5">
      <c r="A63" s="1183">
        <v>-29</v>
      </c>
      <c r="B63" s="1184">
        <v>0.6764</v>
      </c>
      <c r="E63" s="1185">
        <f t="shared" si="0"/>
        <v>10</v>
      </c>
      <c r="F63" s="1186">
        <v>0.99983500000000003</v>
      </c>
    </row>
    <row r="64" spans="1:9" ht="15.5">
      <c r="A64" s="1183">
        <v>-28.9</v>
      </c>
      <c r="B64" s="1184">
        <v>0.67630000000000001</v>
      </c>
      <c r="E64" s="1185">
        <f t="shared" si="0"/>
        <v>11</v>
      </c>
      <c r="F64" s="1186">
        <v>0.99986799999999998</v>
      </c>
    </row>
    <row r="65" spans="1:6" ht="15.5">
      <c r="A65" s="1183">
        <v>-28.8</v>
      </c>
      <c r="B65" s="1184">
        <v>0.67620000000000002</v>
      </c>
      <c r="E65" s="1185">
        <f t="shared" si="0"/>
        <v>12</v>
      </c>
      <c r="F65" s="1186">
        <v>0.99990100000000004</v>
      </c>
    </row>
    <row r="66" spans="1:6" ht="15.5">
      <c r="A66" s="1183">
        <v>-28.7</v>
      </c>
      <c r="B66" s="1184">
        <v>0.67600000000000005</v>
      </c>
      <c r="E66" s="1185">
        <f t="shared" si="0"/>
        <v>13</v>
      </c>
      <c r="F66" s="1186">
        <v>0.99993399999999999</v>
      </c>
    </row>
    <row r="67" spans="1:6" ht="15.5">
      <c r="A67" s="1183">
        <v>-28.6</v>
      </c>
      <c r="B67" s="1184">
        <v>0.67589999999999995</v>
      </c>
      <c r="E67" s="1185">
        <f t="shared" si="0"/>
        <v>14</v>
      </c>
      <c r="F67" s="1186">
        <v>0.99996700000000005</v>
      </c>
    </row>
    <row r="68" spans="1:6" ht="15.5">
      <c r="A68" s="1183">
        <v>-28.5</v>
      </c>
      <c r="B68" s="1184">
        <v>0.67579999999999996</v>
      </c>
      <c r="E68" s="1185">
        <f t="shared" si="0"/>
        <v>15</v>
      </c>
      <c r="F68" s="1186">
        <v>1</v>
      </c>
    </row>
    <row r="69" spans="1:6" ht="15.5">
      <c r="A69" s="1183">
        <v>-28.4</v>
      </c>
      <c r="B69" s="1184">
        <v>0.67569999999999997</v>
      </c>
      <c r="E69" s="1185">
        <f t="shared" ref="E69:E100" si="1">E68+1</f>
        <v>16</v>
      </c>
      <c r="F69" s="1186">
        <v>1.0000329999999999</v>
      </c>
    </row>
    <row r="70" spans="1:6" ht="15.5">
      <c r="A70" s="1183">
        <v>-28.3</v>
      </c>
      <c r="B70" s="1184">
        <v>0.67559999999999998</v>
      </c>
      <c r="E70" s="1185">
        <f t="shared" si="1"/>
        <v>17</v>
      </c>
      <c r="F70" s="1186">
        <v>1.0000659999999999</v>
      </c>
    </row>
    <row r="71" spans="1:6" ht="15.5">
      <c r="A71" s="1183">
        <v>-28.2</v>
      </c>
      <c r="B71" s="1184">
        <v>0.6754</v>
      </c>
      <c r="E71" s="1185">
        <f t="shared" si="1"/>
        <v>18</v>
      </c>
      <c r="F71" s="1186">
        <v>1.0000990000000001</v>
      </c>
    </row>
    <row r="72" spans="1:6" ht="15.5">
      <c r="A72" s="1183">
        <v>-28.1</v>
      </c>
      <c r="B72" s="1184">
        <v>0.67530000000000001</v>
      </c>
      <c r="E72" s="1185">
        <f t="shared" si="1"/>
        <v>19</v>
      </c>
      <c r="F72" s="1186">
        <v>1.000132</v>
      </c>
    </row>
    <row r="73" spans="1:6" ht="15.5">
      <c r="A73" s="1183">
        <v>-28</v>
      </c>
      <c r="B73" s="1184">
        <v>0.67520000000000002</v>
      </c>
      <c r="E73" s="1185">
        <f t="shared" si="1"/>
        <v>20</v>
      </c>
      <c r="F73" s="1186">
        <v>1.000165</v>
      </c>
    </row>
    <row r="74" spans="1:6" ht="15.5">
      <c r="A74" s="1183">
        <v>-27.9</v>
      </c>
      <c r="B74" s="1184">
        <v>0.67510000000000003</v>
      </c>
      <c r="E74" s="1185">
        <f t="shared" si="1"/>
        <v>21</v>
      </c>
      <c r="F74" s="1186">
        <v>1.0001979999999999</v>
      </c>
    </row>
    <row r="75" spans="1:6" ht="15.5">
      <c r="A75" s="1183">
        <v>-27.8</v>
      </c>
      <c r="B75" s="1184">
        <v>0.67490000000000006</v>
      </c>
      <c r="E75" s="1185">
        <f t="shared" si="1"/>
        <v>22</v>
      </c>
      <c r="F75" s="1186">
        <v>1.0002310000000001</v>
      </c>
    </row>
    <row r="76" spans="1:6" ht="15.5">
      <c r="A76" s="1183">
        <v>-27.7</v>
      </c>
      <c r="B76" s="1184">
        <v>0.67479999999999996</v>
      </c>
      <c r="E76" s="1185">
        <f t="shared" si="1"/>
        <v>23</v>
      </c>
      <c r="F76" s="1186">
        <v>1.000264</v>
      </c>
    </row>
    <row r="77" spans="1:6" ht="15.5">
      <c r="A77" s="1183">
        <v>-27.6</v>
      </c>
      <c r="B77" s="1184">
        <v>0.67459999999999998</v>
      </c>
      <c r="E77" s="1185">
        <f t="shared" si="1"/>
        <v>24</v>
      </c>
      <c r="F77" s="1186">
        <v>1.000297</v>
      </c>
    </row>
    <row r="78" spans="1:6" ht="15.5">
      <c r="A78" s="1183">
        <v>-27.5</v>
      </c>
      <c r="B78" s="1184">
        <v>0.67449999999999999</v>
      </c>
      <c r="E78" s="1185">
        <f t="shared" si="1"/>
        <v>25</v>
      </c>
      <c r="F78" s="1186">
        <v>1.0003299999999999</v>
      </c>
    </row>
    <row r="79" spans="1:6" ht="15.5">
      <c r="A79" s="1183">
        <v>-27.4</v>
      </c>
      <c r="B79" s="1184">
        <v>0.6744</v>
      </c>
      <c r="E79" s="1185">
        <f t="shared" si="1"/>
        <v>26</v>
      </c>
      <c r="F79" s="1186">
        <v>1.0003629999999999</v>
      </c>
    </row>
    <row r="80" spans="1:6" ht="15.5">
      <c r="A80" s="1183">
        <v>-27.3</v>
      </c>
      <c r="B80" s="1184">
        <v>0.67430000000000001</v>
      </c>
      <c r="E80" s="1185">
        <f t="shared" si="1"/>
        <v>27</v>
      </c>
      <c r="F80" s="1186">
        <v>1.0003960000000001</v>
      </c>
    </row>
    <row r="81" spans="1:6" ht="15.5">
      <c r="A81" s="1183">
        <v>-27.2</v>
      </c>
      <c r="B81" s="1184">
        <v>0.67410000000000003</v>
      </c>
      <c r="E81" s="1185">
        <f t="shared" si="1"/>
        <v>28</v>
      </c>
      <c r="F81" s="1186">
        <v>1.000429</v>
      </c>
    </row>
    <row r="82" spans="1:6" ht="15.5">
      <c r="A82" s="1183">
        <v>-27.1</v>
      </c>
      <c r="B82" s="1184">
        <v>0.67400000000000004</v>
      </c>
      <c r="E82" s="1185">
        <f t="shared" si="1"/>
        <v>29</v>
      </c>
      <c r="F82" s="1186">
        <v>1.000462</v>
      </c>
    </row>
    <row r="83" spans="1:6" ht="15.5">
      <c r="A83" s="1183">
        <v>-27</v>
      </c>
      <c r="B83" s="1184">
        <v>0.67390000000000005</v>
      </c>
      <c r="E83" s="1185">
        <f t="shared" si="1"/>
        <v>30</v>
      </c>
      <c r="F83" s="1186">
        <v>1.0004949999999999</v>
      </c>
    </row>
    <row r="84" spans="1:6" ht="15.5">
      <c r="A84" s="1183">
        <v>-26.9</v>
      </c>
      <c r="B84" s="1184">
        <v>0.67379999999999995</v>
      </c>
      <c r="E84" s="1185">
        <f t="shared" si="1"/>
        <v>31</v>
      </c>
      <c r="F84" s="1186">
        <v>1.0005280000000001</v>
      </c>
    </row>
    <row r="85" spans="1:6" ht="15.5">
      <c r="A85" s="1183">
        <v>-26.8</v>
      </c>
      <c r="B85" s="1184">
        <v>0.67369999999999997</v>
      </c>
      <c r="E85" s="1185">
        <f t="shared" si="1"/>
        <v>32</v>
      </c>
      <c r="F85" s="1186">
        <v>1.000561</v>
      </c>
    </row>
    <row r="86" spans="1:6" ht="15.5">
      <c r="A86" s="1183">
        <v>-26.7</v>
      </c>
      <c r="B86" s="1184">
        <v>0.67349999999999999</v>
      </c>
      <c r="E86" s="1185">
        <f t="shared" si="1"/>
        <v>33</v>
      </c>
      <c r="F86" s="1186">
        <v>1.000594</v>
      </c>
    </row>
    <row r="87" spans="1:6" ht="15.5">
      <c r="A87" s="1183">
        <v>-26.6</v>
      </c>
      <c r="B87" s="1184">
        <v>0.6734</v>
      </c>
      <c r="E87" s="1185">
        <f t="shared" si="1"/>
        <v>34</v>
      </c>
      <c r="F87" s="1186">
        <v>1.0006269999999999</v>
      </c>
    </row>
    <row r="88" spans="1:6" ht="15.5">
      <c r="A88" s="1183">
        <v>-26.5</v>
      </c>
      <c r="B88" s="1184">
        <v>0.67330000000000001</v>
      </c>
      <c r="E88" s="1185">
        <f t="shared" si="1"/>
        <v>35</v>
      </c>
      <c r="F88" s="1186">
        <v>1.0006600000000001</v>
      </c>
    </row>
    <row r="89" spans="1:6" ht="15.5">
      <c r="A89" s="1183">
        <v>-26.4</v>
      </c>
      <c r="B89" s="1184">
        <v>0.67320000000000002</v>
      </c>
      <c r="E89" s="1185">
        <f t="shared" si="1"/>
        <v>36</v>
      </c>
      <c r="F89" s="1186">
        <v>1.0006930000000001</v>
      </c>
    </row>
    <row r="90" spans="1:6" ht="15.5">
      <c r="A90" s="1183">
        <v>-26.3</v>
      </c>
      <c r="B90" s="1184">
        <v>0.67300000000000004</v>
      </c>
      <c r="E90" s="1185">
        <f t="shared" si="1"/>
        <v>37</v>
      </c>
      <c r="F90" s="1186">
        <v>1.000726</v>
      </c>
    </row>
    <row r="91" spans="1:6" ht="15.5">
      <c r="A91" s="1183">
        <v>-26.2</v>
      </c>
      <c r="B91" s="1184">
        <v>0.67290000000000005</v>
      </c>
      <c r="E91" s="1185">
        <f t="shared" si="1"/>
        <v>38</v>
      </c>
      <c r="F91" s="1186">
        <v>1.000759</v>
      </c>
    </row>
    <row r="92" spans="1:6" ht="15.5">
      <c r="A92" s="1183">
        <v>-26.1</v>
      </c>
      <c r="B92" s="1184">
        <v>0.67269999999999996</v>
      </c>
      <c r="E92" s="1185">
        <f t="shared" si="1"/>
        <v>39</v>
      </c>
      <c r="F92" s="1186">
        <v>1.0007919999999999</v>
      </c>
    </row>
    <row r="93" spans="1:6" ht="15.5">
      <c r="A93" s="1183">
        <v>-26</v>
      </c>
      <c r="B93" s="1184">
        <v>0.67259999999999998</v>
      </c>
      <c r="E93" s="1185">
        <f t="shared" si="1"/>
        <v>40</v>
      </c>
      <c r="F93" s="1186">
        <v>1.0008250000000001</v>
      </c>
    </row>
    <row r="94" spans="1:6" ht="15.5">
      <c r="A94" s="1183">
        <v>-25.9</v>
      </c>
      <c r="B94" s="1184">
        <v>0.67249999999999999</v>
      </c>
      <c r="E94" s="1185">
        <f t="shared" si="1"/>
        <v>41</v>
      </c>
      <c r="F94" s="1186">
        <v>1.000858</v>
      </c>
    </row>
    <row r="95" spans="1:6" ht="15.5">
      <c r="A95" s="1183">
        <v>-25.8</v>
      </c>
      <c r="B95" s="1184">
        <v>0.6724</v>
      </c>
      <c r="E95" s="1185">
        <f t="shared" si="1"/>
        <v>42</v>
      </c>
      <c r="F95" s="1186">
        <v>1.000891</v>
      </c>
    </row>
    <row r="96" spans="1:6" ht="15.5">
      <c r="A96" s="1183">
        <v>-25.7</v>
      </c>
      <c r="B96" s="1184">
        <v>0.67220000000000002</v>
      </c>
      <c r="E96" s="1185">
        <f t="shared" si="1"/>
        <v>43</v>
      </c>
      <c r="F96" s="1186">
        <v>1.0009239999999999</v>
      </c>
    </row>
    <row r="97" spans="1:6" ht="15.5">
      <c r="A97" s="1183">
        <v>-25.6</v>
      </c>
      <c r="B97" s="1184">
        <v>0.67210000000000003</v>
      </c>
      <c r="E97" s="1185">
        <f t="shared" si="1"/>
        <v>44</v>
      </c>
      <c r="F97" s="1186">
        <v>1.0009570000000001</v>
      </c>
    </row>
    <row r="98" spans="1:6" ht="15.5">
      <c r="A98" s="1183">
        <v>-25.5</v>
      </c>
      <c r="B98" s="1184">
        <v>0.67200000000000004</v>
      </c>
      <c r="E98" s="1185">
        <f t="shared" si="1"/>
        <v>45</v>
      </c>
      <c r="F98" s="1186">
        <v>1.00099</v>
      </c>
    </row>
    <row r="99" spans="1:6" ht="15.5">
      <c r="A99" s="1183">
        <v>-25.4</v>
      </c>
      <c r="B99" s="1184">
        <v>0.67190000000000005</v>
      </c>
      <c r="E99" s="1185">
        <f t="shared" si="1"/>
        <v>46</v>
      </c>
      <c r="F99" s="1186">
        <v>1.001023</v>
      </c>
    </row>
    <row r="100" spans="1:6" ht="15.5">
      <c r="A100" s="1183">
        <v>-25.3</v>
      </c>
      <c r="B100" s="1184">
        <v>0.67179999999999995</v>
      </c>
      <c r="E100" s="1185">
        <f t="shared" si="1"/>
        <v>47</v>
      </c>
      <c r="F100" s="1186">
        <v>1.0010559999999999</v>
      </c>
    </row>
    <row r="101" spans="1:6" ht="15.5">
      <c r="A101" s="1183">
        <v>-25.2</v>
      </c>
      <c r="B101" s="1184">
        <v>0.67159999999999997</v>
      </c>
      <c r="E101" s="1185">
        <f>E100+1</f>
        <v>48</v>
      </c>
      <c r="F101" s="1186">
        <v>1.0010889999999999</v>
      </c>
    </row>
    <row r="102" spans="1:6" ht="15.5">
      <c r="A102" s="1183">
        <v>-25.1</v>
      </c>
      <c r="B102" s="1184">
        <v>0.67149999999999999</v>
      </c>
      <c r="E102" s="1185">
        <f>E101+1</f>
        <v>49</v>
      </c>
      <c r="F102" s="1186">
        <v>1.0011220000000001</v>
      </c>
    </row>
    <row r="103" spans="1:6" ht="15.5">
      <c r="A103" s="1183">
        <v>-25</v>
      </c>
      <c r="B103" s="1184">
        <v>0.6714</v>
      </c>
      <c r="E103" s="1185">
        <f>E102+1</f>
        <v>50</v>
      </c>
      <c r="F103" s="1186">
        <v>1.001155</v>
      </c>
    </row>
    <row r="104" spans="1:6" ht="15.5">
      <c r="A104" s="1183">
        <v>-24.9</v>
      </c>
      <c r="B104" s="1184">
        <v>0.67130000000000001</v>
      </c>
      <c r="E104" s="1187"/>
      <c r="F104" s="1189"/>
    </row>
    <row r="105" spans="1:6" ht="15.5">
      <c r="A105" s="1183">
        <v>-24.8</v>
      </c>
      <c r="B105" s="1184">
        <v>0.67110000000000003</v>
      </c>
      <c r="E105" s="1187"/>
      <c r="F105" s="1189"/>
    </row>
    <row r="106" spans="1:6" ht="15.5">
      <c r="A106" s="1183">
        <v>-24.7</v>
      </c>
      <c r="B106" s="1184">
        <v>0.67100000000000004</v>
      </c>
      <c r="E106" s="1187"/>
      <c r="F106" s="1189"/>
    </row>
    <row r="107" spans="1:6" ht="15.5">
      <c r="A107" s="1183">
        <v>-24.6</v>
      </c>
      <c r="B107" s="1184">
        <v>0.67079999999999995</v>
      </c>
      <c r="E107" s="1187"/>
      <c r="F107" s="1189"/>
    </row>
    <row r="108" spans="1:6" ht="15.5">
      <c r="A108" s="1183">
        <v>-24.5</v>
      </c>
      <c r="B108" s="1184">
        <v>0.67069999999999996</v>
      </c>
      <c r="E108" s="1187"/>
      <c r="F108" s="1189"/>
    </row>
    <row r="109" spans="1:6" ht="15.5">
      <c r="A109" s="1183">
        <v>-24.4</v>
      </c>
      <c r="B109" s="1184">
        <v>0.67059999999999997</v>
      </c>
      <c r="E109" s="1187"/>
      <c r="F109" s="1189"/>
    </row>
    <row r="110" spans="1:6" ht="15.5">
      <c r="A110" s="1183">
        <v>-24.3</v>
      </c>
      <c r="B110" s="1184">
        <v>0.67049999999999998</v>
      </c>
      <c r="E110" s="1187"/>
      <c r="F110" s="1189"/>
    </row>
    <row r="111" spans="1:6" ht="15.5">
      <c r="A111" s="1183">
        <v>-24.2</v>
      </c>
      <c r="B111" s="1184">
        <v>0.67030000000000001</v>
      </c>
      <c r="E111" s="1187"/>
      <c r="F111" s="1189"/>
    </row>
    <row r="112" spans="1:6" ht="15.5">
      <c r="A112" s="1183">
        <v>-24.1</v>
      </c>
      <c r="B112" s="1184">
        <v>0.67020000000000002</v>
      </c>
      <c r="E112" s="1187"/>
    </row>
    <row r="113" spans="1:5" ht="15.5">
      <c r="A113" s="1183">
        <v>-24</v>
      </c>
      <c r="B113" s="1184">
        <v>0.67010000000000003</v>
      </c>
      <c r="E113" s="1187"/>
    </row>
    <row r="114" spans="1:5" ht="15.5">
      <c r="A114" s="1183">
        <v>-23.9</v>
      </c>
      <c r="B114" s="1184">
        <v>0.67</v>
      </c>
      <c r="E114" s="1187"/>
    </row>
    <row r="115" spans="1:5" ht="15.5">
      <c r="A115" s="1183">
        <v>-23.8</v>
      </c>
      <c r="B115" s="1184">
        <v>0.66990000000000005</v>
      </c>
    </row>
    <row r="116" spans="1:5" ht="15.5">
      <c r="A116" s="1183">
        <v>-23.7</v>
      </c>
      <c r="B116" s="1184">
        <v>0.66969999999999996</v>
      </c>
    </row>
    <row r="117" spans="1:5" ht="15.5">
      <c r="A117" s="1183">
        <v>-23.6</v>
      </c>
      <c r="B117" s="1184">
        <v>0.66959999999999997</v>
      </c>
    </row>
    <row r="118" spans="1:5" ht="15.5">
      <c r="A118" s="1183">
        <v>-23.5</v>
      </c>
      <c r="B118" s="1184">
        <v>0.66949999999999998</v>
      </c>
    </row>
    <row r="119" spans="1:5" ht="15.5">
      <c r="A119" s="1183">
        <v>-23.4</v>
      </c>
      <c r="B119" s="1184">
        <v>0.6694</v>
      </c>
    </row>
    <row r="120" spans="1:5" ht="15.5">
      <c r="A120" s="1183">
        <v>-23.3</v>
      </c>
      <c r="B120" s="1184">
        <v>0.66920000000000002</v>
      </c>
    </row>
    <row r="121" spans="1:5" ht="15.5">
      <c r="A121" s="1183">
        <v>-23.2</v>
      </c>
      <c r="B121" s="1184">
        <v>0.66910000000000003</v>
      </c>
    </row>
    <row r="122" spans="1:5" ht="15.5">
      <c r="A122" s="1183">
        <v>-23.1</v>
      </c>
      <c r="B122" s="1184">
        <v>0.66890000000000005</v>
      </c>
    </row>
    <row r="123" spans="1:5" ht="15.5">
      <c r="A123" s="1183">
        <v>-23</v>
      </c>
      <c r="B123" s="1184">
        <v>0.66879999999999995</v>
      </c>
    </row>
    <row r="124" spans="1:5" ht="15.5">
      <c r="A124" s="1183">
        <v>-22.9</v>
      </c>
      <c r="B124" s="1184">
        <v>0.66869999999999996</v>
      </c>
    </row>
    <row r="125" spans="1:5" ht="15.5">
      <c r="A125" s="1183">
        <v>-22.8</v>
      </c>
      <c r="B125" s="1184">
        <v>0.66859999999999997</v>
      </c>
    </row>
    <row r="126" spans="1:5" ht="15.5">
      <c r="A126" s="1183">
        <v>-22.7</v>
      </c>
      <c r="B126" s="1184">
        <v>0.66839999999999999</v>
      </c>
    </row>
    <row r="127" spans="1:5" ht="15.5">
      <c r="A127" s="1183">
        <v>-22.6</v>
      </c>
      <c r="B127" s="1184">
        <v>0.66830000000000001</v>
      </c>
    </row>
    <row r="128" spans="1:5" ht="15.5">
      <c r="A128" s="1183">
        <v>-22.5</v>
      </c>
      <c r="B128" s="1184">
        <v>0.66820000000000002</v>
      </c>
    </row>
    <row r="129" spans="1:2" ht="15.5">
      <c r="A129" s="1183">
        <v>-22.4</v>
      </c>
      <c r="B129" s="1184">
        <v>0.66810000000000003</v>
      </c>
    </row>
    <row r="130" spans="1:2" ht="15.5">
      <c r="A130" s="1183">
        <v>-22.3</v>
      </c>
      <c r="B130" s="1184">
        <v>0.66800000000000004</v>
      </c>
    </row>
    <row r="131" spans="1:2" ht="15.5">
      <c r="A131" s="1183">
        <v>-22.2</v>
      </c>
      <c r="B131" s="1184">
        <v>0.66779999999999995</v>
      </c>
    </row>
    <row r="132" spans="1:2" ht="15.5">
      <c r="A132" s="1183">
        <v>-22.1</v>
      </c>
      <c r="B132" s="1184">
        <v>0.66769999999999996</v>
      </c>
    </row>
    <row r="133" spans="1:2" ht="15.5">
      <c r="A133" s="1183">
        <v>-22</v>
      </c>
      <c r="B133" s="1184">
        <v>0.66759999999999997</v>
      </c>
    </row>
    <row r="134" spans="1:2" ht="15.5">
      <c r="A134" s="1183">
        <v>-21.9</v>
      </c>
      <c r="B134" s="1184">
        <v>0.66749999999999998</v>
      </c>
    </row>
    <row r="135" spans="1:2" ht="15.5">
      <c r="A135" s="1183">
        <v>-21.8</v>
      </c>
      <c r="B135" s="1184">
        <v>0.6673</v>
      </c>
    </row>
    <row r="136" spans="1:2" ht="15.5">
      <c r="A136" s="1183">
        <v>-21.7</v>
      </c>
      <c r="B136" s="1184">
        <v>0.66720000000000002</v>
      </c>
    </row>
    <row r="137" spans="1:2" ht="15.5">
      <c r="A137" s="1183">
        <v>-21.6</v>
      </c>
      <c r="B137" s="1184">
        <v>0.66700000000000004</v>
      </c>
    </row>
    <row r="138" spans="1:2" ht="15.5">
      <c r="A138" s="1183">
        <v>-21.5</v>
      </c>
      <c r="B138" s="1184">
        <v>0.66690000000000005</v>
      </c>
    </row>
    <row r="139" spans="1:2" ht="15.5">
      <c r="A139" s="1183">
        <v>-21.4</v>
      </c>
      <c r="B139" s="1184">
        <v>0.66679999999999995</v>
      </c>
    </row>
    <row r="140" spans="1:2" ht="15.5">
      <c r="A140" s="1183">
        <v>-21.3</v>
      </c>
      <c r="B140" s="1184">
        <v>0.66669999999999996</v>
      </c>
    </row>
    <row r="141" spans="1:2" ht="15.5">
      <c r="A141" s="1183">
        <v>-21.2</v>
      </c>
      <c r="B141" s="1184">
        <v>0.66649999999999998</v>
      </c>
    </row>
    <row r="142" spans="1:2" ht="15.5">
      <c r="A142" s="1183">
        <v>-21.1</v>
      </c>
      <c r="B142" s="1184">
        <v>0.66639999999999999</v>
      </c>
    </row>
    <row r="143" spans="1:2" ht="15.5">
      <c r="A143" s="1183">
        <v>-21</v>
      </c>
      <c r="B143" s="1184">
        <v>0.6663</v>
      </c>
    </row>
    <row r="144" spans="1:2" ht="15.5">
      <c r="A144" s="1183">
        <v>-20.9</v>
      </c>
      <c r="B144" s="1184">
        <v>0.66620000000000001</v>
      </c>
    </row>
    <row r="145" spans="1:2" ht="15.5">
      <c r="A145" s="1183">
        <v>-20.8</v>
      </c>
      <c r="B145" s="1184">
        <v>0.66600000000000004</v>
      </c>
    </row>
    <row r="146" spans="1:2" ht="15.5">
      <c r="A146" s="1183">
        <v>-20.7</v>
      </c>
      <c r="B146" s="1184">
        <v>0.66590000000000005</v>
      </c>
    </row>
    <row r="147" spans="1:2" ht="15.5">
      <c r="A147" s="1183">
        <v>-20.6</v>
      </c>
      <c r="B147" s="1184">
        <v>0.66569999999999996</v>
      </c>
    </row>
    <row r="148" spans="1:2" ht="15.5">
      <c r="A148" s="1183">
        <v>-20.5</v>
      </c>
      <c r="B148" s="1184">
        <v>0.66559999999999997</v>
      </c>
    </row>
    <row r="149" spans="1:2" ht="15.5">
      <c r="A149" s="1183">
        <v>-20.399999999999999</v>
      </c>
      <c r="B149" s="1184">
        <v>0.66549999999999998</v>
      </c>
    </row>
    <row r="150" spans="1:2" ht="15.5">
      <c r="A150" s="1183">
        <v>-20.3</v>
      </c>
      <c r="B150" s="1184">
        <v>0.66539999999999999</v>
      </c>
    </row>
    <row r="151" spans="1:2" ht="15.5">
      <c r="A151" s="1183">
        <v>-20.2</v>
      </c>
      <c r="B151" s="1184">
        <v>0.66520000000000001</v>
      </c>
    </row>
    <row r="152" spans="1:2" ht="15.5">
      <c r="A152" s="1183">
        <v>-20.100000000000001</v>
      </c>
      <c r="B152" s="1184">
        <v>0.66510000000000002</v>
      </c>
    </row>
    <row r="153" spans="1:2" ht="15.5">
      <c r="A153" s="1183">
        <v>-20</v>
      </c>
      <c r="B153" s="1184">
        <v>0.66500000000000004</v>
      </c>
    </row>
    <row r="154" spans="1:2" ht="15.5">
      <c r="A154" s="1183">
        <v>-19.899999999999999</v>
      </c>
      <c r="B154" s="1184">
        <v>0.66490000000000005</v>
      </c>
    </row>
    <row r="155" spans="1:2" ht="15.5">
      <c r="A155" s="1183">
        <v>-19.8</v>
      </c>
      <c r="B155" s="1184">
        <v>0.66479999999999995</v>
      </c>
    </row>
    <row r="156" spans="1:2" ht="15.5">
      <c r="A156" s="1183">
        <v>-19.7</v>
      </c>
      <c r="B156" s="1184">
        <v>0.66459999999999997</v>
      </c>
    </row>
    <row r="157" spans="1:2" ht="15.5">
      <c r="A157" s="1183">
        <v>-19.600000000000001</v>
      </c>
      <c r="B157" s="1184">
        <v>0.66449999999999998</v>
      </c>
    </row>
    <row r="158" spans="1:2" ht="15.5">
      <c r="A158" s="1183">
        <v>-19.5</v>
      </c>
      <c r="B158" s="1184">
        <v>0.66439999999999999</v>
      </c>
    </row>
    <row r="159" spans="1:2" ht="15.5">
      <c r="A159" s="1183">
        <v>-19.399999999999999</v>
      </c>
      <c r="B159" s="1184">
        <v>0.6643</v>
      </c>
    </row>
    <row r="160" spans="1:2" ht="15.5">
      <c r="A160" s="1183">
        <v>-19.3</v>
      </c>
      <c r="B160" s="1184">
        <v>0.66410000000000002</v>
      </c>
    </row>
    <row r="161" spans="1:2" ht="15.5">
      <c r="A161" s="1183">
        <v>-19.2</v>
      </c>
      <c r="B161" s="1184">
        <v>0.66400000000000003</v>
      </c>
    </row>
    <row r="162" spans="1:2" ht="15.5">
      <c r="A162" s="1183">
        <v>-19.100000000000001</v>
      </c>
      <c r="B162" s="1184">
        <v>0.66379999999999995</v>
      </c>
    </row>
    <row r="163" spans="1:2" ht="15.5">
      <c r="A163" s="1183">
        <v>-19</v>
      </c>
      <c r="B163" s="1184">
        <v>0.66369999999999996</v>
      </c>
    </row>
    <row r="164" spans="1:2" ht="15.5">
      <c r="A164" s="1183">
        <v>-18.899999999999999</v>
      </c>
      <c r="B164" s="1184">
        <v>0.66359999999999997</v>
      </c>
    </row>
    <row r="165" spans="1:2" ht="15.5">
      <c r="A165" s="1183">
        <v>-18.8</v>
      </c>
      <c r="B165" s="1184">
        <v>0.66349999999999998</v>
      </c>
    </row>
    <row r="166" spans="1:2" ht="15.5">
      <c r="A166" s="1183">
        <v>-18.7</v>
      </c>
      <c r="B166" s="1184">
        <v>0.6633</v>
      </c>
    </row>
    <row r="167" spans="1:2" ht="15.5">
      <c r="A167" s="1183">
        <v>-18.600000000000001</v>
      </c>
      <c r="B167" s="1184">
        <v>0.66320000000000001</v>
      </c>
    </row>
    <row r="168" spans="1:2" ht="15.5">
      <c r="A168" s="1183">
        <v>-18.5</v>
      </c>
      <c r="B168" s="1184">
        <v>0.66310000000000002</v>
      </c>
    </row>
    <row r="169" spans="1:2" ht="15.5">
      <c r="A169" s="1183">
        <v>-18.399999999999999</v>
      </c>
      <c r="B169" s="1184">
        <v>0.66300000000000003</v>
      </c>
    </row>
    <row r="170" spans="1:2" ht="15.5">
      <c r="A170" s="1183">
        <v>-18.3</v>
      </c>
      <c r="B170" s="1184">
        <v>0.66279999999999994</v>
      </c>
    </row>
    <row r="171" spans="1:2" ht="15.5">
      <c r="A171" s="1183">
        <v>-18.2</v>
      </c>
      <c r="B171" s="1184">
        <v>0.66269999999999996</v>
      </c>
    </row>
    <row r="172" spans="1:2" ht="15.5">
      <c r="A172" s="1183">
        <v>-18.100000000000001</v>
      </c>
      <c r="B172" s="1184">
        <v>0.66249999999999998</v>
      </c>
    </row>
    <row r="173" spans="1:2" ht="15.5">
      <c r="A173" s="1183">
        <v>-18</v>
      </c>
      <c r="B173" s="1184">
        <v>0.66239999999999999</v>
      </c>
    </row>
    <row r="174" spans="1:2" ht="15.5">
      <c r="A174" s="1183">
        <v>-17.899999999999999</v>
      </c>
      <c r="B174" s="1184">
        <v>0.6623</v>
      </c>
    </row>
    <row r="175" spans="1:2" ht="15.5">
      <c r="A175" s="1183">
        <v>-17.8</v>
      </c>
      <c r="B175" s="1184">
        <v>0.66220000000000001</v>
      </c>
    </row>
    <row r="176" spans="1:2" ht="15.5">
      <c r="A176" s="1183">
        <v>-17.7</v>
      </c>
      <c r="B176" s="1184">
        <v>0.66200000000000003</v>
      </c>
    </row>
    <row r="177" spans="1:2" ht="15.5">
      <c r="A177" s="1183">
        <v>-17.600000000000001</v>
      </c>
      <c r="B177" s="1184">
        <v>0.66190000000000004</v>
      </c>
    </row>
    <row r="178" spans="1:2" ht="15.5">
      <c r="A178" s="1183">
        <v>-17.5</v>
      </c>
      <c r="B178" s="1184">
        <v>0.66180000000000005</v>
      </c>
    </row>
    <row r="179" spans="1:2" ht="15.5">
      <c r="A179" s="1183">
        <v>-17.399999999999999</v>
      </c>
      <c r="B179" s="1184">
        <v>0.66169999999999995</v>
      </c>
    </row>
    <row r="180" spans="1:2" ht="15.5">
      <c r="A180" s="1183">
        <v>-17.3</v>
      </c>
      <c r="B180" s="1184">
        <v>0.66149999999999998</v>
      </c>
    </row>
    <row r="181" spans="1:2" ht="15.5">
      <c r="A181" s="1183">
        <v>-17.2</v>
      </c>
      <c r="B181" s="1184">
        <v>0.66139999999999999</v>
      </c>
    </row>
    <row r="182" spans="1:2" ht="15.5">
      <c r="A182" s="1183">
        <v>-17.100000000000001</v>
      </c>
      <c r="B182" s="1184">
        <v>0.66120000000000001</v>
      </c>
    </row>
    <row r="183" spans="1:2" ht="15.5">
      <c r="A183" s="1183">
        <v>-17</v>
      </c>
      <c r="B183" s="1184">
        <v>0.66110000000000002</v>
      </c>
    </row>
    <row r="184" spans="1:2" ht="15.5">
      <c r="A184" s="1183">
        <v>-16.899999999999999</v>
      </c>
      <c r="B184" s="1184">
        <v>0.66100000000000003</v>
      </c>
    </row>
    <row r="185" spans="1:2" ht="15.5">
      <c r="A185" s="1183">
        <v>-16.8</v>
      </c>
      <c r="B185" s="1184">
        <v>0.66090000000000004</v>
      </c>
    </row>
    <row r="186" spans="1:2" ht="15.5">
      <c r="A186" s="1183">
        <v>-16.7</v>
      </c>
      <c r="B186" s="1184">
        <v>0.66069999999999995</v>
      </c>
    </row>
    <row r="187" spans="1:2" ht="15.5">
      <c r="A187" s="1183">
        <v>-16.600000000000001</v>
      </c>
      <c r="B187" s="1184">
        <v>0.66059999999999997</v>
      </c>
    </row>
    <row r="188" spans="1:2" ht="15.5">
      <c r="A188" s="1183">
        <v>-16.5</v>
      </c>
      <c r="B188" s="1184">
        <v>0.66049999999999998</v>
      </c>
    </row>
    <row r="189" spans="1:2" ht="15.5">
      <c r="A189" s="1183">
        <v>-16.399999999999999</v>
      </c>
      <c r="B189" s="1184">
        <v>0.66039999999999999</v>
      </c>
    </row>
    <row r="190" spans="1:2" ht="15.5">
      <c r="A190" s="1183">
        <v>-16.3</v>
      </c>
      <c r="B190" s="1184">
        <v>0.66020000000000001</v>
      </c>
    </row>
    <row r="191" spans="1:2" ht="15.5">
      <c r="A191" s="1183">
        <v>-16.2</v>
      </c>
      <c r="B191" s="1184">
        <v>0.66010000000000002</v>
      </c>
    </row>
    <row r="192" spans="1:2" ht="15.5">
      <c r="A192" s="1183">
        <v>-16.100000000000001</v>
      </c>
      <c r="B192" s="1184">
        <v>0.65990000000000004</v>
      </c>
    </row>
    <row r="193" spans="1:2" ht="15.5">
      <c r="A193" s="1183">
        <v>-16</v>
      </c>
      <c r="B193" s="1184">
        <v>0.65980000000000005</v>
      </c>
    </row>
    <row r="194" spans="1:2" ht="15.5">
      <c r="A194" s="1183">
        <v>-15.9</v>
      </c>
      <c r="B194" s="1184">
        <v>0.65969999999999995</v>
      </c>
    </row>
    <row r="195" spans="1:2" ht="15.5">
      <c r="A195" s="1183">
        <v>-15.8</v>
      </c>
      <c r="B195" s="1184">
        <v>0.65959999999999996</v>
      </c>
    </row>
    <row r="196" spans="1:2" ht="15.5">
      <c r="A196" s="1183">
        <v>-15.7</v>
      </c>
      <c r="B196" s="1184">
        <v>0.65939999999999999</v>
      </c>
    </row>
    <row r="197" spans="1:2" ht="15.5">
      <c r="A197" s="1183">
        <v>-15.6</v>
      </c>
      <c r="B197" s="1184">
        <v>0.6593</v>
      </c>
    </row>
    <row r="198" spans="1:2" ht="15.5">
      <c r="A198" s="1183">
        <v>-15.5</v>
      </c>
      <c r="B198" s="1184">
        <v>0.65920000000000001</v>
      </c>
    </row>
    <row r="199" spans="1:2" ht="15.5">
      <c r="A199" s="1183">
        <v>-15.4</v>
      </c>
      <c r="B199" s="1184">
        <v>0.65910000000000002</v>
      </c>
    </row>
    <row r="200" spans="1:2" ht="15.5">
      <c r="A200" s="1183">
        <v>-15.3</v>
      </c>
      <c r="B200" s="1184">
        <v>0.65890000000000004</v>
      </c>
    </row>
    <row r="201" spans="1:2" ht="15.5">
      <c r="A201" s="1183">
        <v>-15.2</v>
      </c>
      <c r="B201" s="1184">
        <v>0.65880000000000005</v>
      </c>
    </row>
    <row r="202" spans="1:2" ht="15.5">
      <c r="A202" s="1183">
        <v>-15.1</v>
      </c>
      <c r="B202" s="1184">
        <v>0.65859999999999996</v>
      </c>
    </row>
    <row r="203" spans="1:2" ht="15.5">
      <c r="A203" s="1183">
        <v>-15</v>
      </c>
      <c r="B203" s="1184">
        <v>0.65849999999999997</v>
      </c>
    </row>
    <row r="204" spans="1:2" ht="15.5">
      <c r="A204" s="1183">
        <v>-14.9</v>
      </c>
      <c r="B204" s="1184">
        <v>0.65839999999999999</v>
      </c>
    </row>
    <row r="205" spans="1:2" ht="15.5">
      <c r="A205" s="1183">
        <v>-14.8</v>
      </c>
      <c r="B205" s="1184">
        <v>0.6583</v>
      </c>
    </row>
    <row r="206" spans="1:2" ht="15.5">
      <c r="A206" s="1183">
        <v>-14.7</v>
      </c>
      <c r="B206" s="1184">
        <v>0.65810000000000002</v>
      </c>
    </row>
    <row r="207" spans="1:2" ht="15.5">
      <c r="A207" s="1183">
        <v>-14.6</v>
      </c>
      <c r="B207" s="1184">
        <v>0.65800000000000003</v>
      </c>
    </row>
    <row r="208" spans="1:2" ht="15.5">
      <c r="A208" s="1183">
        <v>-14.5</v>
      </c>
      <c r="B208" s="1184">
        <v>0.65790000000000004</v>
      </c>
    </row>
    <row r="209" spans="1:2" ht="15.5">
      <c r="A209" s="1183">
        <v>-14.4</v>
      </c>
      <c r="B209" s="1184">
        <v>0.65780000000000005</v>
      </c>
    </row>
    <row r="210" spans="1:2" ht="15.5">
      <c r="A210" s="1183">
        <v>-14.3</v>
      </c>
      <c r="B210" s="1184">
        <v>0.65759999999999996</v>
      </c>
    </row>
    <row r="211" spans="1:2" ht="15.5">
      <c r="A211" s="1183">
        <v>-14.2</v>
      </c>
      <c r="B211" s="1184">
        <v>0.65749999999999997</v>
      </c>
    </row>
    <row r="212" spans="1:2" ht="15.5">
      <c r="A212" s="1183">
        <v>-14.1</v>
      </c>
      <c r="B212" s="1184">
        <v>0.6573</v>
      </c>
    </row>
    <row r="213" spans="1:2" ht="15.5">
      <c r="A213" s="1183">
        <v>-14</v>
      </c>
      <c r="B213" s="1184">
        <v>0.65720000000000001</v>
      </c>
    </row>
    <row r="214" spans="1:2" ht="15.5">
      <c r="A214" s="1183">
        <v>-13.9</v>
      </c>
      <c r="B214" s="1184">
        <v>0.65710000000000002</v>
      </c>
    </row>
    <row r="215" spans="1:2" ht="15.5">
      <c r="A215" s="1183">
        <v>-13.8</v>
      </c>
      <c r="B215" s="1184">
        <v>0.65700000000000003</v>
      </c>
    </row>
    <row r="216" spans="1:2" ht="15.5">
      <c r="A216" s="1183">
        <v>-13.7</v>
      </c>
      <c r="B216" s="1184">
        <v>0.65680000000000005</v>
      </c>
    </row>
    <row r="217" spans="1:2" ht="15.5">
      <c r="A217" s="1183">
        <v>-13.6</v>
      </c>
      <c r="B217" s="1184">
        <v>0.65669999999999995</v>
      </c>
    </row>
    <row r="218" spans="1:2" ht="15.5">
      <c r="A218" s="1183">
        <v>-13.5</v>
      </c>
      <c r="B218" s="1184">
        <v>0.65659999999999996</v>
      </c>
    </row>
    <row r="219" spans="1:2" ht="15.5">
      <c r="A219" s="1183">
        <v>-13.4</v>
      </c>
      <c r="B219" s="1184">
        <v>0.65649999999999997</v>
      </c>
    </row>
    <row r="220" spans="1:2" ht="15.5">
      <c r="A220" s="1183">
        <v>-13.3</v>
      </c>
      <c r="B220" s="1184">
        <v>0.65629999999999999</v>
      </c>
    </row>
    <row r="221" spans="1:2" ht="15.5">
      <c r="A221" s="1183">
        <v>-13.2</v>
      </c>
      <c r="B221" s="1184">
        <v>0.65620000000000001</v>
      </c>
    </row>
    <row r="222" spans="1:2" ht="15.5">
      <c r="A222" s="1183">
        <v>-13.1</v>
      </c>
      <c r="B222" s="1184">
        <v>0.65600000000000003</v>
      </c>
    </row>
    <row r="223" spans="1:2" ht="15.5">
      <c r="A223" s="1183">
        <v>-13</v>
      </c>
      <c r="B223" s="1184">
        <v>0.65590000000000004</v>
      </c>
    </row>
    <row r="224" spans="1:2" ht="15.5">
      <c r="A224" s="1183">
        <v>-12.9</v>
      </c>
      <c r="B224" s="1184">
        <v>0.65580000000000005</v>
      </c>
    </row>
    <row r="225" spans="1:2" ht="15.5">
      <c r="A225" s="1183">
        <v>-12.8</v>
      </c>
      <c r="B225" s="1184">
        <v>0.65569999999999995</v>
      </c>
    </row>
    <row r="226" spans="1:2" ht="15.5">
      <c r="A226" s="1183">
        <v>-12.7</v>
      </c>
      <c r="B226" s="1184">
        <v>0.65549999999999997</v>
      </c>
    </row>
    <row r="227" spans="1:2" ht="15.5">
      <c r="A227" s="1183">
        <v>-12.6</v>
      </c>
      <c r="B227" s="1184">
        <v>0.65539999999999998</v>
      </c>
    </row>
    <row r="228" spans="1:2" ht="15.5">
      <c r="A228" s="1183">
        <v>-12.5</v>
      </c>
      <c r="B228" s="1184">
        <v>0.65529999999999999</v>
      </c>
    </row>
    <row r="229" spans="1:2" ht="15.5">
      <c r="A229" s="1183">
        <v>-12.4</v>
      </c>
      <c r="B229" s="1184">
        <v>0.6552</v>
      </c>
    </row>
    <row r="230" spans="1:2" ht="15.5">
      <c r="A230" s="1183">
        <v>-12.3</v>
      </c>
      <c r="B230" s="1184">
        <v>0.65500000000000003</v>
      </c>
    </row>
    <row r="231" spans="1:2" ht="15.5">
      <c r="A231" s="1183">
        <v>-12.2</v>
      </c>
      <c r="B231" s="1184">
        <v>0.65490000000000004</v>
      </c>
    </row>
    <row r="232" spans="1:2" ht="15.5">
      <c r="A232" s="1183">
        <v>-12.1</v>
      </c>
      <c r="B232" s="1184">
        <v>0.65469999999999995</v>
      </c>
    </row>
    <row r="233" spans="1:2" ht="15.5">
      <c r="A233" s="1183">
        <v>-12</v>
      </c>
      <c r="B233" s="1184">
        <v>0.65459999999999996</v>
      </c>
    </row>
    <row r="234" spans="1:2" ht="15.5">
      <c r="A234" s="1183">
        <v>-11.9</v>
      </c>
      <c r="B234" s="1184">
        <v>0.65449999999999997</v>
      </c>
    </row>
    <row r="235" spans="1:2" ht="15.5">
      <c r="A235" s="1183">
        <v>-11.8</v>
      </c>
      <c r="B235" s="1184">
        <v>0.65439999999999998</v>
      </c>
    </row>
    <row r="236" spans="1:2" ht="15.5">
      <c r="A236" s="1183">
        <v>-11.7</v>
      </c>
      <c r="B236" s="1184">
        <v>0.6542</v>
      </c>
    </row>
    <row r="237" spans="1:2" ht="15.5">
      <c r="A237" s="1183">
        <v>-11.6</v>
      </c>
      <c r="B237" s="1184">
        <v>0.65410000000000001</v>
      </c>
    </row>
    <row r="238" spans="1:2" ht="15.5">
      <c r="A238" s="1183">
        <v>-11.5</v>
      </c>
      <c r="B238" s="1184">
        <v>0.65400000000000003</v>
      </c>
    </row>
    <row r="239" spans="1:2" ht="15.5">
      <c r="A239" s="1183">
        <v>-11.4</v>
      </c>
      <c r="B239" s="1184">
        <v>0.65390000000000004</v>
      </c>
    </row>
    <row r="240" spans="1:2" ht="15.5">
      <c r="A240" s="1183">
        <v>-11.3</v>
      </c>
      <c r="B240" s="1184">
        <v>0.65369999999999995</v>
      </c>
    </row>
    <row r="241" spans="1:2" ht="15.5">
      <c r="A241" s="1183">
        <v>-11.2</v>
      </c>
      <c r="B241" s="1184">
        <v>0.65359999999999996</v>
      </c>
    </row>
    <row r="242" spans="1:2" ht="15.5">
      <c r="A242" s="1183">
        <v>-11.1</v>
      </c>
      <c r="B242" s="1184">
        <v>0.65339999999999998</v>
      </c>
    </row>
    <row r="243" spans="1:2" ht="15.5">
      <c r="A243" s="1183">
        <v>-11</v>
      </c>
      <c r="B243" s="1184">
        <v>0.65329999999999999</v>
      </c>
    </row>
    <row r="244" spans="1:2" ht="15.5">
      <c r="A244" s="1183">
        <v>-10.9</v>
      </c>
      <c r="B244" s="1184">
        <v>0.6532</v>
      </c>
    </row>
    <row r="245" spans="1:2" ht="15.5">
      <c r="A245" s="1183">
        <v>-10.8</v>
      </c>
      <c r="B245" s="1184">
        <v>0.65310000000000001</v>
      </c>
    </row>
    <row r="246" spans="1:2" ht="15.5">
      <c r="A246" s="1183">
        <v>-10.7</v>
      </c>
      <c r="B246" s="1184">
        <v>0.65290000000000004</v>
      </c>
    </row>
    <row r="247" spans="1:2" ht="15.5">
      <c r="A247" s="1183">
        <v>-10.6</v>
      </c>
      <c r="B247" s="1184">
        <v>0.65280000000000005</v>
      </c>
    </row>
    <row r="248" spans="1:2" ht="15.5">
      <c r="A248" s="1183">
        <v>-10.5</v>
      </c>
      <c r="B248" s="1184">
        <v>0.65269999999999995</v>
      </c>
    </row>
    <row r="249" spans="1:2" ht="15.5">
      <c r="A249" s="1183">
        <v>-10.4</v>
      </c>
      <c r="B249" s="1184">
        <v>0.65259999999999996</v>
      </c>
    </row>
    <row r="250" spans="1:2" ht="15.5">
      <c r="A250" s="1183">
        <v>-10.3</v>
      </c>
      <c r="B250" s="1184">
        <v>0.65239999999999998</v>
      </c>
    </row>
    <row r="251" spans="1:2" ht="15.5">
      <c r="A251" s="1183">
        <v>-10.199999999999999</v>
      </c>
      <c r="B251" s="1184">
        <v>0.65229999999999999</v>
      </c>
    </row>
    <row r="252" spans="1:2" ht="15.5">
      <c r="A252" s="1183">
        <v>-10.1</v>
      </c>
      <c r="B252" s="1184">
        <v>0.65210000000000001</v>
      </c>
    </row>
    <row r="253" spans="1:2" ht="15.5">
      <c r="A253" s="1183">
        <v>-10</v>
      </c>
      <c r="B253" s="1184">
        <v>0.65200000000000002</v>
      </c>
    </row>
    <row r="254" spans="1:2" ht="15.5">
      <c r="A254" s="1183">
        <v>-9.9</v>
      </c>
      <c r="B254" s="1184">
        <v>0.65190000000000003</v>
      </c>
    </row>
    <row r="255" spans="1:2" ht="15.5">
      <c r="A255" s="1183">
        <v>-9.8000000000000007</v>
      </c>
      <c r="B255" s="1184">
        <v>0.65169999999999995</v>
      </c>
    </row>
    <row r="256" spans="1:2" ht="15.5">
      <c r="A256" s="1183">
        <v>-9.6999999999999993</v>
      </c>
      <c r="B256" s="1184">
        <v>0.65159999999999996</v>
      </c>
    </row>
    <row r="257" spans="1:2" ht="15.5">
      <c r="A257" s="1183">
        <v>-9.6</v>
      </c>
      <c r="B257" s="1184">
        <v>0.65139999999999998</v>
      </c>
    </row>
    <row r="258" spans="1:2" ht="15.5">
      <c r="A258" s="1183">
        <v>-9.5</v>
      </c>
      <c r="B258" s="1184">
        <v>0.65129999999999999</v>
      </c>
    </row>
    <row r="259" spans="1:2" ht="15.5">
      <c r="A259" s="1183">
        <v>-9.4</v>
      </c>
      <c r="B259" s="1184">
        <v>0.6512</v>
      </c>
    </row>
    <row r="260" spans="1:2" ht="15.5">
      <c r="A260" s="1183">
        <v>-9.3000000000000007</v>
      </c>
      <c r="B260" s="1184">
        <v>0.65110000000000001</v>
      </c>
    </row>
    <row r="261" spans="1:2" ht="15.5">
      <c r="A261" s="1183">
        <v>-9.1999999999999993</v>
      </c>
      <c r="B261" s="1184">
        <v>0.65090000000000003</v>
      </c>
    </row>
    <row r="262" spans="1:2" ht="15.5">
      <c r="A262" s="1183">
        <v>-9.1</v>
      </c>
      <c r="B262" s="1184">
        <v>0.65080000000000005</v>
      </c>
    </row>
    <row r="263" spans="1:2" ht="15.5">
      <c r="A263" s="1183">
        <v>-9</v>
      </c>
      <c r="B263" s="1184">
        <v>0.65069999999999995</v>
      </c>
    </row>
    <row r="264" spans="1:2" ht="15.5">
      <c r="A264" s="1183">
        <v>-8.9</v>
      </c>
      <c r="B264" s="1184">
        <v>0.65059999999999996</v>
      </c>
    </row>
    <row r="265" spans="1:2" ht="15.5">
      <c r="A265" s="1183">
        <v>-8.8000000000000007</v>
      </c>
      <c r="B265" s="1184">
        <v>0.65039999999999998</v>
      </c>
    </row>
    <row r="266" spans="1:2" ht="15.5">
      <c r="A266" s="1183">
        <v>-8.6999999999999993</v>
      </c>
      <c r="B266" s="1184">
        <v>0.65029999999999999</v>
      </c>
    </row>
    <row r="267" spans="1:2" ht="15.5">
      <c r="A267" s="1183">
        <v>-8.6</v>
      </c>
      <c r="B267" s="1184">
        <v>0.65010000000000001</v>
      </c>
    </row>
    <row r="268" spans="1:2" ht="15.5">
      <c r="A268" s="1183">
        <v>-8.5</v>
      </c>
      <c r="B268" s="1184">
        <v>0.65</v>
      </c>
    </row>
    <row r="269" spans="1:2" ht="15.5">
      <c r="A269" s="1183">
        <v>-8.4</v>
      </c>
      <c r="B269" s="1184">
        <v>0.64990000000000003</v>
      </c>
    </row>
    <row r="270" spans="1:2" ht="15.5">
      <c r="A270" s="1183">
        <v>-8.3000000000000007</v>
      </c>
      <c r="B270" s="1184">
        <v>0.64970000000000006</v>
      </c>
    </row>
    <row r="271" spans="1:2" ht="15.5">
      <c r="A271" s="1183">
        <v>-8.1999999999999993</v>
      </c>
      <c r="B271" s="1184">
        <v>0.64959999999999996</v>
      </c>
    </row>
    <row r="272" spans="1:2" ht="15.5">
      <c r="A272" s="1183">
        <v>-8.1</v>
      </c>
      <c r="B272" s="1184">
        <v>0.64939999999999998</v>
      </c>
    </row>
    <row r="273" spans="1:2" ht="15.5">
      <c r="A273" s="1183">
        <v>-8</v>
      </c>
      <c r="B273" s="1184">
        <v>0.64929999999999999</v>
      </c>
    </row>
    <row r="274" spans="1:2" ht="15.5">
      <c r="A274" s="1183">
        <v>-7.9</v>
      </c>
      <c r="B274" s="1184">
        <v>0.6492</v>
      </c>
    </row>
    <row r="275" spans="1:2" ht="15.5">
      <c r="A275" s="1183">
        <v>-7.8</v>
      </c>
      <c r="B275" s="1184">
        <v>0.64910000000000001</v>
      </c>
    </row>
    <row r="276" spans="1:2" ht="15.5">
      <c r="A276" s="1183">
        <v>-7.7</v>
      </c>
      <c r="B276" s="1184">
        <v>0.64890000000000003</v>
      </c>
    </row>
    <row r="277" spans="1:2" ht="15.5">
      <c r="A277" s="1183">
        <v>-7.6</v>
      </c>
      <c r="B277" s="1184">
        <v>0.64880000000000004</v>
      </c>
    </row>
    <row r="278" spans="1:2" ht="15.5">
      <c r="A278" s="1183">
        <v>-7.5</v>
      </c>
      <c r="B278" s="1184">
        <v>0.64870000000000005</v>
      </c>
    </row>
    <row r="279" spans="1:2" ht="15.5">
      <c r="A279" s="1183">
        <v>-7.4</v>
      </c>
      <c r="B279" s="1184">
        <v>0.64859999999999995</v>
      </c>
    </row>
    <row r="280" spans="1:2" ht="15.5">
      <c r="A280" s="1183">
        <v>-7.3</v>
      </c>
      <c r="B280" s="1184">
        <v>0.64839999999999998</v>
      </c>
    </row>
    <row r="281" spans="1:2" ht="15.5">
      <c r="A281" s="1183">
        <v>-7.2</v>
      </c>
      <c r="B281" s="1184">
        <v>0.64829999999999999</v>
      </c>
    </row>
    <row r="282" spans="1:2" ht="15.5">
      <c r="A282" s="1183">
        <v>-7.1</v>
      </c>
      <c r="B282" s="1184">
        <v>0.64810000000000001</v>
      </c>
    </row>
    <row r="283" spans="1:2" ht="15.5">
      <c r="A283" s="1183">
        <v>-7</v>
      </c>
      <c r="B283" s="1184">
        <v>0.64800000000000002</v>
      </c>
    </row>
    <row r="284" spans="1:2" ht="15.5">
      <c r="A284" s="1183">
        <v>-6.9</v>
      </c>
      <c r="B284" s="1184">
        <v>0.64790000000000003</v>
      </c>
    </row>
    <row r="285" spans="1:2" ht="15.5">
      <c r="A285" s="1183">
        <v>-6.8</v>
      </c>
      <c r="B285" s="1184">
        <v>0.64770000000000005</v>
      </c>
    </row>
    <row r="286" spans="1:2" ht="15.5">
      <c r="A286" s="1183">
        <v>-6.7</v>
      </c>
      <c r="B286" s="1184">
        <v>0.64759999999999995</v>
      </c>
    </row>
    <row r="287" spans="1:2" ht="15.5">
      <c r="A287" s="1183">
        <v>-6.6</v>
      </c>
      <c r="B287" s="1184">
        <v>0.64739999999999998</v>
      </c>
    </row>
    <row r="288" spans="1:2" ht="15.5">
      <c r="A288" s="1183">
        <v>-6.5</v>
      </c>
      <c r="B288" s="1184">
        <v>0.64729999999999999</v>
      </c>
    </row>
    <row r="289" spans="1:2" ht="15.5">
      <c r="A289" s="1183">
        <v>-6.4</v>
      </c>
      <c r="B289" s="1184">
        <v>0.6472</v>
      </c>
    </row>
    <row r="290" spans="1:2" ht="15.5">
      <c r="A290" s="1183">
        <v>-6.3</v>
      </c>
      <c r="B290" s="1184">
        <v>0.64710000000000001</v>
      </c>
    </row>
    <row r="291" spans="1:2" ht="15.5">
      <c r="A291" s="1183">
        <v>-6.2</v>
      </c>
      <c r="B291" s="1184">
        <v>0.64690000000000003</v>
      </c>
    </row>
    <row r="292" spans="1:2" ht="15.5">
      <c r="A292" s="1183">
        <v>-6.1</v>
      </c>
      <c r="B292" s="1184">
        <v>0.64680000000000004</v>
      </c>
    </row>
    <row r="293" spans="1:2" ht="15.5">
      <c r="A293" s="1183">
        <v>-6</v>
      </c>
      <c r="B293" s="1184">
        <v>0.64670000000000005</v>
      </c>
    </row>
    <row r="294" spans="1:2" ht="15.5">
      <c r="A294" s="1183">
        <v>-5.9</v>
      </c>
      <c r="B294" s="1184">
        <v>0.64659999999999995</v>
      </c>
    </row>
    <row r="295" spans="1:2" ht="15.5">
      <c r="A295" s="1183">
        <v>-5.8</v>
      </c>
      <c r="B295" s="1184">
        <v>0.64639999999999997</v>
      </c>
    </row>
    <row r="296" spans="1:2" ht="15.5">
      <c r="A296" s="1183">
        <v>-5.7</v>
      </c>
      <c r="B296" s="1184">
        <v>0.64629999999999999</v>
      </c>
    </row>
    <row r="297" spans="1:2" ht="15.5">
      <c r="A297" s="1183">
        <v>-5.6</v>
      </c>
      <c r="B297" s="1184">
        <v>0.64610000000000001</v>
      </c>
    </row>
    <row r="298" spans="1:2" ht="15.5">
      <c r="A298" s="1183">
        <v>-5.5</v>
      </c>
      <c r="B298" s="1184">
        <v>0.64600000000000002</v>
      </c>
    </row>
    <row r="299" spans="1:2" ht="15.5">
      <c r="A299" s="1183">
        <v>-5.4</v>
      </c>
      <c r="B299" s="1184">
        <v>0.64590000000000003</v>
      </c>
    </row>
    <row r="300" spans="1:2" ht="15.5">
      <c r="A300" s="1183">
        <v>-5.3</v>
      </c>
      <c r="B300" s="1184">
        <v>0.64570000000000005</v>
      </c>
    </row>
    <row r="301" spans="1:2" ht="15.5">
      <c r="A301" s="1183">
        <v>-5.2</v>
      </c>
      <c r="B301" s="1184">
        <v>0.64559999999999995</v>
      </c>
    </row>
    <row r="302" spans="1:2" ht="15.5">
      <c r="A302" s="1183">
        <v>-5.0999999999999996</v>
      </c>
      <c r="B302" s="1184">
        <v>0.64539999999999997</v>
      </c>
    </row>
    <row r="303" spans="1:2" ht="15.5">
      <c r="A303" s="1183">
        <v>-5</v>
      </c>
      <c r="B303" s="1184">
        <v>0.64529999999999998</v>
      </c>
    </row>
    <row r="304" spans="1:2" ht="15.5">
      <c r="A304" s="1183">
        <v>-4.9000000000000004</v>
      </c>
      <c r="B304" s="1184">
        <v>0.6452</v>
      </c>
    </row>
    <row r="305" spans="1:2" ht="15.5">
      <c r="A305" s="1183">
        <v>-4.8</v>
      </c>
      <c r="B305" s="1184">
        <v>0.64510000000000001</v>
      </c>
    </row>
    <row r="306" spans="1:2" ht="15.5">
      <c r="A306" s="1183">
        <v>-4.7</v>
      </c>
      <c r="B306" s="1184">
        <v>0.64490000000000003</v>
      </c>
    </row>
    <row r="307" spans="1:2" ht="15.5">
      <c r="A307" s="1183">
        <v>-4.5999999999999996</v>
      </c>
      <c r="B307" s="1184">
        <v>0.64480000000000004</v>
      </c>
    </row>
    <row r="308" spans="1:2" ht="15.5">
      <c r="A308" s="1183">
        <v>-4.5</v>
      </c>
      <c r="B308" s="1184">
        <v>0.64470000000000005</v>
      </c>
    </row>
    <row r="309" spans="1:2" ht="15.5">
      <c r="A309" s="1183">
        <v>-4.4000000000000004</v>
      </c>
      <c r="B309" s="1184">
        <v>0.64459999999999995</v>
      </c>
    </row>
    <row r="310" spans="1:2" ht="15.5">
      <c r="A310" s="1183">
        <v>-4.3</v>
      </c>
      <c r="B310" s="1184">
        <v>0.64439999999999997</v>
      </c>
    </row>
    <row r="311" spans="1:2" ht="15.5">
      <c r="A311" s="1183">
        <v>-4.2</v>
      </c>
      <c r="B311" s="1184">
        <v>0.64429999999999998</v>
      </c>
    </row>
    <row r="312" spans="1:2" ht="15.5">
      <c r="A312" s="1183">
        <v>-4.0999999999999996</v>
      </c>
      <c r="B312" s="1184">
        <v>0.64410000000000001</v>
      </c>
    </row>
    <row r="313" spans="1:2" ht="15.5">
      <c r="A313" s="1183">
        <v>-4</v>
      </c>
      <c r="B313" s="1184">
        <v>0.64400000000000002</v>
      </c>
    </row>
    <row r="314" spans="1:2" ht="15.5">
      <c r="A314" s="1183">
        <v>-3.9</v>
      </c>
      <c r="B314" s="1184">
        <v>0.64390000000000003</v>
      </c>
    </row>
    <row r="315" spans="1:2" ht="15.5">
      <c r="A315" s="1183">
        <v>-3.8</v>
      </c>
      <c r="B315" s="1184">
        <v>0.64370000000000005</v>
      </c>
    </row>
    <row r="316" spans="1:2" ht="15.5">
      <c r="A316" s="1183">
        <v>-3.7</v>
      </c>
      <c r="B316" s="1184">
        <v>0.64359999999999995</v>
      </c>
    </row>
    <row r="317" spans="1:2" ht="15.5">
      <c r="A317" s="1183">
        <v>-3.6</v>
      </c>
      <c r="B317" s="1184">
        <v>0.64339999999999997</v>
      </c>
    </row>
    <row r="318" spans="1:2" ht="15.5">
      <c r="A318" s="1183">
        <v>-3.5</v>
      </c>
      <c r="B318" s="1184">
        <v>0.64329999999999998</v>
      </c>
    </row>
    <row r="319" spans="1:2" ht="15.5">
      <c r="A319" s="1183">
        <v>-3.4</v>
      </c>
      <c r="B319" s="1184">
        <v>0.64319999999999999</v>
      </c>
    </row>
    <row r="320" spans="1:2" ht="15.5">
      <c r="A320" s="1183">
        <v>-3.3</v>
      </c>
      <c r="B320" s="1184">
        <v>0.64300000000000002</v>
      </c>
    </row>
    <row r="321" spans="1:2" ht="15.5">
      <c r="A321" s="1183">
        <v>-3.2</v>
      </c>
      <c r="B321" s="1184">
        <v>0.64290000000000003</v>
      </c>
    </row>
    <row r="322" spans="1:2" ht="15.5">
      <c r="A322" s="1183">
        <v>-3.1</v>
      </c>
      <c r="B322" s="1184">
        <v>0.64270000000000005</v>
      </c>
    </row>
    <row r="323" spans="1:2" ht="15.5">
      <c r="A323" s="1183">
        <v>-3</v>
      </c>
      <c r="B323" s="1184">
        <v>0.64259999999999995</v>
      </c>
    </row>
    <row r="324" spans="1:2" ht="15.5">
      <c r="A324" s="1183">
        <v>-2.9</v>
      </c>
      <c r="B324" s="1184">
        <v>0.64249999999999996</v>
      </c>
    </row>
    <row r="325" spans="1:2" ht="15.5">
      <c r="A325" s="1183">
        <v>-2.8</v>
      </c>
      <c r="B325" s="1184">
        <v>0.64239999999999997</v>
      </c>
    </row>
    <row r="326" spans="1:2" ht="15.5">
      <c r="A326" s="1183">
        <v>-2.7</v>
      </c>
      <c r="B326" s="1184">
        <v>0.64219999999999999</v>
      </c>
    </row>
    <row r="327" spans="1:2" ht="15.5">
      <c r="A327" s="1183">
        <v>-2.6</v>
      </c>
      <c r="B327" s="1184">
        <v>0.6421</v>
      </c>
    </row>
    <row r="328" spans="1:2" ht="15.5">
      <c r="A328" s="1183">
        <v>-2.5</v>
      </c>
      <c r="B328" s="1184">
        <v>0.64200000000000002</v>
      </c>
    </row>
    <row r="329" spans="1:2" ht="15.5">
      <c r="A329" s="1183">
        <v>-2.4</v>
      </c>
      <c r="B329" s="1184">
        <v>0.64190000000000003</v>
      </c>
    </row>
    <row r="330" spans="1:2" ht="15.5">
      <c r="A330" s="1183">
        <v>-2.2999999999999998</v>
      </c>
      <c r="B330" s="1184">
        <v>0.64170000000000005</v>
      </c>
    </row>
    <row r="331" spans="1:2" ht="15.5">
      <c r="A331" s="1183">
        <v>-2.2000000000000002</v>
      </c>
      <c r="B331" s="1184">
        <v>0.64159999999999995</v>
      </c>
    </row>
    <row r="332" spans="1:2" ht="15.5">
      <c r="A332" s="1183">
        <v>-2.1</v>
      </c>
      <c r="B332" s="1184">
        <v>0.64139999999999997</v>
      </c>
    </row>
    <row r="333" spans="1:2" ht="15.5">
      <c r="A333" s="1183">
        <v>-2</v>
      </c>
      <c r="B333" s="1184">
        <v>0.64129999999999998</v>
      </c>
    </row>
    <row r="334" spans="1:2" ht="15.5">
      <c r="A334" s="1183">
        <v>-1.9</v>
      </c>
      <c r="B334" s="1184">
        <v>0.64119999999999999</v>
      </c>
    </row>
    <row r="335" spans="1:2" ht="15.5">
      <c r="A335" s="1183">
        <v>-1.8</v>
      </c>
      <c r="B335" s="1184">
        <v>0.64100000000000001</v>
      </c>
    </row>
    <row r="336" spans="1:2" ht="15.5">
      <c r="A336" s="1183">
        <v>-1.7</v>
      </c>
      <c r="B336" s="1184">
        <v>0.64090000000000003</v>
      </c>
    </row>
    <row r="337" spans="1:2" ht="15.5">
      <c r="A337" s="1183">
        <v>-1.6</v>
      </c>
      <c r="B337" s="1184">
        <v>0.64070000000000005</v>
      </c>
    </row>
    <row r="338" spans="1:2" ht="15.5">
      <c r="A338" s="1183">
        <v>-1.5</v>
      </c>
      <c r="B338" s="1184">
        <v>0.64059999999999995</v>
      </c>
    </row>
    <row r="339" spans="1:2" ht="15.5">
      <c r="A339" s="1183">
        <v>-1.4</v>
      </c>
      <c r="B339" s="1184">
        <v>0.64049999999999996</v>
      </c>
    </row>
    <row r="340" spans="1:2" ht="15.5">
      <c r="A340" s="1183">
        <v>-1.3</v>
      </c>
      <c r="B340" s="1184">
        <v>0.64029999999999998</v>
      </c>
    </row>
    <row r="341" spans="1:2" ht="15.5">
      <c r="A341" s="1183">
        <v>-1.2</v>
      </c>
      <c r="B341" s="1184">
        <v>0.64019999999999999</v>
      </c>
    </row>
    <row r="342" spans="1:2" ht="15.5">
      <c r="A342" s="1183">
        <v>-1.1000000000000001</v>
      </c>
      <c r="B342" s="1184">
        <v>0.64</v>
      </c>
    </row>
    <row r="343" spans="1:2" ht="15.5">
      <c r="A343" s="1183">
        <v>-1</v>
      </c>
      <c r="B343" s="1184">
        <v>0.63990000000000002</v>
      </c>
    </row>
    <row r="344" spans="1:2" ht="15.5">
      <c r="A344" s="1183">
        <v>-0.9</v>
      </c>
      <c r="B344" s="1184">
        <v>0.63980000000000004</v>
      </c>
    </row>
    <row r="345" spans="1:2" ht="15.5">
      <c r="A345" s="1183">
        <v>-0.8</v>
      </c>
      <c r="B345" s="1184">
        <v>0.63959999999999995</v>
      </c>
    </row>
    <row r="346" spans="1:2" ht="15.5">
      <c r="A346" s="1183">
        <v>-0.7</v>
      </c>
      <c r="B346" s="1184">
        <v>0.63949999999999996</v>
      </c>
    </row>
    <row r="347" spans="1:2" ht="15.5">
      <c r="A347" s="1183">
        <v>-0.6</v>
      </c>
      <c r="B347" s="1184">
        <v>0.63929999999999998</v>
      </c>
    </row>
    <row r="348" spans="1:2" ht="15.5">
      <c r="A348" s="1183">
        <v>-0.5</v>
      </c>
      <c r="B348" s="1184">
        <v>0.63919999999999999</v>
      </c>
    </row>
    <row r="349" spans="1:2" ht="15.5">
      <c r="A349" s="1183">
        <v>-0.4</v>
      </c>
      <c r="B349" s="1184">
        <v>0.6391</v>
      </c>
    </row>
    <row r="350" spans="1:2" ht="15.5">
      <c r="A350" s="1183">
        <v>-0.3</v>
      </c>
      <c r="B350" s="1184">
        <v>0.63900000000000001</v>
      </c>
    </row>
    <row r="351" spans="1:2" ht="15.5">
      <c r="A351" s="1183">
        <v>-0.2</v>
      </c>
      <c r="B351" s="1184">
        <v>0.63880000000000003</v>
      </c>
    </row>
    <row r="352" spans="1:2" ht="15.5">
      <c r="A352" s="1183">
        <v>-0.1</v>
      </c>
      <c r="B352" s="1184">
        <v>0.63870000000000005</v>
      </c>
    </row>
    <row r="353" spans="1:2" ht="15.5">
      <c r="A353" s="1183">
        <v>0</v>
      </c>
      <c r="B353" s="1184">
        <v>0.63859999999999995</v>
      </c>
    </row>
    <row r="354" spans="1:2" ht="15.5">
      <c r="A354" s="1183">
        <v>0.1</v>
      </c>
      <c r="B354" s="1184">
        <v>0.63849999999999996</v>
      </c>
    </row>
    <row r="355" spans="1:2" ht="15.5">
      <c r="A355" s="1183">
        <v>0.2</v>
      </c>
      <c r="B355" s="1184">
        <v>0.63829999999999998</v>
      </c>
    </row>
    <row r="356" spans="1:2" ht="15.5">
      <c r="A356" s="1183">
        <v>0.3</v>
      </c>
      <c r="B356" s="1184">
        <v>0.63819999999999999</v>
      </c>
    </row>
    <row r="357" spans="1:2" ht="15.5">
      <c r="A357" s="1183">
        <v>0.4</v>
      </c>
      <c r="B357" s="1184">
        <v>0.63800000000000001</v>
      </c>
    </row>
    <row r="358" spans="1:2" ht="15.5">
      <c r="A358" s="1183">
        <v>0.5</v>
      </c>
      <c r="B358" s="1184">
        <v>0.63790000000000002</v>
      </c>
    </row>
    <row r="359" spans="1:2" ht="15.5">
      <c r="A359" s="1183">
        <v>0.6</v>
      </c>
      <c r="B359" s="1184">
        <v>0.63780000000000003</v>
      </c>
    </row>
    <row r="360" spans="1:2" ht="15.5">
      <c r="A360" s="1183">
        <v>0.7</v>
      </c>
      <c r="B360" s="1184">
        <v>0.63759999999999994</v>
      </c>
    </row>
    <row r="361" spans="1:2" ht="15.5">
      <c r="A361" s="1183">
        <v>0.8</v>
      </c>
      <c r="B361" s="1184">
        <v>0.63749999999999996</v>
      </c>
    </row>
    <row r="362" spans="1:2" ht="15.5">
      <c r="A362" s="1183">
        <v>0.9</v>
      </c>
      <c r="B362" s="1184">
        <v>0.63729999999999998</v>
      </c>
    </row>
    <row r="363" spans="1:2" ht="15.5">
      <c r="A363" s="1183">
        <v>1</v>
      </c>
      <c r="B363" s="1184">
        <v>0.63719999999999999</v>
      </c>
    </row>
    <row r="364" spans="1:2" ht="15.5">
      <c r="A364" s="1183">
        <v>1.1000000000000001</v>
      </c>
      <c r="B364" s="1184">
        <v>0.6371</v>
      </c>
    </row>
    <row r="365" spans="1:2" ht="15.5">
      <c r="A365" s="1183">
        <v>1.2</v>
      </c>
      <c r="B365" s="1184">
        <v>0.63690000000000002</v>
      </c>
    </row>
    <row r="366" spans="1:2" ht="15.5">
      <c r="A366" s="1183">
        <v>1.3</v>
      </c>
      <c r="B366" s="1184">
        <v>0.63680000000000003</v>
      </c>
    </row>
    <row r="367" spans="1:2" ht="15.5">
      <c r="A367" s="1183">
        <v>1.4</v>
      </c>
      <c r="B367" s="1184">
        <v>0.63660000000000005</v>
      </c>
    </row>
    <row r="368" spans="1:2" ht="15.5">
      <c r="A368" s="1183">
        <v>1.5</v>
      </c>
      <c r="B368" s="1184">
        <v>0.63649999999999995</v>
      </c>
    </row>
    <row r="369" spans="1:2" ht="15.5">
      <c r="A369" s="1183">
        <v>1.6</v>
      </c>
      <c r="B369" s="1184">
        <v>0.63639999999999997</v>
      </c>
    </row>
    <row r="370" spans="1:2" ht="15.5">
      <c r="A370" s="1183">
        <v>1.7</v>
      </c>
      <c r="B370" s="1184">
        <v>0.63619999999999999</v>
      </c>
    </row>
    <row r="371" spans="1:2" ht="15.5">
      <c r="A371" s="1183">
        <v>1.8</v>
      </c>
      <c r="B371" s="1184">
        <v>0.6361</v>
      </c>
    </row>
    <row r="372" spans="1:2" ht="15.5">
      <c r="A372" s="1183">
        <v>1.9</v>
      </c>
      <c r="B372" s="1184">
        <v>0.63590000000000002</v>
      </c>
    </row>
    <row r="373" spans="1:2" ht="15.5">
      <c r="A373" s="1183">
        <v>2</v>
      </c>
      <c r="B373" s="1184">
        <v>0.63580000000000003</v>
      </c>
    </row>
    <row r="374" spans="1:2" ht="15.5">
      <c r="A374" s="1183">
        <v>2.1</v>
      </c>
      <c r="B374" s="1184">
        <v>0.63570000000000004</v>
      </c>
    </row>
    <row r="375" spans="1:2" ht="15.5">
      <c r="A375" s="1183">
        <v>2.2000000000000002</v>
      </c>
      <c r="B375" s="1184">
        <v>0.63549999999999995</v>
      </c>
    </row>
    <row r="376" spans="1:2" ht="15.5">
      <c r="A376" s="1183">
        <v>2.2999999999999998</v>
      </c>
      <c r="B376" s="1184">
        <v>0.63539999999999996</v>
      </c>
    </row>
    <row r="377" spans="1:2" ht="15.5">
      <c r="A377" s="1183">
        <v>2.4</v>
      </c>
      <c r="B377" s="1184">
        <v>0.63519999999999999</v>
      </c>
    </row>
    <row r="378" spans="1:2" ht="15.5">
      <c r="A378" s="1183">
        <v>2.5</v>
      </c>
      <c r="B378" s="1184">
        <v>0.6351</v>
      </c>
    </row>
    <row r="379" spans="1:2" ht="15.5">
      <c r="A379" s="1183">
        <v>2.6</v>
      </c>
      <c r="B379" s="1184">
        <v>0.63500000000000001</v>
      </c>
    </row>
    <row r="380" spans="1:2" ht="15.5">
      <c r="A380" s="1183">
        <v>2.7</v>
      </c>
      <c r="B380" s="1184">
        <v>0.63490000000000002</v>
      </c>
    </row>
    <row r="381" spans="1:2" ht="15.5">
      <c r="A381" s="1183">
        <v>2.8</v>
      </c>
      <c r="B381" s="1184">
        <v>0.63470000000000004</v>
      </c>
    </row>
    <row r="382" spans="1:2" ht="15.5">
      <c r="A382" s="1183">
        <v>2.9</v>
      </c>
      <c r="B382" s="1184">
        <v>0.63460000000000005</v>
      </c>
    </row>
    <row r="383" spans="1:2" ht="15.5">
      <c r="A383" s="1183">
        <v>3</v>
      </c>
      <c r="B383" s="1184">
        <v>0.63449999999999995</v>
      </c>
    </row>
    <row r="384" spans="1:2" ht="15.5">
      <c r="A384" s="1183">
        <v>3.1</v>
      </c>
      <c r="B384" s="1184">
        <v>0.63439999999999996</v>
      </c>
    </row>
    <row r="385" spans="1:2" ht="15.5">
      <c r="A385" s="1183">
        <v>3.2</v>
      </c>
      <c r="B385" s="1184">
        <v>0.63419999999999999</v>
      </c>
    </row>
    <row r="386" spans="1:2" ht="15.5">
      <c r="A386" s="1183">
        <v>3.3</v>
      </c>
      <c r="B386" s="1184">
        <v>0.6341</v>
      </c>
    </row>
    <row r="387" spans="1:2" ht="15.5">
      <c r="A387" s="1183">
        <v>3.4</v>
      </c>
      <c r="B387" s="1184">
        <v>0.63390000000000002</v>
      </c>
    </row>
    <row r="388" spans="1:2" ht="15.5">
      <c r="A388" s="1183">
        <v>3.5</v>
      </c>
      <c r="B388" s="1184">
        <v>0.63380000000000003</v>
      </c>
    </row>
    <row r="389" spans="1:2" ht="15.5">
      <c r="A389" s="1183">
        <v>3.6</v>
      </c>
      <c r="B389" s="1184">
        <v>0.63370000000000004</v>
      </c>
    </row>
    <row r="390" spans="1:2" ht="15.5">
      <c r="A390" s="1183">
        <v>3.7</v>
      </c>
      <c r="B390" s="1184">
        <v>0.63349999999999995</v>
      </c>
    </row>
    <row r="391" spans="1:2" ht="15.5">
      <c r="A391" s="1183">
        <v>3.8</v>
      </c>
      <c r="B391" s="1184">
        <v>0.63339999999999996</v>
      </c>
    </row>
    <row r="392" spans="1:2" ht="15.5">
      <c r="A392" s="1183">
        <v>3.9</v>
      </c>
      <c r="B392" s="1184">
        <v>0.63319999999999999</v>
      </c>
    </row>
    <row r="393" spans="1:2" ht="15.5">
      <c r="A393" s="1183">
        <v>4</v>
      </c>
      <c r="B393" s="1184">
        <v>0.6331</v>
      </c>
    </row>
    <row r="394" spans="1:2" ht="15.5">
      <c r="A394" s="1183">
        <v>4.0999999999999996</v>
      </c>
      <c r="B394" s="1184">
        <v>0.63300000000000001</v>
      </c>
    </row>
    <row r="395" spans="1:2" ht="15.5">
      <c r="A395" s="1183">
        <v>4.2</v>
      </c>
      <c r="B395" s="1184">
        <v>0.63280000000000003</v>
      </c>
    </row>
    <row r="396" spans="1:2" ht="15.5">
      <c r="A396" s="1183">
        <v>4.3</v>
      </c>
      <c r="B396" s="1184">
        <v>0.63270000000000004</v>
      </c>
    </row>
    <row r="397" spans="1:2" ht="15.5">
      <c r="A397" s="1183">
        <v>4.4000000000000004</v>
      </c>
      <c r="B397" s="1184">
        <v>0.63249999999999995</v>
      </c>
    </row>
    <row r="398" spans="1:2" ht="15.5">
      <c r="A398" s="1183">
        <v>4.5</v>
      </c>
      <c r="B398" s="1184">
        <v>0.63239999999999996</v>
      </c>
    </row>
    <row r="399" spans="1:2" ht="15.5">
      <c r="A399" s="1183">
        <v>4.5999999999999996</v>
      </c>
      <c r="B399" s="1184">
        <v>0.63229999999999997</v>
      </c>
    </row>
    <row r="400" spans="1:2" ht="15.5">
      <c r="A400" s="1183">
        <v>4.7</v>
      </c>
      <c r="B400" s="1184">
        <v>0.6321</v>
      </c>
    </row>
    <row r="401" spans="1:2" ht="15.5">
      <c r="A401" s="1183">
        <v>4.8</v>
      </c>
      <c r="B401" s="1184">
        <v>0.63200000000000001</v>
      </c>
    </row>
    <row r="402" spans="1:2" ht="15.5">
      <c r="A402" s="1183">
        <v>4.9000000000000004</v>
      </c>
      <c r="B402" s="1184">
        <v>0.63180000000000003</v>
      </c>
    </row>
    <row r="403" spans="1:2" ht="15.5">
      <c r="A403" s="1183">
        <v>5</v>
      </c>
      <c r="B403" s="1184">
        <v>0.63170000000000004</v>
      </c>
    </row>
    <row r="404" spans="1:2" ht="15.5">
      <c r="A404" s="1183">
        <v>5.0999999999999996</v>
      </c>
      <c r="B404" s="1184">
        <v>0.63160000000000005</v>
      </c>
    </row>
    <row r="405" spans="1:2" ht="15.5">
      <c r="A405" s="1183">
        <v>5.2</v>
      </c>
      <c r="B405" s="1184">
        <v>0.63139999999999996</v>
      </c>
    </row>
    <row r="406" spans="1:2" ht="15.5">
      <c r="A406" s="1183">
        <v>5.3</v>
      </c>
      <c r="B406" s="1184">
        <v>0.63129999999999997</v>
      </c>
    </row>
    <row r="407" spans="1:2" ht="15.5">
      <c r="A407" s="1183">
        <v>5.4</v>
      </c>
      <c r="B407" s="1184">
        <v>0.63109999999999999</v>
      </c>
    </row>
    <row r="408" spans="1:2" ht="15.5">
      <c r="A408" s="1183">
        <v>5.5</v>
      </c>
      <c r="B408" s="1184">
        <v>0.63100000000000001</v>
      </c>
    </row>
    <row r="409" spans="1:2" ht="15.5">
      <c r="A409" s="1183">
        <v>5.6</v>
      </c>
      <c r="B409" s="1184">
        <v>0.63090000000000002</v>
      </c>
    </row>
    <row r="410" spans="1:2" ht="15.5">
      <c r="A410" s="1183">
        <v>5.7</v>
      </c>
      <c r="B410" s="1184">
        <v>0.63070000000000004</v>
      </c>
    </row>
    <row r="411" spans="1:2" ht="15.5">
      <c r="A411" s="1183">
        <v>5.8</v>
      </c>
      <c r="B411" s="1184">
        <v>0.63060000000000005</v>
      </c>
    </row>
    <row r="412" spans="1:2" ht="15.5">
      <c r="A412" s="1183">
        <v>5.9</v>
      </c>
      <c r="B412" s="1184">
        <v>0.63039999999999996</v>
      </c>
    </row>
    <row r="413" spans="1:2" ht="15.5">
      <c r="A413" s="1183">
        <v>6</v>
      </c>
      <c r="B413" s="1184">
        <v>0.63029999999999997</v>
      </c>
    </row>
    <row r="414" spans="1:2" ht="15.5">
      <c r="A414" s="1183">
        <v>6.1</v>
      </c>
      <c r="B414" s="1184">
        <v>0.63019999999999998</v>
      </c>
    </row>
    <row r="415" spans="1:2" ht="15.5">
      <c r="A415" s="1183">
        <v>6.2</v>
      </c>
      <c r="B415" s="1184">
        <v>0.63</v>
      </c>
    </row>
    <row r="416" spans="1:2" ht="15.5">
      <c r="A416" s="1183">
        <v>6.3</v>
      </c>
      <c r="B416" s="1184">
        <v>0.62990000000000002</v>
      </c>
    </row>
    <row r="417" spans="1:2" ht="15.5">
      <c r="A417" s="1183">
        <v>6.4</v>
      </c>
      <c r="B417" s="1184">
        <v>0.62970000000000004</v>
      </c>
    </row>
    <row r="418" spans="1:2" ht="15.5">
      <c r="A418" s="1183">
        <v>6.5</v>
      </c>
      <c r="B418" s="1184">
        <v>0.62960000000000005</v>
      </c>
    </row>
    <row r="419" spans="1:2" ht="15.5">
      <c r="A419" s="1183">
        <v>6.6</v>
      </c>
      <c r="B419" s="1184">
        <v>0.62949999999999995</v>
      </c>
    </row>
    <row r="420" spans="1:2" ht="15.5">
      <c r="A420" s="1183">
        <v>6.7</v>
      </c>
      <c r="B420" s="1184">
        <v>0.62929999999999997</v>
      </c>
    </row>
    <row r="421" spans="1:2" ht="15.5">
      <c r="A421" s="1183">
        <v>6.8</v>
      </c>
      <c r="B421" s="1184">
        <v>0.62919999999999998</v>
      </c>
    </row>
    <row r="422" spans="1:2" ht="15.5">
      <c r="A422" s="1183">
        <v>6.9</v>
      </c>
      <c r="B422" s="1184">
        <v>0.629</v>
      </c>
    </row>
    <row r="423" spans="1:2" ht="15.5">
      <c r="A423" s="1183">
        <v>7</v>
      </c>
      <c r="B423" s="1184">
        <v>0.62890000000000001</v>
      </c>
    </row>
    <row r="424" spans="1:2" ht="15.5">
      <c r="A424" s="1183">
        <v>7.1</v>
      </c>
      <c r="B424" s="1184">
        <v>0.62880000000000003</v>
      </c>
    </row>
    <row r="425" spans="1:2" ht="15.5">
      <c r="A425" s="1183">
        <v>7.2</v>
      </c>
      <c r="B425" s="1184">
        <v>0.62860000000000005</v>
      </c>
    </row>
    <row r="426" spans="1:2" ht="15.5">
      <c r="A426" s="1183">
        <v>7.3</v>
      </c>
      <c r="B426" s="1184">
        <v>0.62849999999999995</v>
      </c>
    </row>
    <row r="427" spans="1:2" ht="15.5">
      <c r="A427" s="1183">
        <v>7.4</v>
      </c>
      <c r="B427" s="1184">
        <v>0.62829999999999997</v>
      </c>
    </row>
    <row r="428" spans="1:2" ht="15.5">
      <c r="A428" s="1183">
        <v>7.5</v>
      </c>
      <c r="B428" s="1184">
        <v>0.62819999999999998</v>
      </c>
    </row>
    <row r="429" spans="1:2" ht="15.5">
      <c r="A429" s="1183">
        <v>7.6</v>
      </c>
      <c r="B429" s="1184">
        <v>0.62809999999999999</v>
      </c>
    </row>
    <row r="430" spans="1:2" ht="15.5">
      <c r="A430" s="1183">
        <v>7.7</v>
      </c>
      <c r="B430" s="1184">
        <v>0.62790000000000001</v>
      </c>
    </row>
    <row r="431" spans="1:2" ht="15.5">
      <c r="A431" s="1183">
        <v>7.8</v>
      </c>
      <c r="B431" s="1184">
        <v>0.62780000000000002</v>
      </c>
    </row>
    <row r="432" spans="1:2" ht="15.5">
      <c r="A432" s="1183">
        <v>7.9</v>
      </c>
      <c r="B432" s="1184">
        <v>0.62760000000000005</v>
      </c>
    </row>
    <row r="433" spans="1:2" ht="15.5">
      <c r="A433" s="1183">
        <v>8</v>
      </c>
      <c r="B433" s="1184">
        <v>0.62749999999999995</v>
      </c>
    </row>
    <row r="434" spans="1:2" ht="15.5">
      <c r="A434" s="1183">
        <v>8.1</v>
      </c>
      <c r="B434" s="1184">
        <v>0.62739999999999996</v>
      </c>
    </row>
    <row r="435" spans="1:2" ht="15.5">
      <c r="A435" s="1183">
        <v>8.1999999999999993</v>
      </c>
      <c r="B435" s="1184">
        <v>0.62719999999999998</v>
      </c>
    </row>
    <row r="436" spans="1:2" ht="15.5">
      <c r="A436" s="1183">
        <v>8.3000000000000007</v>
      </c>
      <c r="B436" s="1184">
        <v>0.62709999999999999</v>
      </c>
    </row>
    <row r="437" spans="1:2" ht="15.5">
      <c r="A437" s="1183">
        <v>8.4</v>
      </c>
      <c r="B437" s="1184">
        <v>0.62690000000000001</v>
      </c>
    </row>
    <row r="438" spans="1:2" ht="15.5">
      <c r="A438" s="1183">
        <v>8.5</v>
      </c>
      <c r="B438" s="1184">
        <v>0.62680000000000002</v>
      </c>
    </row>
    <row r="439" spans="1:2" ht="15.5">
      <c r="A439" s="1183">
        <v>8.6</v>
      </c>
      <c r="B439" s="1184">
        <v>0.62670000000000003</v>
      </c>
    </row>
    <row r="440" spans="1:2" ht="15.5">
      <c r="A440" s="1183">
        <v>8.6999999999999993</v>
      </c>
      <c r="B440" s="1184">
        <v>0.62649999999999995</v>
      </c>
    </row>
    <row r="441" spans="1:2" ht="15.5">
      <c r="A441" s="1183">
        <v>8.8000000000000007</v>
      </c>
      <c r="B441" s="1184">
        <v>0.62639999999999996</v>
      </c>
    </row>
    <row r="442" spans="1:2" ht="15.5">
      <c r="A442" s="1183">
        <v>8.9</v>
      </c>
      <c r="B442" s="1184">
        <v>0.62619999999999998</v>
      </c>
    </row>
    <row r="443" spans="1:2" ht="15.5">
      <c r="A443" s="1183">
        <v>9</v>
      </c>
      <c r="B443" s="1184">
        <v>0.62609999999999999</v>
      </c>
    </row>
    <row r="444" spans="1:2" ht="15.5">
      <c r="A444" s="1183">
        <v>9.1</v>
      </c>
      <c r="B444" s="1184">
        <v>0.626</v>
      </c>
    </row>
    <row r="445" spans="1:2" ht="15.5">
      <c r="A445" s="1183">
        <v>9.1999999999999993</v>
      </c>
      <c r="B445" s="1184">
        <v>0.62580000000000002</v>
      </c>
    </row>
    <row r="446" spans="1:2" ht="15.5">
      <c r="A446" s="1183">
        <v>9.3000000000000007</v>
      </c>
      <c r="B446" s="1184">
        <v>0.62570000000000003</v>
      </c>
    </row>
    <row r="447" spans="1:2" ht="15.5">
      <c r="A447" s="1183">
        <v>9.4</v>
      </c>
      <c r="B447" s="1184">
        <v>0.62549999999999994</v>
      </c>
    </row>
    <row r="448" spans="1:2" ht="15.5">
      <c r="A448" s="1183">
        <v>9.5</v>
      </c>
      <c r="B448" s="1184">
        <v>0.62539999999999996</v>
      </c>
    </row>
    <row r="449" spans="1:2" ht="15.5">
      <c r="A449" s="1183">
        <v>9.6</v>
      </c>
      <c r="B449" s="1184">
        <v>0.62529999999999997</v>
      </c>
    </row>
    <row r="450" spans="1:2" ht="15.5">
      <c r="A450" s="1183">
        <v>9.6999999999999993</v>
      </c>
      <c r="B450" s="1184">
        <v>0.62509999999999999</v>
      </c>
    </row>
    <row r="451" spans="1:2" ht="15.5">
      <c r="A451" s="1183">
        <v>9.8000000000000007</v>
      </c>
      <c r="B451" s="1184">
        <v>0.625</v>
      </c>
    </row>
    <row r="452" spans="1:2" ht="15.5">
      <c r="A452" s="1183">
        <v>9.9</v>
      </c>
      <c r="B452" s="1184">
        <v>0.62480000000000002</v>
      </c>
    </row>
    <row r="453" spans="1:2" ht="15.5">
      <c r="A453" s="1183">
        <v>10</v>
      </c>
      <c r="B453" s="1184">
        <v>0.62470000000000003</v>
      </c>
    </row>
    <row r="454" spans="1:2" ht="15.5">
      <c r="A454" s="1183">
        <v>10.1</v>
      </c>
      <c r="B454" s="1184">
        <v>0.62460000000000004</v>
      </c>
    </row>
    <row r="455" spans="1:2" ht="15.5">
      <c r="A455" s="1183">
        <v>10.199999999999999</v>
      </c>
      <c r="B455" s="1184">
        <v>0.62439999999999996</v>
      </c>
    </row>
    <row r="456" spans="1:2" ht="15.5">
      <c r="A456" s="1183">
        <v>10.3</v>
      </c>
      <c r="B456" s="1184">
        <v>0.62429999999999997</v>
      </c>
    </row>
    <row r="457" spans="1:2" ht="15.5">
      <c r="A457" s="1183">
        <v>10.4</v>
      </c>
      <c r="B457" s="1184">
        <v>0.62409999999999999</v>
      </c>
    </row>
    <row r="458" spans="1:2" ht="15.5">
      <c r="A458" s="1183">
        <v>10.5</v>
      </c>
      <c r="B458" s="1184">
        <v>0.624</v>
      </c>
    </row>
    <row r="459" spans="1:2" ht="15.5">
      <c r="A459" s="1183">
        <v>10.6</v>
      </c>
      <c r="B459" s="1184">
        <v>0.62390000000000001</v>
      </c>
    </row>
    <row r="460" spans="1:2" ht="15.5">
      <c r="A460" s="1183">
        <v>10.7</v>
      </c>
      <c r="B460" s="1184">
        <v>0.62370000000000003</v>
      </c>
    </row>
    <row r="461" spans="1:2" ht="15.5">
      <c r="A461" s="1183">
        <v>10.8</v>
      </c>
      <c r="B461" s="1184">
        <v>0.62360000000000004</v>
      </c>
    </row>
    <row r="462" spans="1:2" ht="15.5">
      <c r="A462" s="1183">
        <v>10.9</v>
      </c>
      <c r="B462" s="1184">
        <v>0.62339999999999995</v>
      </c>
    </row>
    <row r="463" spans="1:2" ht="15.5">
      <c r="A463" s="1183">
        <v>11</v>
      </c>
      <c r="B463" s="1184">
        <v>0.62329999999999997</v>
      </c>
    </row>
    <row r="464" spans="1:2" ht="15.5">
      <c r="A464" s="1183">
        <v>11.1</v>
      </c>
      <c r="B464" s="1184">
        <v>0.62319999999999998</v>
      </c>
    </row>
    <row r="465" spans="1:2" ht="15.5">
      <c r="A465" s="1183">
        <v>11.2</v>
      </c>
      <c r="B465" s="1184">
        <v>0.623</v>
      </c>
    </row>
    <row r="466" spans="1:2" ht="15.5">
      <c r="A466" s="1183">
        <v>11.3</v>
      </c>
      <c r="B466" s="1184">
        <v>0.62290000000000001</v>
      </c>
    </row>
    <row r="467" spans="1:2" ht="15.5">
      <c r="A467" s="1183">
        <v>11.4</v>
      </c>
      <c r="B467" s="1184">
        <v>0.62270000000000003</v>
      </c>
    </row>
    <row r="468" spans="1:2" ht="15.5">
      <c r="A468" s="1183">
        <v>11.5</v>
      </c>
      <c r="B468" s="1184">
        <v>0.62260000000000004</v>
      </c>
    </row>
    <row r="469" spans="1:2" ht="15.5">
      <c r="A469" s="1183">
        <v>11.6</v>
      </c>
      <c r="B469" s="1184">
        <v>0.62239999999999995</v>
      </c>
    </row>
    <row r="470" spans="1:2" ht="15.5">
      <c r="A470" s="1183">
        <v>11.7</v>
      </c>
      <c r="B470" s="1184">
        <v>0.62229999999999996</v>
      </c>
    </row>
    <row r="471" spans="1:2" ht="15.5">
      <c r="A471" s="1183">
        <v>11.8</v>
      </c>
      <c r="B471" s="1184">
        <v>0.62209999999999999</v>
      </c>
    </row>
    <row r="472" spans="1:2" ht="15.5">
      <c r="A472" s="1183">
        <v>11.9</v>
      </c>
      <c r="B472" s="1184">
        <v>0.622</v>
      </c>
    </row>
    <row r="473" spans="1:2" ht="15.5">
      <c r="A473" s="1183">
        <v>12</v>
      </c>
      <c r="B473" s="1184">
        <v>0.62180000000000002</v>
      </c>
    </row>
    <row r="474" spans="1:2" ht="15.5">
      <c r="A474" s="1183">
        <v>12.1</v>
      </c>
      <c r="B474" s="1184">
        <v>0.62170000000000003</v>
      </c>
    </row>
    <row r="475" spans="1:2" ht="15.5">
      <c r="A475" s="1183">
        <v>12.2</v>
      </c>
      <c r="B475" s="1184">
        <v>0.62150000000000005</v>
      </c>
    </row>
    <row r="476" spans="1:2" ht="15.5">
      <c r="A476" s="1183">
        <v>12.3</v>
      </c>
      <c r="B476" s="1184">
        <v>0.62139999999999995</v>
      </c>
    </row>
    <row r="477" spans="1:2" ht="15.5">
      <c r="A477" s="1183">
        <v>12.4</v>
      </c>
      <c r="B477" s="1184">
        <v>0.62119999999999997</v>
      </c>
    </row>
    <row r="478" spans="1:2" ht="15.5">
      <c r="A478" s="1183">
        <v>12.5</v>
      </c>
      <c r="B478" s="1184">
        <v>0.62109999999999999</v>
      </c>
    </row>
    <row r="479" spans="1:2" ht="15.5">
      <c r="A479" s="1183">
        <v>12.6</v>
      </c>
      <c r="B479" s="1184">
        <v>0.621</v>
      </c>
    </row>
    <row r="480" spans="1:2" ht="15.5">
      <c r="A480" s="1183">
        <v>12.7</v>
      </c>
      <c r="B480" s="1184">
        <v>0.62080000000000002</v>
      </c>
    </row>
    <row r="481" spans="1:2" ht="15.5">
      <c r="A481" s="1183">
        <v>12.8</v>
      </c>
      <c r="B481" s="1184">
        <v>0.62070000000000003</v>
      </c>
    </row>
    <row r="482" spans="1:2" ht="15.5">
      <c r="A482" s="1183">
        <v>12.9</v>
      </c>
      <c r="B482" s="1184">
        <v>0.62050000000000005</v>
      </c>
    </row>
    <row r="483" spans="1:2" ht="15.5">
      <c r="A483" s="1183">
        <v>13</v>
      </c>
      <c r="B483" s="1184">
        <v>0.62039999999999995</v>
      </c>
    </row>
    <row r="484" spans="1:2" ht="15.5">
      <c r="A484" s="1183">
        <v>13.1</v>
      </c>
      <c r="B484" s="1184">
        <v>0.62029999999999996</v>
      </c>
    </row>
    <row r="485" spans="1:2" ht="15.5">
      <c r="A485" s="1183">
        <v>13.2</v>
      </c>
      <c r="B485" s="1184">
        <v>0.62009999999999998</v>
      </c>
    </row>
    <row r="486" spans="1:2" ht="15.5">
      <c r="A486" s="1183">
        <v>13.3</v>
      </c>
      <c r="B486" s="1184">
        <v>0.62</v>
      </c>
    </row>
    <row r="487" spans="1:2" ht="15.5">
      <c r="A487" s="1183">
        <v>13.4</v>
      </c>
      <c r="B487" s="1184">
        <v>0.61980000000000002</v>
      </c>
    </row>
    <row r="488" spans="1:2" ht="15.5">
      <c r="A488" s="1183">
        <v>13.5</v>
      </c>
      <c r="B488" s="1184">
        <v>0.61970000000000003</v>
      </c>
    </row>
    <row r="489" spans="1:2" ht="15.5">
      <c r="A489" s="1183">
        <v>13.6</v>
      </c>
      <c r="B489" s="1184">
        <v>0.61960000000000004</v>
      </c>
    </row>
    <row r="490" spans="1:2" ht="15.5">
      <c r="A490" s="1183">
        <v>13.7</v>
      </c>
      <c r="B490" s="1184">
        <v>0.61939999999999995</v>
      </c>
    </row>
    <row r="491" spans="1:2" ht="15.5">
      <c r="A491" s="1183">
        <v>13.8</v>
      </c>
      <c r="B491" s="1184">
        <v>0.61929999999999996</v>
      </c>
    </row>
    <row r="492" spans="1:2" ht="15.5">
      <c r="A492" s="1183">
        <v>13.9</v>
      </c>
      <c r="B492" s="1184">
        <v>0.61909999999999998</v>
      </c>
    </row>
    <row r="493" spans="1:2" ht="15.5">
      <c r="A493" s="1183">
        <v>14</v>
      </c>
      <c r="B493" s="1184">
        <v>0.61899999999999999</v>
      </c>
    </row>
    <row r="494" spans="1:2" ht="15.5">
      <c r="A494" s="1183">
        <v>14.1</v>
      </c>
      <c r="B494" s="1184">
        <v>0.61890000000000001</v>
      </c>
    </row>
    <row r="495" spans="1:2" ht="15.5">
      <c r="A495" s="1183">
        <v>14.2</v>
      </c>
      <c r="B495" s="1184">
        <v>0.61870000000000003</v>
      </c>
    </row>
    <row r="496" spans="1:2" ht="15.5">
      <c r="A496" s="1183">
        <v>14.3</v>
      </c>
      <c r="B496" s="1184">
        <v>0.61860000000000004</v>
      </c>
    </row>
    <row r="497" spans="1:2" ht="15.5">
      <c r="A497" s="1183">
        <v>14.4</v>
      </c>
      <c r="B497" s="1184">
        <v>0.61839999999999995</v>
      </c>
    </row>
    <row r="498" spans="1:2" ht="15.5">
      <c r="A498" s="1183">
        <v>14.5</v>
      </c>
      <c r="B498" s="1184">
        <v>0.61829999999999996</v>
      </c>
    </row>
    <row r="499" spans="1:2" ht="15.5">
      <c r="A499" s="1183">
        <v>14.6</v>
      </c>
      <c r="B499" s="1184">
        <v>0.61809999999999998</v>
      </c>
    </row>
    <row r="500" spans="1:2" ht="15.5">
      <c r="A500" s="1183">
        <v>14.7</v>
      </c>
      <c r="B500" s="1184">
        <v>0.61799999999999999</v>
      </c>
    </row>
    <row r="501" spans="1:2" ht="15.5">
      <c r="A501" s="1183">
        <v>14.8</v>
      </c>
      <c r="B501" s="1184">
        <v>0.61780000000000002</v>
      </c>
    </row>
    <row r="502" spans="1:2" ht="15.5">
      <c r="A502" s="1183">
        <v>14.9</v>
      </c>
      <c r="B502" s="1184">
        <v>0.61770000000000003</v>
      </c>
    </row>
    <row r="503" spans="1:2" ht="15.5">
      <c r="A503" s="1183">
        <v>15</v>
      </c>
      <c r="B503" s="1184">
        <v>0.61750000000000005</v>
      </c>
    </row>
    <row r="504" spans="1:2" ht="15.5">
      <c r="A504" s="1183">
        <v>15.1</v>
      </c>
      <c r="B504" s="1184">
        <v>0.61739999999999995</v>
      </c>
    </row>
    <row r="505" spans="1:2" ht="15.5">
      <c r="A505" s="1183">
        <v>15.2</v>
      </c>
      <c r="B505" s="1184">
        <v>0.61719999999999997</v>
      </c>
    </row>
    <row r="506" spans="1:2" ht="15.5">
      <c r="A506" s="1183">
        <v>15.3</v>
      </c>
      <c r="B506" s="1184">
        <v>0.61709999999999998</v>
      </c>
    </row>
    <row r="507" spans="1:2" ht="15.5">
      <c r="A507" s="1183">
        <v>15.4</v>
      </c>
      <c r="B507" s="1184">
        <v>0.6169</v>
      </c>
    </row>
    <row r="508" spans="1:2" ht="15.5">
      <c r="A508" s="1183">
        <v>15.5</v>
      </c>
      <c r="B508" s="1184">
        <v>0.61680000000000001</v>
      </c>
    </row>
    <row r="509" spans="1:2" ht="15.5">
      <c r="A509" s="1183">
        <v>15.6</v>
      </c>
      <c r="B509" s="1184">
        <v>0.61670000000000003</v>
      </c>
    </row>
    <row r="510" spans="1:2" ht="15.5">
      <c r="A510" s="1183">
        <v>15.7</v>
      </c>
      <c r="B510" s="1184">
        <v>0.61650000000000005</v>
      </c>
    </row>
    <row r="511" spans="1:2" ht="15.5">
      <c r="A511" s="1183">
        <v>15.8</v>
      </c>
      <c r="B511" s="1184">
        <v>0.61639999999999995</v>
      </c>
    </row>
    <row r="512" spans="1:2" ht="15.5">
      <c r="A512" s="1183">
        <v>15.9</v>
      </c>
      <c r="B512" s="1184">
        <v>0.61619999999999997</v>
      </c>
    </row>
    <row r="513" spans="1:2" ht="15.5">
      <c r="A513" s="1183">
        <v>16</v>
      </c>
      <c r="B513" s="1184">
        <v>0.61609999999999998</v>
      </c>
    </row>
    <row r="514" spans="1:2" ht="15.5">
      <c r="A514" s="1183">
        <v>16.100000000000001</v>
      </c>
      <c r="B514" s="1184">
        <v>0.61599999999999999</v>
      </c>
    </row>
    <row r="515" spans="1:2" ht="15.5">
      <c r="A515" s="1183">
        <v>16.2</v>
      </c>
      <c r="B515" s="1184">
        <v>0.61580000000000001</v>
      </c>
    </row>
    <row r="516" spans="1:2" ht="15.5">
      <c r="A516" s="1183">
        <v>16.3</v>
      </c>
      <c r="B516" s="1184">
        <v>0.61570000000000003</v>
      </c>
    </row>
    <row r="517" spans="1:2" ht="15.5">
      <c r="A517" s="1183">
        <v>16.399999999999999</v>
      </c>
      <c r="B517" s="1184">
        <v>0.61550000000000005</v>
      </c>
    </row>
    <row r="518" spans="1:2" ht="15.5">
      <c r="A518" s="1183">
        <v>16.5</v>
      </c>
      <c r="B518" s="1184">
        <v>0.61539999999999995</v>
      </c>
    </row>
    <row r="519" spans="1:2" ht="15.5">
      <c r="A519" s="1183">
        <v>16.600000000000001</v>
      </c>
      <c r="B519" s="1184">
        <v>0.61519999999999997</v>
      </c>
    </row>
    <row r="520" spans="1:2" ht="15.5">
      <c r="A520" s="1183">
        <v>16.7</v>
      </c>
      <c r="B520" s="1184">
        <v>0.61509999999999998</v>
      </c>
    </row>
    <row r="521" spans="1:2" ht="15.5">
      <c r="A521" s="1183">
        <v>16.8</v>
      </c>
      <c r="B521" s="1184">
        <v>0.6149</v>
      </c>
    </row>
    <row r="522" spans="1:2" ht="15.5">
      <c r="A522" s="1183">
        <v>16.899999999999999</v>
      </c>
      <c r="B522" s="1184">
        <v>0.61480000000000001</v>
      </c>
    </row>
    <row r="523" spans="1:2" ht="15.5">
      <c r="A523" s="1183">
        <v>17</v>
      </c>
      <c r="B523" s="1184">
        <v>0.61460000000000004</v>
      </c>
    </row>
    <row r="524" spans="1:2" ht="15.5">
      <c r="A524" s="1183">
        <v>17.100000000000001</v>
      </c>
      <c r="B524" s="1184">
        <v>0.61450000000000005</v>
      </c>
    </row>
    <row r="525" spans="1:2" ht="15.5">
      <c r="A525" s="1183">
        <v>17.2</v>
      </c>
      <c r="B525" s="1184">
        <v>0.61429999999999996</v>
      </c>
    </row>
    <row r="526" spans="1:2" ht="15.5">
      <c r="A526" s="1183">
        <v>17.3</v>
      </c>
      <c r="B526" s="1184">
        <v>0.61419999999999997</v>
      </c>
    </row>
    <row r="527" spans="1:2" ht="15.5">
      <c r="A527" s="1183">
        <v>17.399999999999999</v>
      </c>
      <c r="B527" s="1184">
        <v>0.61399999999999999</v>
      </c>
    </row>
    <row r="528" spans="1:2" ht="15.5">
      <c r="A528" s="1183">
        <v>17.5</v>
      </c>
      <c r="B528" s="1184">
        <v>0.6139</v>
      </c>
    </row>
    <row r="529" spans="1:2" ht="15.5">
      <c r="A529" s="1183">
        <v>17.600000000000001</v>
      </c>
      <c r="B529" s="1184">
        <v>0.61380000000000001</v>
      </c>
    </row>
    <row r="530" spans="1:2" ht="15.5">
      <c r="A530" s="1183">
        <v>17.7</v>
      </c>
      <c r="B530" s="1184">
        <v>0.61360000000000003</v>
      </c>
    </row>
    <row r="531" spans="1:2" ht="15.5">
      <c r="A531" s="1183">
        <v>17.8</v>
      </c>
      <c r="B531" s="1184">
        <v>0.61350000000000005</v>
      </c>
    </row>
    <row r="532" spans="1:2" ht="15.5">
      <c r="A532" s="1183">
        <v>17.899999999999999</v>
      </c>
      <c r="B532" s="1184">
        <v>0.61329999999999996</v>
      </c>
    </row>
    <row r="533" spans="1:2" ht="15.5">
      <c r="A533" s="1183">
        <v>18</v>
      </c>
      <c r="B533" s="1184">
        <v>0.61319999999999997</v>
      </c>
    </row>
    <row r="534" spans="1:2" ht="15.5">
      <c r="A534" s="1183">
        <v>18.100000000000001</v>
      </c>
      <c r="B534" s="1184">
        <v>0.61309999999999998</v>
      </c>
    </row>
    <row r="535" spans="1:2" ht="15.5">
      <c r="A535" s="1183">
        <v>18.2</v>
      </c>
      <c r="B535" s="1184">
        <v>0.6129</v>
      </c>
    </row>
    <row r="536" spans="1:2" ht="15.5">
      <c r="A536" s="1183">
        <v>18.3</v>
      </c>
      <c r="B536" s="1184">
        <v>0.61280000000000001</v>
      </c>
    </row>
    <row r="537" spans="1:2" ht="15.5">
      <c r="A537" s="1183">
        <v>18.399999999999999</v>
      </c>
      <c r="B537" s="1184">
        <v>0.61260000000000003</v>
      </c>
    </row>
    <row r="538" spans="1:2" ht="15.5">
      <c r="A538" s="1183">
        <v>18.5</v>
      </c>
      <c r="B538" s="1184">
        <v>0.61250000000000004</v>
      </c>
    </row>
    <row r="539" spans="1:2" ht="15.5">
      <c r="A539" s="1183">
        <v>18.600000000000001</v>
      </c>
      <c r="B539" s="1184">
        <v>0.61229999999999996</v>
      </c>
    </row>
    <row r="540" spans="1:2" ht="15.5">
      <c r="A540" s="1183">
        <v>18.7</v>
      </c>
      <c r="B540" s="1184">
        <v>0.61219999999999997</v>
      </c>
    </row>
    <row r="541" spans="1:2" ht="15.5">
      <c r="A541" s="1183">
        <v>18.8</v>
      </c>
      <c r="B541" s="1184">
        <v>0.61199999999999999</v>
      </c>
    </row>
    <row r="542" spans="1:2" ht="15.5">
      <c r="A542" s="1183">
        <v>18.899999999999999</v>
      </c>
      <c r="B542" s="1184">
        <v>0.6119</v>
      </c>
    </row>
    <row r="543" spans="1:2" ht="15.5">
      <c r="A543" s="1183">
        <v>19</v>
      </c>
      <c r="B543" s="1184">
        <v>0.61170000000000002</v>
      </c>
    </row>
    <row r="544" spans="1:2" ht="15.5">
      <c r="A544" s="1183">
        <v>19.100000000000001</v>
      </c>
      <c r="B544" s="1184">
        <v>0.61160000000000003</v>
      </c>
    </row>
    <row r="545" spans="1:2" ht="15.5">
      <c r="A545" s="1183">
        <v>19.2</v>
      </c>
      <c r="B545" s="1184">
        <v>0.61140000000000005</v>
      </c>
    </row>
    <row r="546" spans="1:2" ht="15.5">
      <c r="A546" s="1183">
        <v>19.3</v>
      </c>
      <c r="B546" s="1184">
        <v>0.61129999999999995</v>
      </c>
    </row>
    <row r="547" spans="1:2" ht="15.5">
      <c r="A547" s="1183">
        <v>19.399999999999999</v>
      </c>
      <c r="B547" s="1184">
        <v>0.61109999999999998</v>
      </c>
    </row>
    <row r="548" spans="1:2" ht="15.5">
      <c r="A548" s="1183">
        <v>19.5</v>
      </c>
      <c r="B548" s="1184">
        <v>0.61099999999999999</v>
      </c>
    </row>
    <row r="549" spans="1:2" ht="15.5">
      <c r="A549" s="1183">
        <v>19.600000000000001</v>
      </c>
      <c r="B549" s="1184">
        <v>0.6109</v>
      </c>
    </row>
    <row r="550" spans="1:2" ht="15.5">
      <c r="A550" s="1183">
        <v>19.7</v>
      </c>
      <c r="B550" s="1184">
        <v>0.6109</v>
      </c>
    </row>
    <row r="551" spans="1:2" ht="15.5">
      <c r="A551" s="1183">
        <v>19.8</v>
      </c>
      <c r="B551" s="1184">
        <v>0.6109</v>
      </c>
    </row>
    <row r="552" spans="1:2" ht="15.5">
      <c r="A552" s="1183">
        <v>19.899999999999999</v>
      </c>
      <c r="B552" s="1184">
        <v>0.6109</v>
      </c>
    </row>
    <row r="553" spans="1:2" ht="15.5">
      <c r="A553" s="1183">
        <v>20</v>
      </c>
      <c r="B553" s="1184">
        <v>0.61029999999999995</v>
      </c>
    </row>
    <row r="554" spans="1:2" ht="15.5">
      <c r="A554" s="1183">
        <v>20.100000000000001</v>
      </c>
      <c r="B554" s="1184">
        <v>0.61009999999999998</v>
      </c>
    </row>
    <row r="555" spans="1:2" ht="15.5">
      <c r="A555" s="1183">
        <v>20.2</v>
      </c>
      <c r="B555" s="1184">
        <v>0.61</v>
      </c>
    </row>
    <row r="556" spans="1:2" ht="15.5">
      <c r="A556" s="1183">
        <v>20.3</v>
      </c>
      <c r="B556" s="1184">
        <v>0.60980000000000001</v>
      </c>
    </row>
    <row r="557" spans="1:2" ht="15.5">
      <c r="A557" s="1183">
        <v>20.399999999999999</v>
      </c>
      <c r="B557" s="1184">
        <v>0.60970000000000002</v>
      </c>
    </row>
    <row r="558" spans="1:2" ht="15.5">
      <c r="A558" s="1183">
        <v>20.5</v>
      </c>
      <c r="B558" s="1184">
        <v>0.60950000000000004</v>
      </c>
    </row>
    <row r="559" spans="1:2" ht="15.5">
      <c r="A559" s="1183">
        <v>20.6</v>
      </c>
      <c r="B559" s="1184">
        <v>0.60940000000000005</v>
      </c>
    </row>
    <row r="560" spans="1:2" ht="15.5">
      <c r="A560" s="1183">
        <v>20.7</v>
      </c>
      <c r="B560" s="1184">
        <v>0.60919999999999996</v>
      </c>
    </row>
    <row r="561" spans="1:2" ht="15.5">
      <c r="A561" s="1183">
        <v>20.8</v>
      </c>
      <c r="B561" s="1184">
        <v>0.60909999999999997</v>
      </c>
    </row>
    <row r="562" spans="1:2" ht="15.5">
      <c r="A562" s="1183">
        <v>20.9</v>
      </c>
      <c r="B562" s="1184">
        <v>0.6089</v>
      </c>
    </row>
    <row r="563" spans="1:2" ht="15.5">
      <c r="A563" s="1183">
        <v>21</v>
      </c>
      <c r="B563" s="1184">
        <v>0.60880000000000001</v>
      </c>
    </row>
    <row r="564" spans="1:2" ht="15.5">
      <c r="A564" s="1183">
        <v>21.1</v>
      </c>
      <c r="B564" s="1184">
        <v>0.60860000000000003</v>
      </c>
    </row>
    <row r="565" spans="1:2" ht="15.5">
      <c r="A565" s="1183">
        <v>21.2</v>
      </c>
      <c r="B565" s="1184">
        <v>0.60850000000000004</v>
      </c>
    </row>
    <row r="566" spans="1:2" ht="15.5">
      <c r="A566" s="1183">
        <v>21.3</v>
      </c>
      <c r="B566" s="1184">
        <v>0.60829999999999995</v>
      </c>
    </row>
    <row r="567" spans="1:2" ht="15.5">
      <c r="A567" s="1183">
        <v>21.4</v>
      </c>
      <c r="B567" s="1184">
        <v>0.60819999999999996</v>
      </c>
    </row>
    <row r="568" spans="1:2" ht="15.5">
      <c r="A568" s="1183">
        <v>21.5</v>
      </c>
      <c r="B568" s="1184">
        <v>0.60799999999999998</v>
      </c>
    </row>
    <row r="569" spans="1:2" ht="15.5">
      <c r="A569" s="1183">
        <v>21.6</v>
      </c>
      <c r="B569" s="1184">
        <v>0.6079</v>
      </c>
    </row>
    <row r="570" spans="1:2" ht="15.5">
      <c r="A570" s="1183">
        <v>21.7</v>
      </c>
      <c r="B570" s="1184">
        <v>0.60770000000000002</v>
      </c>
    </row>
    <row r="571" spans="1:2" ht="15.5">
      <c r="A571" s="1183">
        <v>21.8</v>
      </c>
      <c r="B571" s="1184">
        <v>0.60760000000000003</v>
      </c>
    </row>
    <row r="572" spans="1:2" ht="15.5">
      <c r="A572" s="1183">
        <v>21.9</v>
      </c>
      <c r="B572" s="1184">
        <v>0.60740000000000005</v>
      </c>
    </row>
    <row r="573" spans="1:2" ht="15.5">
      <c r="A573" s="1183">
        <v>22</v>
      </c>
      <c r="B573" s="1184">
        <v>0.60729999999999995</v>
      </c>
    </row>
    <row r="574" spans="1:2" ht="15.5">
      <c r="A574" s="1183">
        <v>22.1</v>
      </c>
      <c r="B574" s="1184">
        <v>0.60719999999999996</v>
      </c>
    </row>
    <row r="575" spans="1:2" ht="15.5">
      <c r="A575" s="1183">
        <v>22.2</v>
      </c>
      <c r="B575" s="1184">
        <v>0.60699999999999998</v>
      </c>
    </row>
    <row r="576" spans="1:2" ht="15.5">
      <c r="A576" s="1183">
        <v>22.3</v>
      </c>
      <c r="B576" s="1184">
        <v>0.6069</v>
      </c>
    </row>
    <row r="577" spans="1:2" ht="15.5">
      <c r="A577" s="1183">
        <v>22.4</v>
      </c>
      <c r="B577" s="1184">
        <v>0.60670000000000002</v>
      </c>
    </row>
    <row r="578" spans="1:2" ht="15.5">
      <c r="A578" s="1183">
        <v>22.5</v>
      </c>
      <c r="B578" s="1184">
        <v>0.60660000000000003</v>
      </c>
    </row>
    <row r="579" spans="1:2" ht="15.5">
      <c r="A579" s="1183">
        <v>22.6</v>
      </c>
      <c r="B579" s="1184">
        <v>0.60640000000000005</v>
      </c>
    </row>
    <row r="580" spans="1:2" ht="15.5">
      <c r="A580" s="1183">
        <v>22.7</v>
      </c>
      <c r="B580" s="1184">
        <v>0.60629999999999995</v>
      </c>
    </row>
    <row r="581" spans="1:2" ht="15.5">
      <c r="A581" s="1183">
        <v>22.8</v>
      </c>
      <c r="B581" s="1184">
        <v>0.60609999999999997</v>
      </c>
    </row>
    <row r="582" spans="1:2" ht="15.5">
      <c r="A582" s="1183">
        <v>22.9</v>
      </c>
      <c r="B582" s="1184">
        <v>0.60599999999999998</v>
      </c>
    </row>
    <row r="583" spans="1:2" ht="15.5">
      <c r="A583" s="1183">
        <v>23</v>
      </c>
      <c r="B583" s="1184">
        <v>0.60580000000000001</v>
      </c>
    </row>
    <row r="584" spans="1:2" ht="15.5">
      <c r="A584" s="1183">
        <v>23.1</v>
      </c>
      <c r="B584" s="1184">
        <v>0.60570000000000002</v>
      </c>
    </row>
    <row r="585" spans="1:2" ht="15.5">
      <c r="A585" s="1183">
        <v>23.2</v>
      </c>
      <c r="B585" s="1184">
        <v>0.60550000000000004</v>
      </c>
    </row>
    <row r="586" spans="1:2" ht="15.5">
      <c r="A586" s="1183">
        <v>23.3</v>
      </c>
      <c r="B586" s="1184">
        <v>0.60540000000000005</v>
      </c>
    </row>
    <row r="587" spans="1:2" ht="15.5">
      <c r="A587" s="1183">
        <v>23.4</v>
      </c>
      <c r="B587" s="1184">
        <v>0.60519999999999996</v>
      </c>
    </row>
    <row r="588" spans="1:2" ht="15.5">
      <c r="A588" s="1183">
        <v>23.5</v>
      </c>
      <c r="B588" s="1184">
        <v>0.60509999999999997</v>
      </c>
    </row>
    <row r="589" spans="1:2" ht="15.5">
      <c r="A589" s="1183">
        <v>23.6</v>
      </c>
      <c r="B589" s="1184">
        <v>0.60489999999999999</v>
      </c>
    </row>
    <row r="590" spans="1:2" ht="15.5">
      <c r="A590" s="1183">
        <v>23.7</v>
      </c>
      <c r="B590" s="1184">
        <v>0.6048</v>
      </c>
    </row>
    <row r="591" spans="1:2" ht="15.5">
      <c r="A591" s="1183">
        <v>23.8</v>
      </c>
      <c r="B591" s="1184">
        <v>0.60460000000000003</v>
      </c>
    </row>
    <row r="592" spans="1:2" ht="15.5">
      <c r="A592" s="1183">
        <v>23.9</v>
      </c>
      <c r="B592" s="1184">
        <v>0.60450000000000004</v>
      </c>
    </row>
    <row r="593" spans="1:2" ht="15.5">
      <c r="A593" s="1183">
        <v>24</v>
      </c>
      <c r="B593" s="1184">
        <v>0.60429999999999995</v>
      </c>
    </row>
    <row r="594" spans="1:2" ht="15.5">
      <c r="A594" s="1183">
        <v>24.1</v>
      </c>
      <c r="B594" s="1184">
        <v>0.60419999999999996</v>
      </c>
    </row>
    <row r="595" spans="1:2" ht="15.5">
      <c r="A595" s="1183">
        <v>24.2</v>
      </c>
      <c r="B595" s="1184">
        <v>0.60399999999999998</v>
      </c>
    </row>
    <row r="596" spans="1:2" ht="15.5">
      <c r="A596" s="1183">
        <v>24.3</v>
      </c>
      <c r="B596" s="1184">
        <v>0.60389999999999999</v>
      </c>
    </row>
    <row r="597" spans="1:2" ht="15.5">
      <c r="A597" s="1183">
        <v>24.4</v>
      </c>
      <c r="B597" s="1184">
        <v>0.60370000000000001</v>
      </c>
    </row>
    <row r="598" spans="1:2" ht="15.5">
      <c r="A598" s="1183">
        <v>24.5</v>
      </c>
      <c r="B598" s="1184">
        <v>0.60360000000000003</v>
      </c>
    </row>
    <row r="599" spans="1:2" ht="15.5">
      <c r="A599" s="1183">
        <v>24.6</v>
      </c>
      <c r="B599" s="1184">
        <v>0.60340000000000005</v>
      </c>
    </row>
    <row r="600" spans="1:2" ht="15.5">
      <c r="A600" s="1183">
        <v>24.7</v>
      </c>
      <c r="B600" s="1184">
        <v>0.60329999999999995</v>
      </c>
    </row>
    <row r="601" spans="1:2" ht="15.5">
      <c r="A601" s="1183">
        <v>24.8</v>
      </c>
      <c r="B601" s="1184">
        <v>0.60309999999999997</v>
      </c>
    </row>
    <row r="602" spans="1:2" ht="15.5">
      <c r="A602" s="1183">
        <v>24.9</v>
      </c>
      <c r="B602" s="1184">
        <v>0.60299999999999998</v>
      </c>
    </row>
    <row r="603" spans="1:2" ht="15.5">
      <c r="A603" s="1183">
        <v>25</v>
      </c>
      <c r="B603" s="1184">
        <v>0.6028</v>
      </c>
    </row>
    <row r="604" spans="1:2" ht="15.5">
      <c r="A604" s="1183">
        <v>25.1</v>
      </c>
      <c r="B604" s="1184">
        <v>0.60270000000000001</v>
      </c>
    </row>
    <row r="605" spans="1:2" ht="15.5">
      <c r="A605" s="1183">
        <v>25.2</v>
      </c>
      <c r="B605" s="1184">
        <v>0.60250000000000004</v>
      </c>
    </row>
    <row r="606" spans="1:2" ht="15.5">
      <c r="A606" s="1183">
        <v>25.3</v>
      </c>
      <c r="B606" s="1184">
        <v>0.60240000000000005</v>
      </c>
    </row>
    <row r="607" spans="1:2" ht="15.5">
      <c r="A607" s="1183">
        <v>25.4</v>
      </c>
      <c r="B607" s="1184">
        <v>0.60219999999999996</v>
      </c>
    </row>
    <row r="608" spans="1:2" ht="15.5">
      <c r="A608" s="1183">
        <v>25.5</v>
      </c>
      <c r="B608" s="1184">
        <v>0.60209999999999997</v>
      </c>
    </row>
    <row r="609" spans="1:2" ht="15.5">
      <c r="A609" s="1183">
        <v>25.6</v>
      </c>
      <c r="B609" s="1184">
        <v>0.60189999999999999</v>
      </c>
    </row>
    <row r="610" spans="1:2" ht="15.5">
      <c r="A610" s="1183">
        <v>25.7</v>
      </c>
      <c r="B610" s="1184">
        <v>0.6018</v>
      </c>
    </row>
    <row r="611" spans="1:2" ht="15.5">
      <c r="A611" s="1183">
        <v>25.8</v>
      </c>
      <c r="B611" s="1184">
        <v>0.60160000000000002</v>
      </c>
    </row>
    <row r="612" spans="1:2" ht="15.5">
      <c r="A612" s="1183">
        <v>25.9</v>
      </c>
      <c r="B612" s="1184">
        <v>0.60150000000000003</v>
      </c>
    </row>
    <row r="613" spans="1:2" ht="15.5">
      <c r="A613" s="1183">
        <v>26</v>
      </c>
      <c r="B613" s="1184">
        <v>0.60129999999999995</v>
      </c>
    </row>
    <row r="614" spans="1:2" ht="15.5">
      <c r="A614" s="1183">
        <v>26.1</v>
      </c>
      <c r="B614" s="1184">
        <v>0.60119999999999996</v>
      </c>
    </row>
    <row r="615" spans="1:2" ht="15.5">
      <c r="A615" s="1183">
        <v>26.2</v>
      </c>
      <c r="B615" s="1184">
        <v>0.60099999999999998</v>
      </c>
    </row>
    <row r="616" spans="1:2" ht="15.5">
      <c r="A616" s="1183">
        <v>26.3</v>
      </c>
      <c r="B616" s="1184">
        <v>0.60089999999999999</v>
      </c>
    </row>
    <row r="617" spans="1:2" ht="15.5">
      <c r="A617" s="1183">
        <v>26.4</v>
      </c>
      <c r="B617" s="1184">
        <v>0.60070000000000001</v>
      </c>
    </row>
    <row r="618" spans="1:2" ht="15.5">
      <c r="A618" s="1183">
        <v>26.5</v>
      </c>
      <c r="B618" s="1184">
        <v>0.60060000000000002</v>
      </c>
    </row>
    <row r="619" spans="1:2" ht="15.5">
      <c r="A619" s="1183">
        <v>26.6</v>
      </c>
      <c r="B619" s="1184">
        <v>0.60040000000000004</v>
      </c>
    </row>
    <row r="620" spans="1:2" ht="15.5">
      <c r="A620" s="1183">
        <v>26.7</v>
      </c>
      <c r="B620" s="1184">
        <v>0.60029999999999994</v>
      </c>
    </row>
    <row r="621" spans="1:2" ht="15.5">
      <c r="A621" s="1183">
        <v>26.8</v>
      </c>
      <c r="B621" s="1184">
        <v>0.60009999999999997</v>
      </c>
    </row>
    <row r="622" spans="1:2" ht="15.5">
      <c r="A622" s="1183">
        <v>26.9</v>
      </c>
      <c r="B622" s="1184">
        <v>0.6</v>
      </c>
    </row>
    <row r="623" spans="1:2" ht="15.5">
      <c r="A623" s="1183">
        <v>27</v>
      </c>
      <c r="B623" s="1184">
        <v>0.5998</v>
      </c>
    </row>
    <row r="624" spans="1:2" ht="15.5">
      <c r="A624" s="1183">
        <v>27.1</v>
      </c>
      <c r="B624" s="1184">
        <v>0.59960000000000002</v>
      </c>
    </row>
    <row r="625" spans="1:2" ht="15.5">
      <c r="A625" s="1183">
        <v>27.2</v>
      </c>
      <c r="B625" s="1184">
        <v>0.59950000000000003</v>
      </c>
    </row>
    <row r="626" spans="1:2" ht="15.5">
      <c r="A626" s="1183">
        <v>27.3</v>
      </c>
      <c r="B626" s="1184">
        <v>0.59930000000000005</v>
      </c>
    </row>
    <row r="627" spans="1:2" ht="15.5">
      <c r="A627" s="1183">
        <v>27.4</v>
      </c>
      <c r="B627" s="1184">
        <v>0.59919999999999995</v>
      </c>
    </row>
    <row r="628" spans="1:2" ht="15.5">
      <c r="A628" s="1183">
        <v>27.5</v>
      </c>
      <c r="B628" s="1184">
        <v>0.59899999999999998</v>
      </c>
    </row>
    <row r="629" spans="1:2" ht="15.5">
      <c r="A629" s="1183">
        <v>27.6</v>
      </c>
      <c r="B629" s="1184">
        <v>0.59889999999999999</v>
      </c>
    </row>
    <row r="630" spans="1:2" ht="15.5">
      <c r="A630" s="1183">
        <v>27.7</v>
      </c>
      <c r="B630" s="1184">
        <v>0.59870000000000001</v>
      </c>
    </row>
    <row r="631" spans="1:2" ht="15.5">
      <c r="A631" s="1183">
        <v>27.8</v>
      </c>
      <c r="B631" s="1184">
        <v>0.59860000000000002</v>
      </c>
    </row>
    <row r="632" spans="1:2" ht="15.5">
      <c r="A632" s="1183">
        <v>27.9</v>
      </c>
      <c r="B632" s="1184">
        <v>0.59840000000000004</v>
      </c>
    </row>
    <row r="633" spans="1:2" ht="15.5">
      <c r="A633" s="1183">
        <v>28</v>
      </c>
      <c r="B633" s="1184">
        <v>0.59830000000000005</v>
      </c>
    </row>
    <row r="634" spans="1:2" ht="15.5">
      <c r="A634" s="1183">
        <v>28.1</v>
      </c>
      <c r="B634" s="1184">
        <v>0.59809999999999997</v>
      </c>
    </row>
    <row r="635" spans="1:2" ht="15.5">
      <c r="A635" s="1183">
        <v>28.2</v>
      </c>
      <c r="B635" s="1184">
        <v>0.59799999999999998</v>
      </c>
    </row>
    <row r="636" spans="1:2" ht="15.5">
      <c r="A636" s="1183">
        <v>28.3</v>
      </c>
      <c r="B636" s="1184">
        <v>0.5978</v>
      </c>
    </row>
    <row r="637" spans="1:2" ht="15.5">
      <c r="A637" s="1183">
        <v>28.4</v>
      </c>
      <c r="B637" s="1184">
        <v>0.59770000000000001</v>
      </c>
    </row>
    <row r="638" spans="1:2" ht="15.5">
      <c r="A638" s="1183">
        <v>28.5</v>
      </c>
      <c r="B638" s="1184">
        <v>0.59750000000000003</v>
      </c>
    </row>
    <row r="639" spans="1:2" ht="15.5">
      <c r="A639" s="1183">
        <v>28.6</v>
      </c>
      <c r="B639" s="1184">
        <v>0.59740000000000004</v>
      </c>
    </row>
    <row r="640" spans="1:2" ht="15.5">
      <c r="A640" s="1183">
        <v>28.7</v>
      </c>
      <c r="B640" s="1184">
        <v>0.59719999999999995</v>
      </c>
    </row>
    <row r="641" spans="1:2" ht="15.5">
      <c r="A641" s="1183">
        <v>28.8</v>
      </c>
      <c r="B641" s="1184">
        <v>0.59709999999999996</v>
      </c>
    </row>
    <row r="642" spans="1:2" ht="15.5">
      <c r="A642" s="1183">
        <v>28.9</v>
      </c>
      <c r="B642" s="1184">
        <v>0.59689999999999999</v>
      </c>
    </row>
    <row r="643" spans="1:2" ht="15.5">
      <c r="A643" s="1183">
        <v>29</v>
      </c>
      <c r="B643" s="1184">
        <v>0.5968</v>
      </c>
    </row>
    <row r="644" spans="1:2" ht="15.5">
      <c r="A644" s="1183">
        <v>29.1</v>
      </c>
      <c r="B644" s="1184">
        <v>0.59660000000000002</v>
      </c>
    </row>
    <row r="645" spans="1:2" ht="15.5">
      <c r="A645" s="1183">
        <v>29.2</v>
      </c>
      <c r="B645" s="1184">
        <v>0.59650000000000003</v>
      </c>
    </row>
    <row r="646" spans="1:2" ht="15.5">
      <c r="A646" s="1183">
        <v>29.3</v>
      </c>
      <c r="B646" s="1184">
        <v>0.59630000000000005</v>
      </c>
    </row>
    <row r="647" spans="1:2" ht="15.5">
      <c r="A647" s="1183">
        <v>29.4</v>
      </c>
      <c r="B647" s="1184">
        <v>0.59619999999999995</v>
      </c>
    </row>
    <row r="648" spans="1:2" ht="15.5">
      <c r="A648" s="1183">
        <v>29.5</v>
      </c>
      <c r="B648" s="1184">
        <v>0.59599999999999997</v>
      </c>
    </row>
    <row r="649" spans="1:2" ht="15.5">
      <c r="A649" s="1183">
        <v>29.6</v>
      </c>
      <c r="B649" s="1184">
        <v>0.5958</v>
      </c>
    </row>
    <row r="650" spans="1:2" ht="15.5">
      <c r="A650" s="1183">
        <v>29.7</v>
      </c>
      <c r="B650" s="1184">
        <v>0.59570000000000001</v>
      </c>
    </row>
    <row r="651" spans="1:2" ht="15.5">
      <c r="A651" s="1183">
        <v>29.8</v>
      </c>
      <c r="B651" s="1184">
        <v>0.59550000000000003</v>
      </c>
    </row>
    <row r="652" spans="1:2" ht="15.5">
      <c r="A652" s="1183">
        <v>29.9</v>
      </c>
      <c r="B652" s="1184">
        <v>0.59540000000000004</v>
      </c>
    </row>
    <row r="653" spans="1:2" ht="15.5">
      <c r="A653" s="1183">
        <v>30</v>
      </c>
      <c r="B653" s="1184">
        <v>0.59519999999999995</v>
      </c>
    </row>
    <row r="654" spans="1:2" ht="15.5">
      <c r="A654" s="1182"/>
      <c r="B654" s="1182"/>
    </row>
    <row r="655" spans="1:2" ht="15.5">
      <c r="A655" s="1182"/>
      <c r="B655" s="1182"/>
    </row>
    <row r="656" spans="1:2" ht="15">
      <c r="A656" s="1673" t="s">
        <v>630</v>
      </c>
      <c r="B656" s="1673"/>
    </row>
    <row r="657" spans="1:2" ht="15.5">
      <c r="A657" s="1182"/>
      <c r="B657" s="1182"/>
    </row>
    <row r="658" spans="1:2" ht="15.5">
      <c r="A658" s="1190">
        <v>-10</v>
      </c>
      <c r="B658" s="1191">
        <v>0.65669999999999995</v>
      </c>
    </row>
    <row r="659" spans="1:2" ht="15.5">
      <c r="A659" s="1190">
        <v>-9.9</v>
      </c>
      <c r="B659" s="1191">
        <v>0.65659999999999996</v>
      </c>
    </row>
    <row r="660" spans="1:2" ht="15.5">
      <c r="A660" s="1190">
        <v>-9.8000000000000007</v>
      </c>
      <c r="B660" s="1191">
        <v>0.65649999999999997</v>
      </c>
    </row>
    <row r="661" spans="1:2" ht="15.5">
      <c r="A661" s="1190">
        <v>-9.6999999999999993</v>
      </c>
      <c r="B661" s="1191">
        <v>0.65629999999999999</v>
      </c>
    </row>
    <row r="662" spans="1:2" ht="15.5">
      <c r="A662" s="1190">
        <v>-9.6</v>
      </c>
      <c r="B662" s="1191">
        <v>0.65620000000000001</v>
      </c>
    </row>
    <row r="663" spans="1:2" ht="15.5">
      <c r="A663" s="1190">
        <v>-9.5</v>
      </c>
      <c r="B663" s="1191">
        <v>0.65610000000000002</v>
      </c>
    </row>
    <row r="664" spans="1:2" ht="15.5">
      <c r="A664" s="1190">
        <v>-9.4</v>
      </c>
      <c r="B664" s="1191">
        <v>0.65600000000000003</v>
      </c>
    </row>
    <row r="665" spans="1:2" ht="15.5">
      <c r="A665" s="1190">
        <v>-9.3000000000000007</v>
      </c>
      <c r="B665" s="1191">
        <v>0.65590000000000004</v>
      </c>
    </row>
    <row r="666" spans="1:2" ht="15.5">
      <c r="A666" s="1190">
        <v>-9.1999999999999993</v>
      </c>
      <c r="B666" s="1191">
        <v>0.65580000000000005</v>
      </c>
    </row>
    <row r="667" spans="1:2" ht="15.5">
      <c r="A667" s="1190">
        <v>-9.1</v>
      </c>
      <c r="B667" s="1191">
        <v>0.65569999999999995</v>
      </c>
    </row>
    <row r="668" spans="1:2" ht="15.5">
      <c r="A668" s="1190">
        <v>-9</v>
      </c>
      <c r="B668" s="1191">
        <v>0.65549999999999997</v>
      </c>
    </row>
    <row r="669" spans="1:2" ht="15.5">
      <c r="A669" s="1190">
        <v>-8.9</v>
      </c>
      <c r="B669" s="1191">
        <v>0.65539999999999998</v>
      </c>
    </row>
    <row r="670" spans="1:2" ht="15.5">
      <c r="A670" s="1190">
        <v>-8.8000000000000007</v>
      </c>
      <c r="B670" s="1191">
        <v>0.65529999999999999</v>
      </c>
    </row>
    <row r="671" spans="1:2" ht="15.5">
      <c r="A671" s="1190">
        <v>-8.6999999999999993</v>
      </c>
      <c r="B671" s="1191">
        <v>0.6552</v>
      </c>
    </row>
    <row r="672" spans="1:2" ht="15.5">
      <c r="A672" s="1190">
        <v>-8.6</v>
      </c>
      <c r="B672" s="1191">
        <v>0.65510000000000002</v>
      </c>
    </row>
    <row r="673" spans="1:2" ht="15.5">
      <c r="A673" s="1190">
        <v>-8.5</v>
      </c>
      <c r="B673" s="1191">
        <v>0.65500000000000003</v>
      </c>
    </row>
    <row r="674" spans="1:2" ht="15.5">
      <c r="A674" s="1190">
        <v>-8.4</v>
      </c>
      <c r="B674" s="1191">
        <v>0.65490000000000004</v>
      </c>
    </row>
    <row r="675" spans="1:2" ht="15.5">
      <c r="A675" s="1190">
        <v>-8.3000000000000007</v>
      </c>
      <c r="B675" s="1191">
        <v>0.65469999999999995</v>
      </c>
    </row>
    <row r="676" spans="1:2" ht="15.5">
      <c r="A676" s="1190">
        <v>-8.1999999999999993</v>
      </c>
      <c r="B676" s="1191">
        <v>0.65459999999999996</v>
      </c>
    </row>
    <row r="677" spans="1:2" ht="15.5">
      <c r="A677" s="1190">
        <v>-8.1</v>
      </c>
      <c r="B677" s="1191">
        <v>0.65449999999999997</v>
      </c>
    </row>
    <row r="678" spans="1:2" ht="15.5">
      <c r="A678" s="1190">
        <v>-8</v>
      </c>
      <c r="B678" s="1191">
        <v>0.65439999999999998</v>
      </c>
    </row>
    <row r="679" spans="1:2" ht="15.5">
      <c r="A679" s="1190">
        <v>-7.9</v>
      </c>
      <c r="B679" s="1191">
        <v>0.65429999999999999</v>
      </c>
    </row>
    <row r="680" spans="1:2" ht="15.5">
      <c r="A680" s="1190">
        <v>-7.8</v>
      </c>
      <c r="B680" s="1191">
        <v>0.6542</v>
      </c>
    </row>
    <row r="681" spans="1:2" ht="15.5">
      <c r="A681" s="1190">
        <v>-7.7</v>
      </c>
      <c r="B681" s="1191">
        <v>0.65410000000000001</v>
      </c>
    </row>
    <row r="682" spans="1:2" ht="15.5">
      <c r="A682" s="1190">
        <v>-7.6</v>
      </c>
      <c r="B682" s="1191">
        <v>0.65390000000000004</v>
      </c>
    </row>
    <row r="683" spans="1:2" ht="15.5">
      <c r="A683" s="1190">
        <v>-7.5</v>
      </c>
      <c r="B683" s="1191">
        <v>0.65380000000000005</v>
      </c>
    </row>
    <row r="684" spans="1:2" ht="15.5">
      <c r="A684" s="1190">
        <v>-7.4</v>
      </c>
      <c r="B684" s="1191">
        <v>0.65369999999999995</v>
      </c>
    </row>
    <row r="685" spans="1:2" ht="15.5">
      <c r="A685" s="1190">
        <v>-7.3</v>
      </c>
      <c r="B685" s="1191">
        <v>0.65359999999999996</v>
      </c>
    </row>
    <row r="686" spans="1:2" ht="15.5">
      <c r="A686" s="1190">
        <v>-7.2</v>
      </c>
      <c r="B686" s="1191">
        <v>0.65349999999999997</v>
      </c>
    </row>
    <row r="687" spans="1:2" ht="15.5">
      <c r="A687" s="1190">
        <v>-7.1</v>
      </c>
      <c r="B687" s="1191">
        <v>0.65339999999999998</v>
      </c>
    </row>
    <row r="688" spans="1:2" ht="15.5">
      <c r="A688" s="1190">
        <v>-7</v>
      </c>
      <c r="B688" s="1191">
        <v>0.65329999999999999</v>
      </c>
    </row>
    <row r="689" spans="1:2" ht="15.5">
      <c r="A689" s="1190">
        <v>-6.9</v>
      </c>
      <c r="B689" s="1191">
        <v>0.65310000000000001</v>
      </c>
    </row>
    <row r="690" spans="1:2" ht="15.5">
      <c r="A690" s="1190">
        <v>-6.8</v>
      </c>
      <c r="B690" s="1191">
        <v>0.65300000000000002</v>
      </c>
    </row>
    <row r="691" spans="1:2" ht="15.5">
      <c r="A691" s="1190">
        <v>-6.7</v>
      </c>
      <c r="B691" s="1191">
        <v>0.65290000000000004</v>
      </c>
    </row>
    <row r="692" spans="1:2" ht="15.5">
      <c r="A692" s="1190">
        <v>-6.6</v>
      </c>
      <c r="B692" s="1191">
        <v>0.65280000000000005</v>
      </c>
    </row>
    <row r="693" spans="1:2" ht="15.5">
      <c r="A693" s="1190">
        <v>-6.5</v>
      </c>
      <c r="B693" s="1191">
        <v>0.65269999999999995</v>
      </c>
    </row>
    <row r="694" spans="1:2" ht="15.5">
      <c r="A694" s="1190">
        <v>-6.4</v>
      </c>
      <c r="B694" s="1191">
        <v>0.65259999999999996</v>
      </c>
    </row>
    <row r="695" spans="1:2" ht="15.5">
      <c r="A695" s="1190">
        <v>-6.3</v>
      </c>
      <c r="B695" s="1191">
        <v>0.65249999999999997</v>
      </c>
    </row>
    <row r="696" spans="1:2" ht="15.5">
      <c r="A696" s="1190">
        <v>-6.2</v>
      </c>
      <c r="B696" s="1191">
        <v>0.65229999999999999</v>
      </c>
    </row>
    <row r="697" spans="1:2" ht="15.5">
      <c r="A697" s="1190">
        <v>-6.1</v>
      </c>
      <c r="B697" s="1191">
        <v>0.6522</v>
      </c>
    </row>
    <row r="698" spans="1:2" ht="15.5">
      <c r="A698" s="1190">
        <v>-6</v>
      </c>
      <c r="B698" s="1191">
        <v>0.65210000000000001</v>
      </c>
    </row>
    <row r="699" spans="1:2" ht="15.5">
      <c r="A699" s="1190">
        <v>-5.9</v>
      </c>
      <c r="B699" s="1191">
        <v>0.65200000000000002</v>
      </c>
    </row>
    <row r="700" spans="1:2" ht="15.5">
      <c r="A700" s="1190">
        <v>-5.8</v>
      </c>
      <c r="B700" s="1191">
        <v>0.65190000000000003</v>
      </c>
    </row>
    <row r="701" spans="1:2" ht="15.5">
      <c r="A701" s="1190">
        <v>-5.7</v>
      </c>
      <c r="B701" s="1191">
        <v>0.65180000000000005</v>
      </c>
    </row>
    <row r="702" spans="1:2" ht="15.5">
      <c r="A702" s="1190">
        <v>-5.6</v>
      </c>
      <c r="B702" s="1191">
        <v>0.65159999999999996</v>
      </c>
    </row>
    <row r="703" spans="1:2" ht="15.5">
      <c r="A703" s="1190">
        <v>-5.5</v>
      </c>
      <c r="B703" s="1191">
        <v>0.65149999999999997</v>
      </c>
    </row>
    <row r="704" spans="1:2" ht="15.5">
      <c r="A704" s="1190">
        <v>-5.4</v>
      </c>
      <c r="B704" s="1191">
        <v>0.65139999999999998</v>
      </c>
    </row>
    <row r="705" spans="1:2" ht="15.5">
      <c r="A705" s="1190">
        <v>-5.3</v>
      </c>
      <c r="B705" s="1191">
        <v>0.65129999999999999</v>
      </c>
    </row>
    <row r="706" spans="1:2" ht="15.5">
      <c r="A706" s="1190">
        <v>-5.2</v>
      </c>
      <c r="B706" s="1191">
        <v>0.6512</v>
      </c>
    </row>
    <row r="707" spans="1:2" ht="15.5">
      <c r="A707" s="1190">
        <v>-5.0999999999999996</v>
      </c>
      <c r="B707" s="1191">
        <v>0.65110000000000001</v>
      </c>
    </row>
    <row r="708" spans="1:2" ht="15.5">
      <c r="A708" s="1190">
        <v>-5</v>
      </c>
      <c r="B708" s="1191">
        <v>0.65100000000000002</v>
      </c>
    </row>
    <row r="709" spans="1:2" ht="15.5">
      <c r="A709" s="1190">
        <v>-4.9000000000000004</v>
      </c>
      <c r="B709" s="1191">
        <v>0.65080000000000005</v>
      </c>
    </row>
    <row r="710" spans="1:2" ht="15.5">
      <c r="A710" s="1190">
        <v>-4.8</v>
      </c>
      <c r="B710" s="1191">
        <v>0.65069999999999995</v>
      </c>
    </row>
    <row r="711" spans="1:2" ht="15.5">
      <c r="A711" s="1190">
        <v>-4.7</v>
      </c>
      <c r="B711" s="1191">
        <v>0.65059999999999996</v>
      </c>
    </row>
    <row r="712" spans="1:2" ht="15.5">
      <c r="A712" s="1190">
        <v>-4.5999999999999996</v>
      </c>
      <c r="B712" s="1191">
        <v>0.65049999999999997</v>
      </c>
    </row>
    <row r="713" spans="1:2" ht="15.5">
      <c r="A713" s="1190">
        <v>-4.5</v>
      </c>
      <c r="B713" s="1191">
        <v>0.65039999999999998</v>
      </c>
    </row>
    <row r="714" spans="1:2" ht="15.5">
      <c r="A714" s="1190">
        <v>-4.4000000000000004</v>
      </c>
      <c r="B714" s="1191">
        <v>0.65029999999999999</v>
      </c>
    </row>
    <row r="715" spans="1:2" ht="15.5">
      <c r="A715" s="1190">
        <v>-4.3</v>
      </c>
      <c r="B715" s="1191">
        <v>0.65010000000000001</v>
      </c>
    </row>
    <row r="716" spans="1:2" ht="15.5">
      <c r="A716" s="1190">
        <v>-4.2</v>
      </c>
      <c r="B716" s="1191">
        <v>0.65</v>
      </c>
    </row>
    <row r="717" spans="1:2" ht="15.5">
      <c r="A717" s="1190">
        <v>-4.0999999999999996</v>
      </c>
      <c r="B717" s="1191">
        <v>0.64990000000000003</v>
      </c>
    </row>
    <row r="718" spans="1:2" ht="15.5">
      <c r="A718" s="1190">
        <v>-4</v>
      </c>
      <c r="B718" s="1191">
        <v>0.64980000000000004</v>
      </c>
    </row>
    <row r="719" spans="1:2" ht="15.5">
      <c r="A719" s="1190">
        <v>-3.9</v>
      </c>
      <c r="B719" s="1191">
        <v>0.64970000000000006</v>
      </c>
    </row>
    <row r="720" spans="1:2" ht="15.5">
      <c r="A720" s="1190">
        <v>-3.8</v>
      </c>
      <c r="B720" s="1191">
        <v>0.64959999999999996</v>
      </c>
    </row>
    <row r="721" spans="1:2" ht="15.5">
      <c r="A721" s="1190">
        <v>-3.7</v>
      </c>
      <c r="B721" s="1191">
        <v>0.64949999999999997</v>
      </c>
    </row>
    <row r="722" spans="1:2" ht="15.5">
      <c r="A722" s="1190">
        <v>-3.6</v>
      </c>
      <c r="B722" s="1191">
        <v>0.64929999999999999</v>
      </c>
    </row>
    <row r="723" spans="1:2" ht="15.5">
      <c r="A723" s="1190">
        <v>-3.5</v>
      </c>
      <c r="B723" s="1191">
        <v>0.6492</v>
      </c>
    </row>
    <row r="724" spans="1:2" ht="15.5">
      <c r="A724" s="1190">
        <v>-3.4</v>
      </c>
      <c r="B724" s="1191">
        <v>0.64910000000000001</v>
      </c>
    </row>
    <row r="725" spans="1:2" ht="15.5">
      <c r="A725" s="1190">
        <v>-3.3</v>
      </c>
      <c r="B725" s="1191">
        <v>0.64900000000000002</v>
      </c>
    </row>
    <row r="726" spans="1:2" ht="15.5">
      <c r="A726" s="1190">
        <v>-3.2</v>
      </c>
      <c r="B726" s="1191">
        <v>0.64890000000000003</v>
      </c>
    </row>
    <row r="727" spans="1:2" ht="15.5">
      <c r="A727" s="1190">
        <v>-3.1</v>
      </c>
      <c r="B727" s="1191">
        <v>0.64880000000000004</v>
      </c>
    </row>
    <row r="728" spans="1:2" ht="15.5">
      <c r="A728" s="1190">
        <v>-3</v>
      </c>
      <c r="B728" s="1191">
        <v>0.64859999999999995</v>
      </c>
    </row>
    <row r="729" spans="1:2" ht="15.5">
      <c r="A729" s="1190">
        <v>-2.9</v>
      </c>
      <c r="B729" s="1191">
        <v>0.64849999999999997</v>
      </c>
    </row>
    <row r="730" spans="1:2" ht="15.5">
      <c r="A730" s="1190">
        <v>-2.8</v>
      </c>
      <c r="B730" s="1191">
        <v>0.64839999999999998</v>
      </c>
    </row>
    <row r="731" spans="1:2" ht="15.5">
      <c r="A731" s="1190">
        <v>-2.7</v>
      </c>
      <c r="B731" s="1191">
        <v>0.64829999999999999</v>
      </c>
    </row>
    <row r="732" spans="1:2" ht="15.5">
      <c r="A732" s="1190">
        <v>-2.6</v>
      </c>
      <c r="B732" s="1191">
        <v>0.6482</v>
      </c>
    </row>
    <row r="733" spans="1:2" ht="15.5">
      <c r="A733" s="1190">
        <v>-2.5</v>
      </c>
      <c r="B733" s="1191">
        <v>0.64810000000000001</v>
      </c>
    </row>
    <row r="734" spans="1:2" ht="15.5">
      <c r="A734" s="1190">
        <v>-2.4</v>
      </c>
      <c r="B734" s="1191">
        <v>0.64790000000000003</v>
      </c>
    </row>
    <row r="735" spans="1:2" ht="15.5">
      <c r="A735" s="1190">
        <v>-2.2999999999999998</v>
      </c>
      <c r="B735" s="1191">
        <v>0.64780000000000004</v>
      </c>
    </row>
    <row r="736" spans="1:2" ht="15.5">
      <c r="A736" s="1190">
        <v>-2.2000000000000002</v>
      </c>
      <c r="B736" s="1191">
        <v>0.64770000000000005</v>
      </c>
    </row>
    <row r="737" spans="1:2" ht="15.5">
      <c r="A737" s="1190">
        <v>-2.1</v>
      </c>
      <c r="B737" s="1191">
        <v>0.64759999999999995</v>
      </c>
    </row>
    <row r="738" spans="1:2" ht="15.5">
      <c r="A738" s="1190">
        <v>-2</v>
      </c>
      <c r="B738" s="1191">
        <v>0.64749999999999996</v>
      </c>
    </row>
    <row r="739" spans="1:2" ht="15.5">
      <c r="A739" s="1190">
        <v>-1.9</v>
      </c>
      <c r="B739" s="1191">
        <v>0.64739999999999998</v>
      </c>
    </row>
    <row r="740" spans="1:2" ht="15.5">
      <c r="A740" s="1190">
        <v>-1.8</v>
      </c>
      <c r="B740" s="1191">
        <v>0.6472</v>
      </c>
    </row>
    <row r="741" spans="1:2" ht="15.5">
      <c r="A741" s="1190">
        <v>-1.7</v>
      </c>
      <c r="B741" s="1191">
        <v>0.64710000000000001</v>
      </c>
    </row>
    <row r="742" spans="1:2" ht="15.5">
      <c r="A742" s="1190">
        <v>-1.6</v>
      </c>
      <c r="B742" s="1191">
        <v>0.64700000000000002</v>
      </c>
    </row>
    <row r="743" spans="1:2" ht="15.5">
      <c r="A743" s="1190">
        <v>-1.5</v>
      </c>
      <c r="B743" s="1191">
        <v>0.64690000000000003</v>
      </c>
    </row>
    <row r="744" spans="1:2" ht="15.5">
      <c r="A744" s="1190">
        <v>-1.4</v>
      </c>
      <c r="B744" s="1191">
        <v>0.64680000000000004</v>
      </c>
    </row>
    <row r="745" spans="1:2" ht="15.5">
      <c r="A745" s="1190">
        <v>-1.3</v>
      </c>
      <c r="B745" s="1191">
        <v>0.64670000000000005</v>
      </c>
    </row>
    <row r="746" spans="1:2" ht="15.5">
      <c r="A746" s="1190">
        <v>-1.2</v>
      </c>
      <c r="B746" s="1191">
        <v>0.64659999999999995</v>
      </c>
    </row>
    <row r="747" spans="1:2" ht="15.5">
      <c r="A747" s="1190">
        <v>-1.1000000000000001</v>
      </c>
      <c r="B747" s="1191">
        <v>0.64639999999999997</v>
      </c>
    </row>
    <row r="748" spans="1:2" ht="15.5">
      <c r="A748" s="1190">
        <v>-1</v>
      </c>
      <c r="B748" s="1191">
        <v>0.64629999999999999</v>
      </c>
    </row>
    <row r="749" spans="1:2" ht="15.5">
      <c r="A749" s="1190">
        <v>-0.9</v>
      </c>
      <c r="B749" s="1191">
        <v>0.6462</v>
      </c>
    </row>
    <row r="750" spans="1:2" ht="15.5">
      <c r="A750" s="1190">
        <v>-0.8</v>
      </c>
      <c r="B750" s="1191">
        <v>0.64610000000000001</v>
      </c>
    </row>
    <row r="751" spans="1:2" ht="15.5">
      <c r="A751" s="1190">
        <v>-0.7</v>
      </c>
      <c r="B751" s="1191">
        <v>0.64600000000000002</v>
      </c>
    </row>
    <row r="752" spans="1:2" ht="15.5">
      <c r="A752" s="1190">
        <v>-0.6</v>
      </c>
      <c r="B752" s="1191">
        <v>0.64590000000000003</v>
      </c>
    </row>
    <row r="753" spans="1:2" ht="15.5">
      <c r="A753" s="1190">
        <v>-0.5</v>
      </c>
      <c r="B753" s="1191">
        <v>0.64570000000000005</v>
      </c>
    </row>
    <row r="754" spans="1:2" ht="15.5">
      <c r="A754" s="1190">
        <v>-0.4</v>
      </c>
      <c r="B754" s="1191">
        <v>0.64559999999999995</v>
      </c>
    </row>
    <row r="755" spans="1:2" ht="15.5">
      <c r="A755" s="1190">
        <v>-0.3</v>
      </c>
      <c r="B755" s="1191">
        <v>0.64549999999999996</v>
      </c>
    </row>
    <row r="756" spans="1:2" ht="15.5">
      <c r="A756" s="1190">
        <v>-0.2</v>
      </c>
      <c r="B756" s="1191">
        <v>0.64539999999999997</v>
      </c>
    </row>
    <row r="757" spans="1:2" ht="15.5">
      <c r="A757" s="1190">
        <v>-0.1</v>
      </c>
      <c r="B757" s="1191">
        <v>0.64529999999999998</v>
      </c>
    </row>
    <row r="758" spans="1:2" ht="15.5">
      <c r="A758" s="1190">
        <v>0</v>
      </c>
      <c r="B758" s="1191">
        <v>0.64510000000000001</v>
      </c>
    </row>
    <row r="759" spans="1:2" ht="15.5">
      <c r="A759" s="1190">
        <v>0.1</v>
      </c>
      <c r="B759" s="1191">
        <v>0.64500000000000002</v>
      </c>
    </row>
    <row r="760" spans="1:2" ht="15.5">
      <c r="A760" s="1190">
        <v>0.2</v>
      </c>
      <c r="B760" s="1191">
        <v>0.64490000000000003</v>
      </c>
    </row>
    <row r="761" spans="1:2" ht="15.5">
      <c r="A761" s="1190">
        <v>0.3</v>
      </c>
      <c r="B761" s="1191">
        <v>0.64480000000000004</v>
      </c>
    </row>
    <row r="762" spans="1:2" ht="15.5">
      <c r="A762" s="1190">
        <v>0.4</v>
      </c>
      <c r="B762" s="1191">
        <v>0.64470000000000005</v>
      </c>
    </row>
    <row r="763" spans="1:2" ht="15.5">
      <c r="A763" s="1190">
        <v>0.5</v>
      </c>
      <c r="B763" s="1191">
        <v>0.64459999999999995</v>
      </c>
    </row>
    <row r="764" spans="1:2" ht="15.5">
      <c r="A764" s="1190">
        <v>0.6</v>
      </c>
      <c r="B764" s="1191">
        <v>0.64439999999999997</v>
      </c>
    </row>
    <row r="765" spans="1:2" ht="15.5">
      <c r="A765" s="1190">
        <v>0.7</v>
      </c>
      <c r="B765" s="1191">
        <v>0.64429999999999998</v>
      </c>
    </row>
    <row r="766" spans="1:2" ht="15.5">
      <c r="A766" s="1190">
        <v>0.8</v>
      </c>
      <c r="B766" s="1191">
        <v>0.64419999999999999</v>
      </c>
    </row>
    <row r="767" spans="1:2" ht="15.5">
      <c r="A767" s="1190">
        <v>0.9</v>
      </c>
      <c r="B767" s="1191">
        <v>0.64410000000000001</v>
      </c>
    </row>
    <row r="768" spans="1:2" ht="15.5">
      <c r="A768" s="1190">
        <v>1</v>
      </c>
      <c r="B768" s="1191">
        <v>0.64400000000000002</v>
      </c>
    </row>
    <row r="769" spans="1:2" ht="15.5">
      <c r="A769" s="1190">
        <v>1.1000000000000001</v>
      </c>
      <c r="B769" s="1191">
        <v>0.64390000000000003</v>
      </c>
    </row>
    <row r="770" spans="1:2" ht="15.5">
      <c r="A770" s="1190">
        <v>1.2</v>
      </c>
      <c r="B770" s="1191">
        <v>0.64370000000000005</v>
      </c>
    </row>
    <row r="771" spans="1:2" ht="15.5">
      <c r="A771" s="1190">
        <v>1.3</v>
      </c>
      <c r="B771" s="1191">
        <v>0.64359999999999995</v>
      </c>
    </row>
    <row r="772" spans="1:2" ht="15.5">
      <c r="A772" s="1190">
        <v>1.4</v>
      </c>
      <c r="B772" s="1191">
        <v>0.64349999999999996</v>
      </c>
    </row>
    <row r="773" spans="1:2" ht="15.5">
      <c r="A773" s="1190">
        <v>1.5</v>
      </c>
      <c r="B773" s="1191">
        <v>0.64339999999999997</v>
      </c>
    </row>
    <row r="774" spans="1:2" ht="15.5">
      <c r="A774" s="1190">
        <v>1.6</v>
      </c>
      <c r="B774" s="1191">
        <v>0.64329999999999998</v>
      </c>
    </row>
    <row r="775" spans="1:2" ht="15.5">
      <c r="A775" s="1190">
        <v>1.7</v>
      </c>
      <c r="B775" s="1191">
        <v>0.64319999999999999</v>
      </c>
    </row>
    <row r="776" spans="1:2" ht="15.5">
      <c r="A776" s="1190">
        <v>1.8</v>
      </c>
      <c r="B776" s="1191">
        <v>0.64300000000000002</v>
      </c>
    </row>
    <row r="777" spans="1:2" ht="15.5">
      <c r="A777" s="1190">
        <v>1.9</v>
      </c>
      <c r="B777" s="1191">
        <v>0.64290000000000003</v>
      </c>
    </row>
    <row r="778" spans="1:2" ht="15.5">
      <c r="A778" s="1190">
        <v>2</v>
      </c>
      <c r="B778" s="1191">
        <v>0.64280000000000004</v>
      </c>
    </row>
    <row r="779" spans="1:2" ht="15.5">
      <c r="A779" s="1190">
        <v>2.1</v>
      </c>
      <c r="B779" s="1191">
        <v>0.64270000000000005</v>
      </c>
    </row>
    <row r="780" spans="1:2" ht="15.5">
      <c r="A780" s="1190">
        <v>2.2000000000000002</v>
      </c>
      <c r="B780" s="1191">
        <v>0.64259999999999995</v>
      </c>
    </row>
    <row r="781" spans="1:2" ht="15.5">
      <c r="A781" s="1190">
        <v>2.2999999999999998</v>
      </c>
      <c r="B781" s="1191">
        <v>0.64249999999999996</v>
      </c>
    </row>
    <row r="782" spans="1:2" ht="15.5">
      <c r="A782" s="1190">
        <v>2.4</v>
      </c>
      <c r="B782" s="1191">
        <v>0.64229999999999998</v>
      </c>
    </row>
    <row r="783" spans="1:2" ht="15.5">
      <c r="A783" s="1190">
        <v>2.5</v>
      </c>
      <c r="B783" s="1191">
        <v>0.64219999999999999</v>
      </c>
    </row>
    <row r="784" spans="1:2" ht="15.5">
      <c r="A784" s="1190">
        <v>2.6</v>
      </c>
      <c r="B784" s="1191">
        <v>0.6421</v>
      </c>
    </row>
    <row r="785" spans="1:2" ht="15.5">
      <c r="A785" s="1190">
        <v>2.7</v>
      </c>
      <c r="B785" s="1191">
        <v>0.64200000000000002</v>
      </c>
    </row>
    <row r="786" spans="1:2" ht="15.5">
      <c r="A786" s="1190">
        <v>2.8</v>
      </c>
      <c r="B786" s="1191">
        <v>0.64190000000000003</v>
      </c>
    </row>
    <row r="787" spans="1:2" ht="15.5">
      <c r="A787" s="1190">
        <v>2.9</v>
      </c>
      <c r="B787" s="1191">
        <v>0.64170000000000005</v>
      </c>
    </row>
    <row r="788" spans="1:2" ht="15.5">
      <c r="A788" s="1190">
        <v>3</v>
      </c>
      <c r="B788" s="1191">
        <v>0.64159999999999995</v>
      </c>
    </row>
    <row r="789" spans="1:2" ht="15.5">
      <c r="A789" s="1190">
        <v>3.1</v>
      </c>
      <c r="B789" s="1191">
        <v>0.64149999999999996</v>
      </c>
    </row>
    <row r="790" spans="1:2" ht="15.5">
      <c r="A790" s="1190">
        <v>3.2</v>
      </c>
      <c r="B790" s="1191">
        <v>0.64139999999999997</v>
      </c>
    </row>
    <row r="791" spans="1:2" ht="15.5">
      <c r="A791" s="1190">
        <v>3.3</v>
      </c>
      <c r="B791" s="1191">
        <v>0.64129999999999998</v>
      </c>
    </row>
    <row r="792" spans="1:2" ht="15.5">
      <c r="A792" s="1190">
        <v>3.4</v>
      </c>
      <c r="B792" s="1191">
        <v>0.64119999999999999</v>
      </c>
    </row>
    <row r="793" spans="1:2" ht="15.5">
      <c r="A793" s="1190">
        <v>3.5</v>
      </c>
      <c r="B793" s="1191">
        <v>0.64100000000000001</v>
      </c>
    </row>
    <row r="794" spans="1:2" ht="15.5">
      <c r="A794" s="1190">
        <v>3.6</v>
      </c>
      <c r="B794" s="1191">
        <v>0.64090000000000003</v>
      </c>
    </row>
    <row r="795" spans="1:2" ht="15.5">
      <c r="A795" s="1190">
        <v>3.7</v>
      </c>
      <c r="B795" s="1191">
        <v>0.64080000000000004</v>
      </c>
    </row>
    <row r="796" spans="1:2" ht="15.5">
      <c r="A796" s="1190">
        <v>3.8</v>
      </c>
      <c r="B796" s="1191">
        <v>0.64070000000000005</v>
      </c>
    </row>
    <row r="797" spans="1:2" ht="15.5">
      <c r="A797" s="1190">
        <v>3.9</v>
      </c>
      <c r="B797" s="1191">
        <v>0.64059999999999995</v>
      </c>
    </row>
    <row r="798" spans="1:2" ht="15.5">
      <c r="A798" s="1190">
        <v>4</v>
      </c>
      <c r="B798" s="1191">
        <v>0.64039999999999997</v>
      </c>
    </row>
    <row r="799" spans="1:2" ht="15.5">
      <c r="A799" s="1190">
        <v>4.0999999999999996</v>
      </c>
      <c r="B799" s="1191">
        <v>0.64029999999999998</v>
      </c>
    </row>
    <row r="800" spans="1:2" ht="15.5">
      <c r="A800" s="1190">
        <v>4.2</v>
      </c>
      <c r="B800" s="1191">
        <v>0.64019999999999999</v>
      </c>
    </row>
    <row r="801" spans="1:2" ht="15.5">
      <c r="A801" s="1190">
        <v>4.3</v>
      </c>
      <c r="B801" s="1191">
        <v>0.6401</v>
      </c>
    </row>
    <row r="802" spans="1:2" ht="15.5">
      <c r="A802" s="1190">
        <v>4.4000000000000004</v>
      </c>
      <c r="B802" s="1191">
        <v>0.64</v>
      </c>
    </row>
    <row r="803" spans="1:2" ht="15.5">
      <c r="A803" s="1190">
        <v>4.5</v>
      </c>
      <c r="B803" s="1191">
        <v>0.63990000000000002</v>
      </c>
    </row>
    <row r="804" spans="1:2" ht="15.5">
      <c r="A804" s="1190">
        <v>4.5999999999999996</v>
      </c>
      <c r="B804" s="1191">
        <v>0.63970000000000005</v>
      </c>
    </row>
    <row r="805" spans="1:2" ht="15.5">
      <c r="A805" s="1190">
        <v>4.7</v>
      </c>
      <c r="B805" s="1191">
        <v>0.63959999999999995</v>
      </c>
    </row>
    <row r="806" spans="1:2" ht="15.5">
      <c r="A806" s="1190">
        <v>4.8</v>
      </c>
      <c r="B806" s="1191">
        <v>0.63949999999999996</v>
      </c>
    </row>
    <row r="807" spans="1:2" ht="15.5">
      <c r="A807" s="1190">
        <v>4.9000000000000004</v>
      </c>
      <c r="B807" s="1191">
        <v>0.63939999999999997</v>
      </c>
    </row>
    <row r="808" spans="1:2" ht="15.5">
      <c r="A808" s="1190">
        <v>5</v>
      </c>
      <c r="B808" s="1191">
        <v>0.63929999999999998</v>
      </c>
    </row>
    <row r="809" spans="1:2" ht="15.5">
      <c r="A809" s="1190">
        <v>5.0999999999999996</v>
      </c>
      <c r="B809" s="1191">
        <v>0.6391</v>
      </c>
    </row>
    <row r="810" spans="1:2" ht="15.5">
      <c r="A810" s="1190">
        <v>5.2</v>
      </c>
      <c r="B810" s="1191">
        <v>0.63900000000000001</v>
      </c>
    </row>
    <row r="811" spans="1:2" ht="15.5">
      <c r="A811" s="1190">
        <v>5.3</v>
      </c>
      <c r="B811" s="1191">
        <v>0.63890000000000002</v>
      </c>
    </row>
    <row r="812" spans="1:2" ht="15.5">
      <c r="A812" s="1190">
        <v>5.4</v>
      </c>
      <c r="B812" s="1191">
        <v>0.63880000000000003</v>
      </c>
    </row>
    <row r="813" spans="1:2" ht="15.5">
      <c r="A813" s="1190">
        <v>5.5</v>
      </c>
      <c r="B813" s="1191">
        <v>0.63870000000000005</v>
      </c>
    </row>
    <row r="814" spans="1:2" ht="15.5">
      <c r="A814" s="1190">
        <v>5.6</v>
      </c>
      <c r="B814" s="1191">
        <v>0.63859999999999995</v>
      </c>
    </row>
    <row r="815" spans="1:2" ht="15.5">
      <c r="A815" s="1190">
        <v>5.7</v>
      </c>
      <c r="B815" s="1191">
        <v>0.63839999999999997</v>
      </c>
    </row>
    <row r="816" spans="1:2" ht="15.5">
      <c r="A816" s="1190">
        <v>5.8</v>
      </c>
      <c r="B816" s="1191">
        <v>0.63829999999999998</v>
      </c>
    </row>
    <row r="817" spans="1:2" ht="15.5">
      <c r="A817" s="1190">
        <v>5.9</v>
      </c>
      <c r="B817" s="1191">
        <v>0.63819999999999999</v>
      </c>
    </row>
    <row r="818" spans="1:2" ht="15.5">
      <c r="A818" s="1190">
        <v>6</v>
      </c>
      <c r="B818" s="1191">
        <v>0.6381</v>
      </c>
    </row>
    <row r="819" spans="1:2" ht="15.5">
      <c r="A819" s="1190">
        <v>6.1</v>
      </c>
      <c r="B819" s="1191">
        <v>0.63800000000000001</v>
      </c>
    </row>
    <row r="820" spans="1:2" ht="15.5">
      <c r="A820" s="1190">
        <v>6.2</v>
      </c>
      <c r="B820" s="1191">
        <v>0.63780000000000003</v>
      </c>
    </row>
    <row r="821" spans="1:2" ht="15.5">
      <c r="A821" s="1190">
        <v>6.3</v>
      </c>
      <c r="B821" s="1191">
        <v>0.63770000000000004</v>
      </c>
    </row>
    <row r="822" spans="1:2" ht="15.5">
      <c r="A822" s="1190">
        <v>6.4</v>
      </c>
      <c r="B822" s="1191">
        <v>0.63759999999999994</v>
      </c>
    </row>
    <row r="823" spans="1:2" ht="15.5">
      <c r="A823" s="1190">
        <v>6.5</v>
      </c>
      <c r="B823" s="1191">
        <v>0.63749999999999996</v>
      </c>
    </row>
    <row r="824" spans="1:2" ht="15.5">
      <c r="A824" s="1190">
        <v>6.6</v>
      </c>
      <c r="B824" s="1191">
        <v>0.63739999999999997</v>
      </c>
    </row>
    <row r="825" spans="1:2" ht="15.5">
      <c r="A825" s="1190">
        <v>6.7</v>
      </c>
      <c r="B825" s="1191">
        <v>0.63719999999999999</v>
      </c>
    </row>
    <row r="826" spans="1:2" ht="15.5">
      <c r="A826" s="1190">
        <v>6.8</v>
      </c>
      <c r="B826" s="1191">
        <v>0.6371</v>
      </c>
    </row>
    <row r="827" spans="1:2" ht="15.5">
      <c r="A827" s="1190">
        <v>6.9</v>
      </c>
      <c r="B827" s="1191">
        <v>0.63700000000000001</v>
      </c>
    </row>
    <row r="828" spans="1:2" ht="15.5">
      <c r="A828" s="1190">
        <v>7</v>
      </c>
      <c r="B828" s="1191">
        <v>0.63690000000000002</v>
      </c>
    </row>
    <row r="829" spans="1:2" ht="15.5">
      <c r="A829" s="1190">
        <v>7.1</v>
      </c>
      <c r="B829" s="1191">
        <v>0.63680000000000003</v>
      </c>
    </row>
    <row r="830" spans="1:2" ht="15.5">
      <c r="A830" s="1190">
        <v>7.2</v>
      </c>
      <c r="B830" s="1191">
        <v>0.63660000000000005</v>
      </c>
    </row>
    <row r="831" spans="1:2" ht="15.5">
      <c r="A831" s="1190">
        <v>7.3</v>
      </c>
      <c r="B831" s="1191">
        <v>0.63649999999999995</v>
      </c>
    </row>
    <row r="832" spans="1:2" ht="15.5">
      <c r="A832" s="1190">
        <v>7.4</v>
      </c>
      <c r="B832" s="1191">
        <v>0.63639999999999997</v>
      </c>
    </row>
    <row r="833" spans="1:2" ht="15.5">
      <c r="A833" s="1190">
        <v>7.5</v>
      </c>
      <c r="B833" s="1191">
        <v>0.63629999999999998</v>
      </c>
    </row>
    <row r="834" spans="1:2" ht="15.5">
      <c r="A834" s="1190">
        <v>7.6</v>
      </c>
      <c r="B834" s="1191">
        <v>0.63619999999999999</v>
      </c>
    </row>
    <row r="835" spans="1:2" ht="15.5">
      <c r="A835" s="1190">
        <v>7.7</v>
      </c>
      <c r="B835" s="1191">
        <v>0.6361</v>
      </c>
    </row>
    <row r="836" spans="1:2" ht="15.5">
      <c r="A836" s="1190">
        <v>7.8</v>
      </c>
      <c r="B836" s="1191">
        <v>0.63590000000000002</v>
      </c>
    </row>
    <row r="837" spans="1:2" ht="15.5">
      <c r="A837" s="1190">
        <v>7.9</v>
      </c>
      <c r="B837" s="1191">
        <v>0.63580000000000003</v>
      </c>
    </row>
    <row r="838" spans="1:2" ht="15.5">
      <c r="A838" s="1190">
        <v>8</v>
      </c>
      <c r="B838" s="1191">
        <v>0.63570000000000004</v>
      </c>
    </row>
    <row r="839" spans="1:2" ht="15.5">
      <c r="A839" s="1190">
        <v>8.1</v>
      </c>
      <c r="B839" s="1191">
        <v>0.63560000000000005</v>
      </c>
    </row>
    <row r="840" spans="1:2" ht="15.5">
      <c r="A840" s="1190">
        <v>8.1999999999999993</v>
      </c>
      <c r="B840" s="1191">
        <v>0.63549999999999995</v>
      </c>
    </row>
    <row r="841" spans="1:2" ht="15.5">
      <c r="A841" s="1190">
        <v>8.3000000000000007</v>
      </c>
      <c r="B841" s="1191">
        <v>0.63529999999999998</v>
      </c>
    </row>
    <row r="842" spans="1:2" ht="15.5">
      <c r="A842" s="1190">
        <v>8.4</v>
      </c>
      <c r="B842" s="1191">
        <v>0.63519999999999999</v>
      </c>
    </row>
    <row r="843" spans="1:2" ht="15.5">
      <c r="A843" s="1190">
        <v>8.5</v>
      </c>
      <c r="B843" s="1191">
        <v>0.6351</v>
      </c>
    </row>
    <row r="844" spans="1:2" ht="15.5">
      <c r="A844" s="1190">
        <v>8.6</v>
      </c>
      <c r="B844" s="1191">
        <v>0.63500000000000001</v>
      </c>
    </row>
    <row r="845" spans="1:2" ht="15.5">
      <c r="A845" s="1190">
        <v>8.6999999999999993</v>
      </c>
      <c r="B845" s="1191">
        <v>0.63490000000000002</v>
      </c>
    </row>
    <row r="846" spans="1:2" ht="15.5">
      <c r="A846" s="1190">
        <v>8.8000000000000007</v>
      </c>
      <c r="B846" s="1191">
        <v>0.63470000000000004</v>
      </c>
    </row>
    <row r="847" spans="1:2" ht="15.5">
      <c r="A847" s="1190">
        <v>8.9</v>
      </c>
      <c r="B847" s="1191">
        <v>0.63460000000000005</v>
      </c>
    </row>
    <row r="848" spans="1:2" ht="15.5">
      <c r="A848" s="1190">
        <v>9</v>
      </c>
      <c r="B848" s="1191">
        <v>0.63449999999999995</v>
      </c>
    </row>
    <row r="849" spans="1:2" ht="15.5">
      <c r="A849" s="1190">
        <v>9.1</v>
      </c>
      <c r="B849" s="1191">
        <v>0.63439999999999996</v>
      </c>
    </row>
    <row r="850" spans="1:2" ht="15.5">
      <c r="A850" s="1190">
        <v>9.1999999999999993</v>
      </c>
      <c r="B850" s="1191">
        <v>0.63429999999999997</v>
      </c>
    </row>
    <row r="851" spans="1:2" ht="15.5">
      <c r="A851" s="1190">
        <v>9.3000000000000007</v>
      </c>
      <c r="B851" s="1191">
        <v>0.6341</v>
      </c>
    </row>
    <row r="852" spans="1:2" ht="15.5">
      <c r="A852" s="1190">
        <v>9.4</v>
      </c>
      <c r="B852" s="1191">
        <v>0.63400000000000001</v>
      </c>
    </row>
    <row r="853" spans="1:2" ht="15.5">
      <c r="A853" s="1190">
        <v>9.5</v>
      </c>
      <c r="B853" s="1191">
        <v>0.63390000000000002</v>
      </c>
    </row>
    <row r="854" spans="1:2" ht="15.5">
      <c r="A854" s="1190">
        <v>9.6</v>
      </c>
      <c r="B854" s="1191">
        <v>0.63380000000000003</v>
      </c>
    </row>
    <row r="855" spans="1:2" ht="15.5">
      <c r="A855" s="1190">
        <v>9.6999999999999993</v>
      </c>
      <c r="B855" s="1191">
        <v>0.63370000000000004</v>
      </c>
    </row>
    <row r="856" spans="1:2" ht="15.5">
      <c r="A856" s="1190">
        <v>9.8000000000000007</v>
      </c>
      <c r="B856" s="1191">
        <v>0.63349999999999995</v>
      </c>
    </row>
    <row r="857" spans="1:2" ht="15.5">
      <c r="A857" s="1190">
        <v>9.9</v>
      </c>
      <c r="B857" s="1191">
        <v>0.63339999999999996</v>
      </c>
    </row>
    <row r="858" spans="1:2" ht="15.5">
      <c r="A858" s="1190">
        <v>10</v>
      </c>
      <c r="B858" s="1191">
        <v>0.63329999999999997</v>
      </c>
    </row>
    <row r="859" spans="1:2" ht="15.5">
      <c r="A859" s="1190">
        <v>10.1</v>
      </c>
      <c r="B859" s="1191">
        <v>0.63319999999999999</v>
      </c>
    </row>
    <row r="860" spans="1:2" ht="15.5">
      <c r="A860" s="1190">
        <v>10.199999999999999</v>
      </c>
      <c r="B860" s="1191">
        <v>0.6331</v>
      </c>
    </row>
    <row r="861" spans="1:2" ht="15.5">
      <c r="A861" s="1190">
        <v>10.3</v>
      </c>
      <c r="B861" s="1191">
        <v>0.63290000000000002</v>
      </c>
    </row>
    <row r="862" spans="1:2" ht="15.5">
      <c r="A862" s="1190">
        <v>10.4</v>
      </c>
      <c r="B862" s="1191">
        <v>0.63280000000000003</v>
      </c>
    </row>
    <row r="863" spans="1:2" ht="15.5">
      <c r="A863" s="1190">
        <v>10.5</v>
      </c>
      <c r="B863" s="1191">
        <v>0.63270000000000004</v>
      </c>
    </row>
    <row r="864" spans="1:2" ht="15.5">
      <c r="A864" s="1190">
        <v>10.6</v>
      </c>
      <c r="B864" s="1191">
        <v>0.63260000000000005</v>
      </c>
    </row>
    <row r="865" spans="1:2" ht="15.5">
      <c r="A865" s="1190">
        <v>10.7</v>
      </c>
      <c r="B865" s="1191">
        <v>0.63249999999999995</v>
      </c>
    </row>
    <row r="866" spans="1:2" ht="15.5">
      <c r="A866" s="1190">
        <v>10.8</v>
      </c>
      <c r="B866" s="1191">
        <v>0.63229999999999997</v>
      </c>
    </row>
    <row r="867" spans="1:2" ht="15.5">
      <c r="A867" s="1190">
        <v>10.9</v>
      </c>
      <c r="B867" s="1191">
        <v>0.63219999999999998</v>
      </c>
    </row>
    <row r="868" spans="1:2" ht="15.5">
      <c r="A868" s="1190">
        <v>11</v>
      </c>
      <c r="B868" s="1191">
        <v>0.6321</v>
      </c>
    </row>
    <row r="869" spans="1:2" ht="15.5">
      <c r="A869" s="1190">
        <v>11.1</v>
      </c>
      <c r="B869" s="1191">
        <v>0.63200000000000001</v>
      </c>
    </row>
    <row r="870" spans="1:2" ht="15.5">
      <c r="A870" s="1190">
        <v>11.2</v>
      </c>
      <c r="B870" s="1191">
        <v>0.63190000000000002</v>
      </c>
    </row>
    <row r="871" spans="1:2" ht="15.5">
      <c r="A871" s="1190">
        <v>11.3</v>
      </c>
      <c r="B871" s="1191">
        <v>0.63170000000000004</v>
      </c>
    </row>
    <row r="872" spans="1:2" ht="15.5">
      <c r="A872" s="1190">
        <v>11.4</v>
      </c>
      <c r="B872" s="1191">
        <v>0.63160000000000005</v>
      </c>
    </row>
    <row r="873" spans="1:2" ht="15.5">
      <c r="A873" s="1190">
        <v>11.5</v>
      </c>
      <c r="B873" s="1191">
        <v>0.63149999999999995</v>
      </c>
    </row>
    <row r="874" spans="1:2" ht="15.5">
      <c r="A874" s="1190">
        <v>11.6</v>
      </c>
      <c r="B874" s="1191">
        <v>0.63139999999999996</v>
      </c>
    </row>
    <row r="875" spans="1:2" ht="15.5">
      <c r="A875" s="1190">
        <v>11.7</v>
      </c>
      <c r="B875" s="1191">
        <v>0.63119999999999998</v>
      </c>
    </row>
    <row r="876" spans="1:2" ht="15.5">
      <c r="A876" s="1190">
        <v>11.8</v>
      </c>
      <c r="B876" s="1191">
        <v>0.63109999999999999</v>
      </c>
    </row>
    <row r="877" spans="1:2" ht="15.5">
      <c r="A877" s="1190">
        <v>11.9</v>
      </c>
      <c r="B877" s="1191">
        <v>0.63100000000000001</v>
      </c>
    </row>
    <row r="878" spans="1:2" ht="15.5">
      <c r="A878" s="1190">
        <v>12</v>
      </c>
      <c r="B878" s="1191">
        <v>0.63090000000000002</v>
      </c>
    </row>
    <row r="879" spans="1:2" ht="15.5">
      <c r="A879" s="1190">
        <v>12.1</v>
      </c>
      <c r="B879" s="1191">
        <v>0.63080000000000003</v>
      </c>
    </row>
    <row r="880" spans="1:2" ht="15.5">
      <c r="A880" s="1190">
        <v>12.2</v>
      </c>
      <c r="B880" s="1191">
        <v>0.63060000000000005</v>
      </c>
    </row>
    <row r="881" spans="1:2" ht="15.5">
      <c r="A881" s="1190">
        <v>12.3</v>
      </c>
      <c r="B881" s="1191">
        <v>0.63049999999999995</v>
      </c>
    </row>
    <row r="882" spans="1:2" ht="15.5">
      <c r="A882" s="1190">
        <v>12.4</v>
      </c>
      <c r="B882" s="1191">
        <v>0.63039999999999996</v>
      </c>
    </row>
    <row r="883" spans="1:2" ht="15.5">
      <c r="A883" s="1190">
        <v>12.5</v>
      </c>
      <c r="B883" s="1191">
        <v>0.63029999999999997</v>
      </c>
    </row>
    <row r="884" spans="1:2" ht="15.5">
      <c r="A884" s="1190">
        <v>12.6</v>
      </c>
      <c r="B884" s="1191">
        <v>0.63019999999999998</v>
      </c>
    </row>
    <row r="885" spans="1:2" ht="15.5">
      <c r="A885" s="1190">
        <v>12.7</v>
      </c>
      <c r="B885" s="1191">
        <v>0.63</v>
      </c>
    </row>
    <row r="886" spans="1:2" ht="15.5">
      <c r="A886" s="1190">
        <v>12.8</v>
      </c>
      <c r="B886" s="1191">
        <v>0.62990000000000002</v>
      </c>
    </row>
    <row r="887" spans="1:2" ht="15.5">
      <c r="A887" s="1190">
        <v>12.9</v>
      </c>
      <c r="B887" s="1191">
        <v>0.62980000000000003</v>
      </c>
    </row>
    <row r="888" spans="1:2" ht="15.5">
      <c r="A888" s="1190">
        <v>13</v>
      </c>
      <c r="B888" s="1191">
        <v>0.62970000000000004</v>
      </c>
    </row>
    <row r="889" spans="1:2" ht="15.5">
      <c r="A889" s="1190">
        <v>13.1</v>
      </c>
      <c r="B889" s="1191">
        <v>0.62960000000000005</v>
      </c>
    </row>
    <row r="890" spans="1:2" ht="15.5">
      <c r="A890" s="1190">
        <v>13.2</v>
      </c>
      <c r="B890" s="1191">
        <v>0.62939999999999996</v>
      </c>
    </row>
    <row r="891" spans="1:2" ht="15.5">
      <c r="A891" s="1190">
        <v>13.3</v>
      </c>
      <c r="B891" s="1191">
        <v>0.62929999999999997</v>
      </c>
    </row>
    <row r="892" spans="1:2" ht="15.5">
      <c r="A892" s="1190">
        <v>13.4</v>
      </c>
      <c r="B892" s="1191">
        <v>0.62919999999999998</v>
      </c>
    </row>
    <row r="893" spans="1:2" ht="15.5">
      <c r="A893" s="1190">
        <v>13.5</v>
      </c>
      <c r="B893" s="1191">
        <v>0.62909999999999999</v>
      </c>
    </row>
    <row r="894" spans="1:2" ht="15.5">
      <c r="A894" s="1190">
        <v>13.6</v>
      </c>
      <c r="B894" s="1191">
        <v>0.62890000000000001</v>
      </c>
    </row>
    <row r="895" spans="1:2" ht="15.5">
      <c r="A895" s="1190">
        <v>13.7</v>
      </c>
      <c r="B895" s="1191">
        <v>0.62880000000000003</v>
      </c>
    </row>
    <row r="896" spans="1:2" ht="15.5">
      <c r="A896" s="1190">
        <v>13.8</v>
      </c>
      <c r="B896" s="1191">
        <v>0.62870000000000004</v>
      </c>
    </row>
    <row r="897" spans="1:2" ht="15.5">
      <c r="A897" s="1190">
        <v>13.9</v>
      </c>
      <c r="B897" s="1191">
        <v>0.62860000000000005</v>
      </c>
    </row>
    <row r="898" spans="1:2" ht="15.5">
      <c r="A898" s="1190">
        <v>14</v>
      </c>
      <c r="B898" s="1191">
        <v>0.62849999999999995</v>
      </c>
    </row>
    <row r="899" spans="1:2" ht="15.5">
      <c r="A899" s="1190">
        <v>14.1</v>
      </c>
      <c r="B899" s="1191">
        <v>0.62829999999999997</v>
      </c>
    </row>
    <row r="900" spans="1:2" ht="15.5">
      <c r="A900" s="1190">
        <v>14.2</v>
      </c>
      <c r="B900" s="1191">
        <v>0.62819999999999998</v>
      </c>
    </row>
    <row r="901" spans="1:2" ht="15.5">
      <c r="A901" s="1190">
        <v>14.3</v>
      </c>
      <c r="B901" s="1191">
        <v>0.62809999999999999</v>
      </c>
    </row>
    <row r="902" spans="1:2" ht="15.5">
      <c r="A902" s="1182"/>
      <c r="B902" s="1182"/>
    </row>
    <row r="903" spans="1:2" ht="15.5">
      <c r="A903" s="1182"/>
      <c r="B903" s="1182"/>
    </row>
    <row r="904" spans="1:2" ht="15">
      <c r="A904" s="1673" t="s">
        <v>631</v>
      </c>
      <c r="B904" s="1673"/>
    </row>
    <row r="905" spans="1:2" ht="15.5">
      <c r="A905" s="1182"/>
      <c r="B905" s="1182"/>
    </row>
    <row r="906" spans="1:2" ht="15.5">
      <c r="A906" s="1190">
        <v>-128</v>
      </c>
      <c r="B906" s="1191">
        <v>0.60160000000000002</v>
      </c>
    </row>
    <row r="907" spans="1:2" ht="15.5">
      <c r="A907" s="1190">
        <v>-127.9</v>
      </c>
      <c r="B907" s="1191">
        <v>0.60140000000000005</v>
      </c>
    </row>
    <row r="908" spans="1:2" ht="15.5">
      <c r="A908" s="1190">
        <v>-127.8</v>
      </c>
      <c r="B908" s="1191">
        <v>0.60129999999999995</v>
      </c>
    </row>
    <row r="909" spans="1:2" ht="15.5">
      <c r="A909" s="1190">
        <v>-127.7</v>
      </c>
      <c r="B909" s="1191">
        <v>0.60109999999999997</v>
      </c>
    </row>
    <row r="910" spans="1:2" ht="15.5">
      <c r="A910" s="1190">
        <v>-127.6</v>
      </c>
      <c r="B910" s="1191">
        <v>0.60099999999999998</v>
      </c>
    </row>
    <row r="911" spans="1:2" ht="15.5">
      <c r="A911" s="1190">
        <v>-127.5</v>
      </c>
      <c r="B911" s="1191">
        <v>0.60089999999999999</v>
      </c>
    </row>
    <row r="912" spans="1:2" ht="15.5">
      <c r="A912" s="1190">
        <v>-127.4</v>
      </c>
      <c r="B912" s="1191">
        <v>0.60070000000000001</v>
      </c>
    </row>
    <row r="913" spans="1:2" ht="15.5">
      <c r="A913" s="1190">
        <v>-127.3</v>
      </c>
      <c r="B913" s="1191">
        <v>0.60060000000000002</v>
      </c>
    </row>
    <row r="914" spans="1:2" ht="15.5">
      <c r="A914" s="1190">
        <v>-127.2</v>
      </c>
      <c r="B914" s="1191">
        <v>0.60050000000000003</v>
      </c>
    </row>
    <row r="915" spans="1:2" ht="15.5">
      <c r="A915" s="1190">
        <v>-127.1</v>
      </c>
      <c r="B915" s="1191">
        <v>0.60029999999999994</v>
      </c>
    </row>
    <row r="916" spans="1:2" ht="15.5">
      <c r="A916" s="1190">
        <v>-127</v>
      </c>
      <c r="B916" s="1191">
        <v>0.60019999999999996</v>
      </c>
    </row>
    <row r="917" spans="1:2" ht="15.5">
      <c r="A917" s="1190">
        <v>-126.9</v>
      </c>
      <c r="B917" s="1191">
        <v>0.60009999999999997</v>
      </c>
    </row>
    <row r="918" spans="1:2" ht="15.5">
      <c r="A918" s="1190">
        <v>-126.8</v>
      </c>
      <c r="B918" s="1191">
        <v>0.59989999999999999</v>
      </c>
    </row>
    <row r="919" spans="1:2" ht="15.5">
      <c r="A919" s="1190">
        <v>-126.7</v>
      </c>
      <c r="B919" s="1191">
        <v>0.5998</v>
      </c>
    </row>
    <row r="920" spans="1:2" ht="15.5">
      <c r="A920" s="1190">
        <v>-126.6</v>
      </c>
      <c r="B920" s="1191">
        <v>0.59970000000000001</v>
      </c>
    </row>
    <row r="921" spans="1:2" ht="15.5">
      <c r="A921" s="1190">
        <v>-126.5</v>
      </c>
      <c r="B921" s="1191">
        <v>0.59950000000000003</v>
      </c>
    </row>
    <row r="922" spans="1:2" ht="15.5">
      <c r="A922" s="1190">
        <v>-126.4</v>
      </c>
      <c r="B922" s="1191">
        <v>0.59940000000000004</v>
      </c>
    </row>
    <row r="923" spans="1:2" ht="15.5">
      <c r="A923" s="1190">
        <v>-126.3</v>
      </c>
      <c r="B923" s="1191">
        <v>0.59919999999999995</v>
      </c>
    </row>
    <row r="924" spans="1:2" ht="15.5">
      <c r="A924" s="1190">
        <v>-126.2</v>
      </c>
      <c r="B924" s="1191">
        <v>0.59909999999999997</v>
      </c>
    </row>
    <row r="925" spans="1:2" ht="15.5">
      <c r="A925" s="1190">
        <v>-126.1</v>
      </c>
      <c r="B925" s="1191">
        <v>0.59899999999999998</v>
      </c>
    </row>
    <row r="926" spans="1:2" ht="15.5">
      <c r="A926" s="1190">
        <v>-126</v>
      </c>
      <c r="B926" s="1191">
        <v>0.5988</v>
      </c>
    </row>
    <row r="927" spans="1:2" ht="15.5">
      <c r="A927" s="1190">
        <v>-125.9</v>
      </c>
      <c r="B927" s="1191">
        <v>0.59870000000000001</v>
      </c>
    </row>
    <row r="928" spans="1:2" ht="15.5">
      <c r="A928" s="1190">
        <v>-125.8</v>
      </c>
      <c r="B928" s="1191">
        <v>0.59860000000000002</v>
      </c>
    </row>
    <row r="929" spans="1:2" ht="15.5">
      <c r="A929" s="1190">
        <v>-125.7</v>
      </c>
      <c r="B929" s="1191">
        <v>0.59840000000000004</v>
      </c>
    </row>
    <row r="930" spans="1:2" ht="15.5">
      <c r="A930" s="1190">
        <v>-125.6</v>
      </c>
      <c r="B930" s="1191">
        <v>0.59830000000000005</v>
      </c>
    </row>
    <row r="931" spans="1:2" ht="15.5">
      <c r="A931" s="1190">
        <v>-125.5</v>
      </c>
      <c r="B931" s="1191">
        <v>0.59819999999999995</v>
      </c>
    </row>
    <row r="932" spans="1:2" ht="15.5">
      <c r="A932" s="1190">
        <v>-125.4</v>
      </c>
      <c r="B932" s="1191">
        <v>0.59799999999999998</v>
      </c>
    </row>
    <row r="933" spans="1:2" ht="15.5">
      <c r="A933" s="1190">
        <v>-125.3</v>
      </c>
      <c r="B933" s="1191">
        <v>0.59789999999999999</v>
      </c>
    </row>
    <row r="934" spans="1:2" ht="15.5">
      <c r="A934" s="1190">
        <v>-125.2</v>
      </c>
      <c r="B934" s="1191">
        <v>0.5978</v>
      </c>
    </row>
    <row r="935" spans="1:2" ht="15.5">
      <c r="A935" s="1190">
        <v>-125.1</v>
      </c>
      <c r="B935" s="1191">
        <v>0.59760000000000002</v>
      </c>
    </row>
    <row r="936" spans="1:2" ht="15.5">
      <c r="A936" s="1190">
        <v>-125</v>
      </c>
      <c r="B936" s="1191">
        <v>0.59750000000000003</v>
      </c>
    </row>
    <row r="937" spans="1:2" ht="15.5">
      <c r="A937" s="1190">
        <v>-124.9</v>
      </c>
      <c r="B937" s="1191">
        <v>0.59730000000000005</v>
      </c>
    </row>
    <row r="938" spans="1:2" ht="15.5">
      <c r="A938" s="1190">
        <v>-124.8</v>
      </c>
      <c r="B938" s="1191">
        <v>0.59719999999999995</v>
      </c>
    </row>
    <row r="939" spans="1:2" ht="15.5">
      <c r="A939" s="1190">
        <v>-124.7</v>
      </c>
      <c r="B939" s="1191">
        <v>0.59709999999999996</v>
      </c>
    </row>
    <row r="940" spans="1:2" ht="15.5">
      <c r="A940" s="1190">
        <v>-124.6</v>
      </c>
      <c r="B940" s="1191">
        <v>0.59689999999999999</v>
      </c>
    </row>
    <row r="941" spans="1:2" ht="15.5">
      <c r="A941" s="1190">
        <v>-124.5</v>
      </c>
      <c r="B941" s="1191">
        <v>0.5968</v>
      </c>
    </row>
    <row r="942" spans="1:2" ht="15.5">
      <c r="A942" s="1190">
        <v>-124.4</v>
      </c>
      <c r="B942" s="1191">
        <v>0.59670000000000001</v>
      </c>
    </row>
    <row r="943" spans="1:2" ht="15.5">
      <c r="A943" s="1190">
        <v>-124.3</v>
      </c>
      <c r="B943" s="1191">
        <v>0.59650000000000003</v>
      </c>
    </row>
    <row r="944" spans="1:2" ht="15.5">
      <c r="A944" s="1190">
        <v>-124.2</v>
      </c>
      <c r="B944" s="1191">
        <v>0.59640000000000004</v>
      </c>
    </row>
    <row r="945" spans="1:2" ht="15.5">
      <c r="A945" s="1190">
        <v>-124.1</v>
      </c>
      <c r="B945" s="1191">
        <v>0.59630000000000005</v>
      </c>
    </row>
    <row r="946" spans="1:2" ht="15.5">
      <c r="A946" s="1190">
        <v>-124</v>
      </c>
      <c r="B946" s="1191">
        <v>0.59609999999999996</v>
      </c>
    </row>
    <row r="947" spans="1:2" ht="15.5">
      <c r="A947" s="1190">
        <v>-123.9</v>
      </c>
      <c r="B947" s="1191">
        <v>0.59599999999999997</v>
      </c>
    </row>
    <row r="948" spans="1:2" ht="15.5">
      <c r="A948" s="1190">
        <v>-123.8</v>
      </c>
      <c r="B948" s="1191">
        <v>0.5958</v>
      </c>
    </row>
    <row r="949" spans="1:2" ht="15.5">
      <c r="A949" s="1190">
        <v>-123.7</v>
      </c>
      <c r="B949" s="1191">
        <v>0.59570000000000001</v>
      </c>
    </row>
    <row r="950" spans="1:2" ht="15.5">
      <c r="A950" s="1190">
        <v>-123.6</v>
      </c>
      <c r="B950" s="1191">
        <v>0.59560000000000002</v>
      </c>
    </row>
    <row r="951" spans="1:2" ht="15.5">
      <c r="A951" s="1190">
        <v>-123.5</v>
      </c>
      <c r="B951" s="1191">
        <v>0.59540000000000004</v>
      </c>
    </row>
    <row r="952" spans="1:2" ht="15.5">
      <c r="A952" s="1190">
        <v>-123.4</v>
      </c>
      <c r="B952" s="1191">
        <v>0.59530000000000005</v>
      </c>
    </row>
    <row r="953" spans="1:2" ht="15.5">
      <c r="A953" s="1190">
        <v>-123.3</v>
      </c>
      <c r="B953" s="1191">
        <v>0.59519999999999995</v>
      </c>
    </row>
    <row r="954" spans="1:2" ht="15.5">
      <c r="A954" s="1190">
        <v>-123.2</v>
      </c>
      <c r="B954" s="1191">
        <v>0.59499999999999997</v>
      </c>
    </row>
    <row r="955" spans="1:2" ht="15.5">
      <c r="A955" s="1190">
        <v>-123.1</v>
      </c>
      <c r="B955" s="1191">
        <v>0.59489999999999998</v>
      </c>
    </row>
    <row r="956" spans="1:2" ht="15.5">
      <c r="A956" s="1190">
        <v>-123</v>
      </c>
      <c r="B956" s="1191">
        <v>0.5948</v>
      </c>
    </row>
    <row r="957" spans="1:2" ht="15.5">
      <c r="A957" s="1190">
        <v>-122.9</v>
      </c>
      <c r="B957" s="1191">
        <v>0.59460000000000002</v>
      </c>
    </row>
    <row r="958" spans="1:2" ht="15.5">
      <c r="A958" s="1190">
        <v>-122.8</v>
      </c>
      <c r="B958" s="1191">
        <v>0.59450000000000003</v>
      </c>
    </row>
    <row r="959" spans="1:2" ht="15.5">
      <c r="A959" s="1190">
        <v>-122.7</v>
      </c>
      <c r="B959" s="1191">
        <v>0.59430000000000005</v>
      </c>
    </row>
    <row r="960" spans="1:2" ht="15.5">
      <c r="A960" s="1190">
        <v>-122.6</v>
      </c>
      <c r="B960" s="1191">
        <v>0.59419999999999995</v>
      </c>
    </row>
    <row r="961" spans="1:2" ht="15.5">
      <c r="A961" s="1190">
        <v>-122.5</v>
      </c>
      <c r="B961" s="1191">
        <v>0.59409999999999996</v>
      </c>
    </row>
    <row r="962" spans="1:2" ht="15.5">
      <c r="A962" s="1190">
        <v>-122.4</v>
      </c>
      <c r="B962" s="1191">
        <v>0.59389999999999998</v>
      </c>
    </row>
    <row r="963" spans="1:2" ht="15.5">
      <c r="A963" s="1190">
        <v>-122.3</v>
      </c>
      <c r="B963" s="1191">
        <v>0.59379999999999999</v>
      </c>
    </row>
    <row r="964" spans="1:2" ht="15.5">
      <c r="A964" s="1190">
        <v>-122.2</v>
      </c>
      <c r="B964" s="1191">
        <v>0.59370000000000001</v>
      </c>
    </row>
    <row r="965" spans="1:2" ht="15.5">
      <c r="A965" s="1190">
        <v>-122.1</v>
      </c>
      <c r="B965" s="1191">
        <v>0.59350000000000003</v>
      </c>
    </row>
    <row r="966" spans="1:2" ht="15.5">
      <c r="A966" s="1190">
        <v>-122</v>
      </c>
      <c r="B966" s="1191">
        <v>0.59340000000000004</v>
      </c>
    </row>
    <row r="967" spans="1:2" ht="15.5">
      <c r="A967" s="1190">
        <v>-121.9</v>
      </c>
      <c r="B967" s="1191">
        <v>0.59319999999999995</v>
      </c>
    </row>
    <row r="968" spans="1:2" ht="15.5">
      <c r="A968" s="1190">
        <v>-121.8</v>
      </c>
      <c r="B968" s="1191">
        <v>0.59309999999999996</v>
      </c>
    </row>
    <row r="969" spans="1:2" ht="15.5">
      <c r="A969" s="1190">
        <v>-121.7</v>
      </c>
      <c r="B969" s="1191">
        <v>0.59299999999999997</v>
      </c>
    </row>
    <row r="970" spans="1:2" ht="15.5">
      <c r="A970" s="1190">
        <v>-121.6</v>
      </c>
      <c r="B970" s="1191">
        <v>0.59279999999999999</v>
      </c>
    </row>
    <row r="971" spans="1:2" ht="15.5">
      <c r="A971" s="1190">
        <v>-121.5</v>
      </c>
      <c r="B971" s="1191">
        <v>0.5927</v>
      </c>
    </row>
    <row r="972" spans="1:2" ht="15.5">
      <c r="A972" s="1190">
        <v>-121.4</v>
      </c>
      <c r="B972" s="1191">
        <v>0.59260000000000002</v>
      </c>
    </row>
    <row r="973" spans="1:2" ht="15.5">
      <c r="A973" s="1190">
        <v>-121.3</v>
      </c>
      <c r="B973" s="1191">
        <v>0.59240000000000004</v>
      </c>
    </row>
    <row r="974" spans="1:2" ht="15.5">
      <c r="A974" s="1190">
        <v>-121.2</v>
      </c>
      <c r="B974" s="1191">
        <v>0.59230000000000005</v>
      </c>
    </row>
    <row r="975" spans="1:2" ht="15.5">
      <c r="A975" s="1190">
        <v>-121.1</v>
      </c>
      <c r="B975" s="1191">
        <v>0.59209999999999996</v>
      </c>
    </row>
    <row r="976" spans="1:2" ht="15.5">
      <c r="A976" s="1190">
        <v>-121</v>
      </c>
      <c r="B976" s="1191">
        <v>0.59199999999999997</v>
      </c>
    </row>
    <row r="977" spans="1:2" ht="15.5">
      <c r="A977" s="1190">
        <v>-120.9</v>
      </c>
      <c r="B977" s="1191">
        <v>0.59189999999999998</v>
      </c>
    </row>
    <row r="978" spans="1:2" ht="15.5">
      <c r="A978" s="1190">
        <v>-120.8</v>
      </c>
      <c r="B978" s="1191">
        <v>0.5917</v>
      </c>
    </row>
    <row r="979" spans="1:2" ht="15.5">
      <c r="A979" s="1190">
        <v>-120.7</v>
      </c>
      <c r="B979" s="1191">
        <v>0.59160000000000001</v>
      </c>
    </row>
    <row r="980" spans="1:2" ht="15.5">
      <c r="A980" s="1190">
        <v>-120.6</v>
      </c>
      <c r="B980" s="1191">
        <v>0.59150000000000003</v>
      </c>
    </row>
    <row r="981" spans="1:2" ht="15.5">
      <c r="A981" s="1190">
        <v>-120.5</v>
      </c>
      <c r="B981" s="1191">
        <v>0.59130000000000005</v>
      </c>
    </row>
    <row r="982" spans="1:2" ht="15.5">
      <c r="A982" s="1190">
        <v>-120.4</v>
      </c>
      <c r="B982" s="1191">
        <v>0.59119999999999995</v>
      </c>
    </row>
    <row r="983" spans="1:2" ht="15.5">
      <c r="A983" s="1190">
        <v>-120.3</v>
      </c>
      <c r="B983" s="1191">
        <v>0.59099999999999997</v>
      </c>
    </row>
    <row r="984" spans="1:2" ht="15.5">
      <c r="A984" s="1190">
        <v>-120.2</v>
      </c>
      <c r="B984" s="1191">
        <v>0.59089999999999998</v>
      </c>
    </row>
    <row r="985" spans="1:2" ht="15.5">
      <c r="A985" s="1190">
        <v>-120.1</v>
      </c>
      <c r="B985" s="1191">
        <v>0.59079999999999999</v>
      </c>
    </row>
    <row r="986" spans="1:2" ht="15.5">
      <c r="A986" s="1190">
        <v>-120</v>
      </c>
      <c r="B986" s="1191">
        <v>0.59060000000000001</v>
      </c>
    </row>
    <row r="987" spans="1:2" ht="15.5">
      <c r="A987" s="1190">
        <v>-119.9</v>
      </c>
      <c r="B987" s="1191">
        <v>0.59050000000000002</v>
      </c>
    </row>
    <row r="988" spans="1:2" ht="15.5">
      <c r="A988" s="1190">
        <v>-119.8</v>
      </c>
      <c r="B988" s="1191">
        <v>0.59040000000000004</v>
      </c>
    </row>
    <row r="989" spans="1:2" ht="15.5">
      <c r="A989" s="1190">
        <v>-119.7</v>
      </c>
      <c r="B989" s="1191">
        <v>0.59019999999999995</v>
      </c>
    </row>
    <row r="990" spans="1:2" ht="15.5">
      <c r="A990" s="1190">
        <v>-119.6</v>
      </c>
      <c r="B990" s="1191">
        <v>0.59009999999999996</v>
      </c>
    </row>
    <row r="991" spans="1:2" ht="15.5">
      <c r="A991" s="1190">
        <v>-119.5</v>
      </c>
      <c r="B991" s="1191">
        <v>0.58989999999999998</v>
      </c>
    </row>
    <row r="992" spans="1:2" ht="15.5">
      <c r="A992" s="1190">
        <v>-119.4</v>
      </c>
      <c r="B992" s="1191">
        <v>0.58979999999999999</v>
      </c>
    </row>
    <row r="993" spans="1:2" ht="15.5">
      <c r="A993" s="1190">
        <v>-119.3</v>
      </c>
      <c r="B993" s="1191">
        <v>0.5897</v>
      </c>
    </row>
    <row r="994" spans="1:2" ht="15.5">
      <c r="A994" s="1190">
        <v>-119.2</v>
      </c>
      <c r="B994" s="1191">
        <v>0.58950000000000002</v>
      </c>
    </row>
    <row r="995" spans="1:2" ht="15.5">
      <c r="A995" s="1190">
        <v>-119.1</v>
      </c>
      <c r="B995" s="1191">
        <v>0.58940000000000003</v>
      </c>
    </row>
    <row r="996" spans="1:2" ht="15.5">
      <c r="A996" s="1190">
        <v>-119</v>
      </c>
      <c r="B996" s="1191">
        <v>0.58930000000000005</v>
      </c>
    </row>
    <row r="997" spans="1:2" ht="15.5">
      <c r="A997" s="1190">
        <v>-118.9</v>
      </c>
      <c r="B997" s="1191">
        <v>0.58909999999999996</v>
      </c>
    </row>
    <row r="998" spans="1:2" ht="15.5">
      <c r="A998" s="1190">
        <v>-118.8</v>
      </c>
      <c r="B998" s="1191">
        <v>0.58899999999999997</v>
      </c>
    </row>
    <row r="999" spans="1:2" ht="15.5">
      <c r="A999" s="1190">
        <v>-118.7</v>
      </c>
      <c r="B999" s="1191">
        <v>0.58879999999999999</v>
      </c>
    </row>
    <row r="1000" spans="1:2" ht="15.5">
      <c r="A1000" s="1190">
        <v>-118.6</v>
      </c>
      <c r="B1000" s="1191">
        <v>0.5887</v>
      </c>
    </row>
    <row r="1001" spans="1:2" ht="15.5">
      <c r="A1001" s="1190">
        <v>-118.5</v>
      </c>
      <c r="B1001" s="1191">
        <v>0.58860000000000001</v>
      </c>
    </row>
    <row r="1002" spans="1:2" ht="15.5">
      <c r="A1002" s="1190">
        <v>-118.4</v>
      </c>
      <c r="B1002" s="1191">
        <v>0.58840000000000003</v>
      </c>
    </row>
    <row r="1003" spans="1:2" ht="15.5">
      <c r="A1003" s="1190">
        <v>-118.3</v>
      </c>
      <c r="B1003" s="1191">
        <v>0.58830000000000005</v>
      </c>
    </row>
    <row r="1004" spans="1:2" ht="15.5">
      <c r="A1004" s="1190">
        <v>-118.2</v>
      </c>
      <c r="B1004" s="1191">
        <v>0.58819999999999995</v>
      </c>
    </row>
    <row r="1005" spans="1:2" ht="15.5">
      <c r="A1005" s="1190">
        <v>-118.1</v>
      </c>
      <c r="B1005" s="1191">
        <v>0.58799999999999997</v>
      </c>
    </row>
    <row r="1006" spans="1:2" ht="15.5">
      <c r="A1006" s="1190">
        <v>-118</v>
      </c>
      <c r="B1006" s="1191">
        <v>0.58789999999999998</v>
      </c>
    </row>
    <row r="1007" spans="1:2" ht="15.5">
      <c r="A1007" s="1190">
        <v>-117.9</v>
      </c>
      <c r="B1007" s="1191">
        <v>0.5877</v>
      </c>
    </row>
    <row r="1008" spans="1:2" ht="15.5">
      <c r="A1008" s="1190">
        <v>-117.8</v>
      </c>
      <c r="B1008" s="1191">
        <v>0.58760000000000001</v>
      </c>
    </row>
    <row r="1009" spans="1:2" ht="15.5">
      <c r="A1009" s="1190">
        <v>-117.7</v>
      </c>
      <c r="B1009" s="1191">
        <v>0.58750000000000002</v>
      </c>
    </row>
    <row r="1010" spans="1:2" ht="15.5">
      <c r="A1010" s="1190">
        <v>-117.6</v>
      </c>
      <c r="B1010" s="1191">
        <v>0.58730000000000004</v>
      </c>
    </row>
    <row r="1011" spans="1:2" ht="15.5">
      <c r="A1011" s="1190">
        <v>-117.5</v>
      </c>
      <c r="B1011" s="1191">
        <v>0.58720000000000006</v>
      </c>
    </row>
    <row r="1012" spans="1:2" ht="15.5">
      <c r="A1012" s="1190">
        <v>-117.4</v>
      </c>
      <c r="B1012" s="1191">
        <v>0.58699999999999997</v>
      </c>
    </row>
    <row r="1013" spans="1:2" ht="15.5">
      <c r="A1013" s="1190">
        <v>-117.3</v>
      </c>
      <c r="B1013" s="1191">
        <v>0.58689999999999998</v>
      </c>
    </row>
    <row r="1014" spans="1:2" ht="15.5">
      <c r="A1014" s="1190">
        <v>-117.2</v>
      </c>
      <c r="B1014" s="1191">
        <v>0.58679999999999999</v>
      </c>
    </row>
    <row r="1015" spans="1:2" ht="15.5">
      <c r="A1015" s="1190">
        <v>-117.1</v>
      </c>
      <c r="B1015" s="1191">
        <v>0.58660000000000001</v>
      </c>
    </row>
    <row r="1016" spans="1:2" ht="15.5">
      <c r="A1016" s="1190">
        <v>-117</v>
      </c>
      <c r="B1016" s="1191">
        <v>0.58650000000000002</v>
      </c>
    </row>
    <row r="1017" spans="1:2" ht="15.5">
      <c r="A1017" s="1190">
        <v>-116.9</v>
      </c>
      <c r="B1017" s="1191">
        <v>0.58640000000000003</v>
      </c>
    </row>
    <row r="1018" spans="1:2" ht="15.5">
      <c r="A1018" s="1190">
        <v>-116.8</v>
      </c>
      <c r="B1018" s="1191">
        <v>0.58620000000000005</v>
      </c>
    </row>
    <row r="1019" spans="1:2" ht="15.5">
      <c r="A1019" s="1190">
        <v>-116.7</v>
      </c>
      <c r="B1019" s="1191">
        <v>0.58609999999999995</v>
      </c>
    </row>
    <row r="1020" spans="1:2" ht="15.5">
      <c r="A1020" s="1190">
        <v>-116.6</v>
      </c>
      <c r="B1020" s="1191">
        <v>0.58589999999999998</v>
      </c>
    </row>
    <row r="1021" spans="1:2" ht="15.5">
      <c r="A1021" s="1190">
        <v>-116.5</v>
      </c>
      <c r="B1021" s="1191">
        <v>0.58579999999999999</v>
      </c>
    </row>
    <row r="1022" spans="1:2" ht="15.5">
      <c r="A1022" s="1190">
        <v>-116.4</v>
      </c>
      <c r="B1022" s="1191">
        <v>0.5857</v>
      </c>
    </row>
    <row r="1023" spans="1:2" ht="15.5">
      <c r="A1023" s="1190">
        <v>-116.3</v>
      </c>
      <c r="B1023" s="1191">
        <v>0.58550000000000002</v>
      </c>
    </row>
    <row r="1024" spans="1:2" ht="15.5">
      <c r="A1024" s="1190">
        <v>-116.2</v>
      </c>
      <c r="B1024" s="1191">
        <v>0.58540000000000003</v>
      </c>
    </row>
    <row r="1025" spans="1:2" ht="15.5">
      <c r="A1025" s="1190">
        <v>-116.1</v>
      </c>
      <c r="B1025" s="1191">
        <v>0.58520000000000005</v>
      </c>
    </row>
    <row r="1026" spans="1:2" ht="15.5">
      <c r="A1026" s="1190">
        <v>-116</v>
      </c>
      <c r="B1026" s="1191">
        <v>0.58509999999999995</v>
      </c>
    </row>
    <row r="1027" spans="1:2" ht="15.5">
      <c r="A1027" s="1190">
        <v>-115.9</v>
      </c>
      <c r="B1027" s="1191">
        <v>0.58499999999999996</v>
      </c>
    </row>
    <row r="1028" spans="1:2" ht="15.5">
      <c r="A1028" s="1190">
        <v>-115.8</v>
      </c>
      <c r="B1028" s="1191">
        <v>0.58479999999999999</v>
      </c>
    </row>
    <row r="1029" spans="1:2" ht="15.5">
      <c r="A1029" s="1190">
        <v>-115.7</v>
      </c>
      <c r="B1029" s="1191">
        <v>0.5847</v>
      </c>
    </row>
    <row r="1030" spans="1:2" ht="15.5">
      <c r="A1030" s="1190">
        <v>-115.6</v>
      </c>
      <c r="B1030" s="1191">
        <v>0.58460000000000001</v>
      </c>
    </row>
    <row r="1031" spans="1:2" ht="15.5">
      <c r="A1031" s="1190">
        <v>-115.5</v>
      </c>
      <c r="B1031" s="1191">
        <v>0.58440000000000003</v>
      </c>
    </row>
    <row r="1032" spans="1:2" ht="15.5">
      <c r="A1032" s="1190">
        <v>-115.4</v>
      </c>
      <c r="B1032" s="1191">
        <v>0.58430000000000004</v>
      </c>
    </row>
    <row r="1033" spans="1:2" ht="15.5">
      <c r="A1033" s="1190">
        <v>-115.3</v>
      </c>
      <c r="B1033" s="1191">
        <v>0.58409999999999995</v>
      </c>
    </row>
    <row r="1034" spans="1:2" ht="15.5">
      <c r="A1034" s="1190">
        <v>-115.2</v>
      </c>
      <c r="B1034" s="1191">
        <v>0.58399999999999996</v>
      </c>
    </row>
    <row r="1035" spans="1:2" ht="15.5">
      <c r="A1035" s="1190">
        <v>-115.1</v>
      </c>
      <c r="B1035" s="1191">
        <v>0.58389999999999997</v>
      </c>
    </row>
    <row r="1036" spans="1:2" ht="15.5">
      <c r="A1036" s="1190">
        <v>-115</v>
      </c>
      <c r="B1036" s="1191">
        <v>0.5837</v>
      </c>
    </row>
    <row r="1037" spans="1:2" ht="15.5">
      <c r="A1037" s="1190">
        <v>-114.9</v>
      </c>
      <c r="B1037" s="1191">
        <v>0.58360000000000001</v>
      </c>
    </row>
    <row r="1038" spans="1:2" ht="15.5">
      <c r="A1038" s="1190">
        <v>-114.8</v>
      </c>
      <c r="B1038" s="1191">
        <v>0.58340000000000003</v>
      </c>
    </row>
    <row r="1039" spans="1:2" ht="15.5">
      <c r="A1039" s="1190">
        <v>-114.7</v>
      </c>
      <c r="B1039" s="1191">
        <v>0.58330000000000004</v>
      </c>
    </row>
    <row r="1040" spans="1:2" ht="15.5">
      <c r="A1040" s="1190">
        <v>-114.6</v>
      </c>
      <c r="B1040" s="1191">
        <v>0.58320000000000005</v>
      </c>
    </row>
    <row r="1041" spans="1:2" ht="15.5">
      <c r="A1041" s="1190">
        <v>-114.5</v>
      </c>
      <c r="B1041" s="1191">
        <v>0.58299999999999996</v>
      </c>
    </row>
    <row r="1042" spans="1:2" ht="15.5">
      <c r="A1042" s="1190">
        <v>-114.4</v>
      </c>
      <c r="B1042" s="1191">
        <v>0.58289999999999997</v>
      </c>
    </row>
    <row r="1043" spans="1:2" ht="15.5">
      <c r="A1043" s="1190">
        <v>-114.3</v>
      </c>
      <c r="B1043" s="1191">
        <v>0.5827</v>
      </c>
    </row>
    <row r="1044" spans="1:2" ht="15.5">
      <c r="A1044" s="1190">
        <v>-114.2</v>
      </c>
      <c r="B1044" s="1191">
        <v>0.58260000000000001</v>
      </c>
    </row>
    <row r="1045" spans="1:2" ht="15.5">
      <c r="A1045" s="1190">
        <v>-114.1</v>
      </c>
      <c r="B1045" s="1191">
        <v>0.58250000000000002</v>
      </c>
    </row>
    <row r="1046" spans="1:2" ht="15.5">
      <c r="A1046" s="1190">
        <v>-114</v>
      </c>
      <c r="B1046" s="1191">
        <v>0.58230000000000004</v>
      </c>
    </row>
    <row r="1047" spans="1:2" ht="15.5">
      <c r="A1047" s="1190">
        <v>-113.9</v>
      </c>
      <c r="B1047" s="1191">
        <v>0.58220000000000005</v>
      </c>
    </row>
    <row r="1048" spans="1:2" ht="15.5">
      <c r="A1048" s="1190">
        <v>-113.8</v>
      </c>
      <c r="B1048" s="1191">
        <v>0.58209999999999995</v>
      </c>
    </row>
    <row r="1049" spans="1:2" ht="15.5">
      <c r="A1049" s="1190">
        <v>-113.7</v>
      </c>
      <c r="B1049" s="1191">
        <v>0.58189999999999997</v>
      </c>
    </row>
    <row r="1050" spans="1:2" ht="15.5">
      <c r="A1050" s="1190">
        <v>-113.6</v>
      </c>
      <c r="B1050" s="1191">
        <v>0.58179999999999998</v>
      </c>
    </row>
    <row r="1051" spans="1:2" ht="15.5">
      <c r="A1051" s="1190">
        <v>-113.5</v>
      </c>
      <c r="B1051" s="1191">
        <v>0.58160000000000001</v>
      </c>
    </row>
    <row r="1052" spans="1:2" ht="15.5">
      <c r="A1052" s="1190">
        <v>-113.4</v>
      </c>
      <c r="B1052" s="1191">
        <v>0.58150000000000002</v>
      </c>
    </row>
    <row r="1053" spans="1:2" ht="15.5">
      <c r="A1053" s="1190">
        <v>-113.3</v>
      </c>
      <c r="B1053" s="1191">
        <v>0.58140000000000003</v>
      </c>
    </row>
    <row r="1054" spans="1:2" ht="15.5">
      <c r="A1054" s="1190">
        <v>-113.2</v>
      </c>
      <c r="B1054" s="1191">
        <v>0.58120000000000005</v>
      </c>
    </row>
    <row r="1055" spans="1:2" ht="15.5">
      <c r="A1055" s="1190">
        <v>-113.1</v>
      </c>
      <c r="B1055" s="1191">
        <v>0.58109999999999995</v>
      </c>
    </row>
    <row r="1056" spans="1:2" ht="15.5">
      <c r="A1056" s="1190">
        <v>-113</v>
      </c>
      <c r="B1056" s="1191">
        <v>0.58089999999999997</v>
      </c>
    </row>
    <row r="1057" spans="1:2" ht="15.5">
      <c r="A1057" s="1190">
        <v>-112.9</v>
      </c>
      <c r="B1057" s="1191">
        <v>0.58079999999999998</v>
      </c>
    </row>
    <row r="1058" spans="1:2" ht="15.5">
      <c r="A1058" s="1190">
        <v>-112.8</v>
      </c>
      <c r="B1058" s="1191">
        <v>0.58069999999999999</v>
      </c>
    </row>
    <row r="1059" spans="1:2" ht="15.5">
      <c r="A1059" s="1190">
        <v>-112.7</v>
      </c>
      <c r="B1059" s="1191">
        <v>0.58050000000000002</v>
      </c>
    </row>
    <row r="1060" spans="1:2" ht="15.5">
      <c r="A1060" s="1190">
        <v>-112.6</v>
      </c>
      <c r="B1060" s="1191">
        <v>0.58040000000000003</v>
      </c>
    </row>
    <row r="1061" spans="1:2" ht="15.5">
      <c r="A1061" s="1190">
        <v>-112.5</v>
      </c>
      <c r="B1061" s="1191">
        <v>0.58020000000000005</v>
      </c>
    </row>
    <row r="1062" spans="1:2" ht="15.5">
      <c r="A1062" s="1190">
        <v>-112.4</v>
      </c>
      <c r="B1062" s="1191">
        <v>0.58009999999999995</v>
      </c>
    </row>
    <row r="1063" spans="1:2" ht="15.5">
      <c r="A1063" s="1190">
        <v>-112.3</v>
      </c>
      <c r="B1063" s="1191">
        <v>0.57999999999999996</v>
      </c>
    </row>
    <row r="1064" spans="1:2" ht="15.5">
      <c r="A1064" s="1190">
        <v>-112.2</v>
      </c>
      <c r="B1064" s="1191">
        <v>0.57979999999999998</v>
      </c>
    </row>
    <row r="1065" spans="1:2" ht="15.5">
      <c r="A1065" s="1190">
        <v>-112.1</v>
      </c>
      <c r="B1065" s="1191">
        <v>0.57969999999999999</v>
      </c>
    </row>
    <row r="1066" spans="1:2" ht="15.5">
      <c r="A1066" s="1190">
        <v>-112</v>
      </c>
      <c r="B1066" s="1191">
        <v>0.57950000000000002</v>
      </c>
    </row>
    <row r="1067" spans="1:2" ht="15.5">
      <c r="A1067" s="1190">
        <v>-111.9</v>
      </c>
      <c r="B1067" s="1191">
        <v>0.57940000000000003</v>
      </c>
    </row>
    <row r="1068" spans="1:2" ht="15.5">
      <c r="A1068" s="1190">
        <v>-111.8</v>
      </c>
      <c r="B1068" s="1191">
        <v>0.57930000000000004</v>
      </c>
    </row>
    <row r="1069" spans="1:2" ht="15.5">
      <c r="A1069" s="1190">
        <v>-111.7</v>
      </c>
      <c r="B1069" s="1191">
        <v>0.57909999999999995</v>
      </c>
    </row>
    <row r="1070" spans="1:2" ht="15.5">
      <c r="A1070" s="1190">
        <v>-111.6</v>
      </c>
      <c r="B1070" s="1191">
        <v>0.57899999999999996</v>
      </c>
    </row>
    <row r="1071" spans="1:2" ht="15.5">
      <c r="A1071" s="1190">
        <v>-111.5</v>
      </c>
      <c r="B1071" s="1191">
        <v>0.57879999999999998</v>
      </c>
    </row>
    <row r="1072" spans="1:2" ht="15.5">
      <c r="A1072" s="1190">
        <v>-111.4</v>
      </c>
      <c r="B1072" s="1191">
        <v>0.57869999999999999</v>
      </c>
    </row>
    <row r="1073" spans="1:2" ht="15.5">
      <c r="A1073" s="1190">
        <v>-111.3</v>
      </c>
      <c r="B1073" s="1191">
        <v>0.5786</v>
      </c>
    </row>
    <row r="1074" spans="1:2" ht="15.5">
      <c r="A1074" s="1190">
        <v>-111.2</v>
      </c>
      <c r="B1074" s="1191">
        <v>0.57840000000000003</v>
      </c>
    </row>
    <row r="1075" spans="1:2" ht="15.5">
      <c r="A1075" s="1190">
        <v>-111.1</v>
      </c>
      <c r="B1075" s="1191">
        <v>0.57830000000000004</v>
      </c>
    </row>
    <row r="1076" spans="1:2" ht="15.5">
      <c r="A1076" s="1190">
        <v>-111</v>
      </c>
      <c r="B1076" s="1191">
        <v>0.57809999999999995</v>
      </c>
    </row>
    <row r="1077" spans="1:2" ht="15.5">
      <c r="A1077" s="1190">
        <v>-110.9</v>
      </c>
      <c r="B1077" s="1191">
        <v>0.57799999999999996</v>
      </c>
    </row>
    <row r="1078" spans="1:2" ht="15.5">
      <c r="A1078" s="1190">
        <v>-110.8</v>
      </c>
      <c r="B1078" s="1191">
        <v>0.57789999999999997</v>
      </c>
    </row>
    <row r="1079" spans="1:2" ht="15.5">
      <c r="A1079" s="1190">
        <v>-110.7</v>
      </c>
      <c r="B1079" s="1191">
        <v>0.57769999999999999</v>
      </c>
    </row>
    <row r="1080" spans="1:2" ht="15.5">
      <c r="A1080" s="1190">
        <v>-110.6</v>
      </c>
      <c r="B1080" s="1191">
        <v>0.5776</v>
      </c>
    </row>
    <row r="1081" spans="1:2" ht="15.5">
      <c r="A1081" s="1190">
        <v>-110.5</v>
      </c>
      <c r="B1081" s="1191">
        <v>0.57740000000000002</v>
      </c>
    </row>
    <row r="1082" spans="1:2" ht="15.5">
      <c r="A1082" s="1190">
        <v>-110.4</v>
      </c>
      <c r="B1082" s="1191">
        <v>0.57730000000000004</v>
      </c>
    </row>
    <row r="1083" spans="1:2" ht="15.5">
      <c r="A1083" s="1190">
        <v>-110.3</v>
      </c>
      <c r="B1083" s="1191">
        <v>0.57720000000000005</v>
      </c>
    </row>
    <row r="1084" spans="1:2" ht="15.5">
      <c r="A1084" s="1190">
        <v>-110.2</v>
      </c>
      <c r="B1084" s="1191">
        <v>0.57699999999999996</v>
      </c>
    </row>
    <row r="1085" spans="1:2" ht="15.5">
      <c r="A1085" s="1190">
        <v>-110.1</v>
      </c>
      <c r="B1085" s="1191">
        <v>0.57689999999999997</v>
      </c>
    </row>
    <row r="1086" spans="1:2" ht="15.5">
      <c r="A1086" s="1190">
        <v>-110</v>
      </c>
      <c r="B1086" s="1191">
        <v>0.57669999999999999</v>
      </c>
    </row>
    <row r="1087" spans="1:2" ht="15.5">
      <c r="A1087" s="1190">
        <v>-109.9</v>
      </c>
      <c r="B1087" s="1191">
        <v>0.5766</v>
      </c>
    </row>
    <row r="1088" spans="1:2" ht="15.5">
      <c r="A1088" s="1190">
        <v>-109.8</v>
      </c>
      <c r="B1088" s="1191">
        <v>0.57650000000000001</v>
      </c>
    </row>
    <row r="1089" spans="1:2" ht="15.5">
      <c r="A1089" s="1190">
        <v>-109.7</v>
      </c>
      <c r="B1089" s="1191">
        <v>0.57630000000000003</v>
      </c>
    </row>
    <row r="1090" spans="1:2" ht="15.5">
      <c r="A1090" s="1190">
        <v>-109.6</v>
      </c>
      <c r="B1090" s="1191">
        <v>0.57620000000000005</v>
      </c>
    </row>
    <row r="1091" spans="1:2" ht="15.5">
      <c r="A1091" s="1190">
        <v>-109.5</v>
      </c>
      <c r="B1091" s="1191">
        <v>0.57599999999999996</v>
      </c>
    </row>
    <row r="1092" spans="1:2" ht="15.5">
      <c r="A1092" s="1190">
        <v>-109.4</v>
      </c>
      <c r="B1092" s="1191">
        <v>0.57589999999999997</v>
      </c>
    </row>
    <row r="1093" spans="1:2" ht="15.5">
      <c r="A1093" s="1190">
        <v>-109.3</v>
      </c>
      <c r="B1093" s="1191">
        <v>0.57569999999999999</v>
      </c>
    </row>
    <row r="1094" spans="1:2" ht="15.5">
      <c r="A1094" s="1190">
        <v>-109.2</v>
      </c>
      <c r="B1094" s="1191">
        <v>0.5756</v>
      </c>
    </row>
    <row r="1095" spans="1:2" ht="15.5">
      <c r="A1095" s="1190">
        <v>-109.1</v>
      </c>
      <c r="B1095" s="1191">
        <v>0.57550000000000001</v>
      </c>
    </row>
    <row r="1096" spans="1:2" ht="15.5">
      <c r="A1096" s="1190">
        <v>-109</v>
      </c>
      <c r="B1096" s="1191">
        <v>0.57530000000000003</v>
      </c>
    </row>
    <row r="1097" spans="1:2" ht="15.5">
      <c r="A1097" s="1190">
        <v>-108.9</v>
      </c>
      <c r="B1097" s="1191">
        <v>0.57520000000000004</v>
      </c>
    </row>
    <row r="1098" spans="1:2" ht="15.5">
      <c r="A1098" s="1190">
        <v>-108.8</v>
      </c>
      <c r="B1098" s="1191">
        <v>0.57499999999999996</v>
      </c>
    </row>
    <row r="1099" spans="1:2" ht="15.5">
      <c r="A1099" s="1190">
        <v>-108.7</v>
      </c>
      <c r="B1099" s="1191">
        <v>0.57489999999999997</v>
      </c>
    </row>
    <row r="1100" spans="1:2" ht="15.5">
      <c r="A1100" s="1190">
        <v>-108.6</v>
      </c>
      <c r="B1100" s="1191">
        <v>0.57479999999999998</v>
      </c>
    </row>
    <row r="1101" spans="1:2" ht="15.5">
      <c r="A1101" s="1190">
        <v>-108.5</v>
      </c>
      <c r="B1101" s="1191">
        <v>0.5746</v>
      </c>
    </row>
    <row r="1102" spans="1:2" ht="15.5">
      <c r="A1102" s="1190">
        <v>-108.4</v>
      </c>
      <c r="B1102" s="1191">
        <v>0.57450000000000001</v>
      </c>
    </row>
    <row r="1103" spans="1:2" ht="15.5">
      <c r="A1103" s="1190">
        <v>-108.3</v>
      </c>
      <c r="B1103" s="1191">
        <v>0.57430000000000003</v>
      </c>
    </row>
    <row r="1104" spans="1:2" ht="15.5">
      <c r="A1104" s="1190">
        <v>-108.2</v>
      </c>
      <c r="B1104" s="1191">
        <v>0.57420000000000004</v>
      </c>
    </row>
    <row r="1105" spans="1:2" ht="15.5">
      <c r="A1105" s="1190">
        <v>-108.1</v>
      </c>
      <c r="B1105" s="1191">
        <v>0.57410000000000005</v>
      </c>
    </row>
    <row r="1106" spans="1:2" ht="15.5">
      <c r="A1106" s="1190">
        <v>-108</v>
      </c>
      <c r="B1106" s="1191">
        <v>0.57389999999999997</v>
      </c>
    </row>
    <row r="1107" spans="1:2" ht="15.5">
      <c r="A1107" s="1190">
        <v>-107.9</v>
      </c>
      <c r="B1107" s="1191">
        <v>0.57379999999999998</v>
      </c>
    </row>
    <row r="1108" spans="1:2" ht="15.5">
      <c r="A1108" s="1190">
        <v>-107.8</v>
      </c>
      <c r="B1108" s="1191">
        <v>0.5736</v>
      </c>
    </row>
    <row r="1109" spans="1:2" ht="15.5">
      <c r="A1109" s="1190">
        <v>-107.7</v>
      </c>
      <c r="B1109" s="1191">
        <v>0.57350000000000001</v>
      </c>
    </row>
    <row r="1110" spans="1:2" ht="15.5">
      <c r="A1110" s="1190">
        <v>-107.6</v>
      </c>
      <c r="B1110" s="1191">
        <v>0.57340000000000002</v>
      </c>
    </row>
    <row r="1111" spans="1:2" ht="15.5">
      <c r="A1111" s="1190">
        <v>-107.5</v>
      </c>
      <c r="B1111" s="1191">
        <v>0.57320000000000004</v>
      </c>
    </row>
    <row r="1112" spans="1:2" ht="15.5">
      <c r="A1112" s="1190">
        <v>-107.4</v>
      </c>
      <c r="B1112" s="1191">
        <v>0.57310000000000005</v>
      </c>
    </row>
    <row r="1113" spans="1:2" ht="15.5">
      <c r="A1113" s="1190">
        <v>-107.3</v>
      </c>
      <c r="B1113" s="1191">
        <v>0.57289999999999996</v>
      </c>
    </row>
    <row r="1114" spans="1:2" ht="15.5">
      <c r="A1114" s="1190">
        <v>-107.2</v>
      </c>
      <c r="B1114" s="1191">
        <v>0.57279999999999998</v>
      </c>
    </row>
    <row r="1115" spans="1:2" ht="15.5">
      <c r="A1115" s="1190">
        <v>-107.1</v>
      </c>
      <c r="B1115" s="1191">
        <v>0.5726</v>
      </c>
    </row>
    <row r="1116" spans="1:2" ht="15.5">
      <c r="A1116" s="1190">
        <v>-107</v>
      </c>
      <c r="B1116" s="1191">
        <v>0.57250000000000001</v>
      </c>
    </row>
    <row r="1117" spans="1:2" ht="15.5">
      <c r="A1117" s="1190">
        <v>-106.9</v>
      </c>
      <c r="B1117" s="1191">
        <v>0.57240000000000002</v>
      </c>
    </row>
    <row r="1118" spans="1:2" ht="15.5">
      <c r="A1118" s="1190">
        <v>-106.8</v>
      </c>
      <c r="B1118" s="1191">
        <v>0.57220000000000004</v>
      </c>
    </row>
    <row r="1119" spans="1:2" ht="15.5">
      <c r="A1119" s="1190">
        <v>-106.7</v>
      </c>
      <c r="B1119" s="1191">
        <v>0.57210000000000005</v>
      </c>
    </row>
    <row r="1120" spans="1:2" ht="15.5">
      <c r="A1120" s="1190">
        <v>-106.6</v>
      </c>
      <c r="B1120" s="1191">
        <v>0.57189999999999996</v>
      </c>
    </row>
    <row r="1121" spans="1:2" ht="15.5">
      <c r="A1121" s="1190">
        <v>-106.5</v>
      </c>
      <c r="B1121" s="1191">
        <v>0.57179999999999997</v>
      </c>
    </row>
    <row r="1122" spans="1:2" ht="15.5">
      <c r="A1122" s="1190">
        <v>-106.4</v>
      </c>
      <c r="B1122" s="1191">
        <v>0.57169999999999999</v>
      </c>
    </row>
    <row r="1123" spans="1:2" ht="15.5">
      <c r="A1123" s="1190">
        <v>-106.3</v>
      </c>
      <c r="B1123" s="1191">
        <v>0.57150000000000001</v>
      </c>
    </row>
    <row r="1124" spans="1:2" ht="15.5">
      <c r="A1124" s="1190">
        <v>-106.2</v>
      </c>
      <c r="B1124" s="1191">
        <v>0.57140000000000002</v>
      </c>
    </row>
    <row r="1125" spans="1:2" ht="15.5">
      <c r="A1125" s="1190">
        <v>-106.1</v>
      </c>
      <c r="B1125" s="1191">
        <v>0.57120000000000004</v>
      </c>
    </row>
    <row r="1126" spans="1:2" ht="15.5">
      <c r="A1126" s="1190">
        <v>-106</v>
      </c>
      <c r="B1126" s="1191">
        <v>0.57110000000000005</v>
      </c>
    </row>
    <row r="1127" spans="1:2" ht="15.5">
      <c r="A1127" s="1190">
        <v>-105.9</v>
      </c>
      <c r="B1127" s="1191">
        <v>0.57089999999999996</v>
      </c>
    </row>
    <row r="1128" spans="1:2" ht="15.5">
      <c r="A1128" s="1190">
        <v>-105.8</v>
      </c>
      <c r="B1128" s="1191">
        <v>0.57079999999999997</v>
      </c>
    </row>
    <row r="1129" spans="1:2" ht="15.5">
      <c r="A1129" s="1190">
        <v>-105.7</v>
      </c>
      <c r="B1129" s="1191">
        <v>0.57069999999999999</v>
      </c>
    </row>
    <row r="1130" spans="1:2" ht="15.5">
      <c r="A1130" s="1190">
        <v>-105.6</v>
      </c>
      <c r="B1130" s="1191">
        <v>0.57050000000000001</v>
      </c>
    </row>
    <row r="1131" spans="1:2" ht="15.5">
      <c r="A1131" s="1190">
        <v>-105.5</v>
      </c>
      <c r="B1131" s="1191">
        <v>0.57040000000000002</v>
      </c>
    </row>
    <row r="1132" spans="1:2" ht="15.5">
      <c r="A1132" s="1190">
        <v>-105.4</v>
      </c>
      <c r="B1132" s="1191">
        <v>0.57020000000000004</v>
      </c>
    </row>
    <row r="1133" spans="1:2" ht="15.5">
      <c r="A1133" s="1190">
        <v>-105.3</v>
      </c>
      <c r="B1133" s="1191">
        <v>0.57010000000000005</v>
      </c>
    </row>
    <row r="1134" spans="1:2" ht="15.5">
      <c r="A1134" s="1190">
        <v>-105.2</v>
      </c>
      <c r="B1134" s="1191">
        <v>0.56999999999999995</v>
      </c>
    </row>
    <row r="1135" spans="1:2" ht="15.5">
      <c r="A1135" s="1190">
        <v>-105.1</v>
      </c>
      <c r="B1135" s="1191">
        <v>0.56979999999999997</v>
      </c>
    </row>
    <row r="1136" spans="1:2" ht="15.5">
      <c r="A1136" s="1190">
        <v>-105</v>
      </c>
      <c r="B1136" s="1191">
        <v>0.56969999999999998</v>
      </c>
    </row>
    <row r="1137" spans="1:2" ht="15.5">
      <c r="A1137" s="1190">
        <v>-104.9</v>
      </c>
      <c r="B1137" s="1191">
        <v>0.56950000000000001</v>
      </c>
    </row>
    <row r="1138" spans="1:2" ht="15.5">
      <c r="A1138" s="1190">
        <v>-104.8</v>
      </c>
      <c r="B1138" s="1191">
        <v>0.56940000000000002</v>
      </c>
    </row>
    <row r="1139" spans="1:2" ht="15.5">
      <c r="A1139" s="1190">
        <v>-104.7</v>
      </c>
      <c r="B1139" s="1191">
        <v>0.56920000000000004</v>
      </c>
    </row>
    <row r="1140" spans="1:2" ht="15.5">
      <c r="A1140" s="1190">
        <v>-104.6</v>
      </c>
      <c r="B1140" s="1191">
        <v>0.56910000000000005</v>
      </c>
    </row>
    <row r="1141" spans="1:2" ht="15.5">
      <c r="A1141" s="1190">
        <v>-104.5</v>
      </c>
      <c r="B1141" s="1191">
        <v>0.56899999999999995</v>
      </c>
    </row>
    <row r="1142" spans="1:2" ht="15.5">
      <c r="A1142" s="1190">
        <v>-104.4</v>
      </c>
      <c r="B1142" s="1191">
        <v>0.56879999999999997</v>
      </c>
    </row>
    <row r="1143" spans="1:2" ht="15.5">
      <c r="A1143" s="1190">
        <v>-104.3</v>
      </c>
      <c r="B1143" s="1191">
        <v>0.56869999999999998</v>
      </c>
    </row>
    <row r="1144" spans="1:2" ht="15.5">
      <c r="A1144" s="1190">
        <v>-104.2</v>
      </c>
      <c r="B1144" s="1191">
        <v>0.56850000000000001</v>
      </c>
    </row>
    <row r="1145" spans="1:2" ht="15.5">
      <c r="A1145" s="1190">
        <v>-104.1</v>
      </c>
      <c r="B1145" s="1191">
        <v>0.56840000000000002</v>
      </c>
    </row>
    <row r="1146" spans="1:2" ht="15.5">
      <c r="A1146" s="1190">
        <v>-104</v>
      </c>
      <c r="B1146" s="1191">
        <v>0.56820000000000004</v>
      </c>
    </row>
    <row r="1147" spans="1:2" ht="15.5">
      <c r="A1147" s="1190">
        <v>-103.9</v>
      </c>
      <c r="B1147" s="1191">
        <v>0.56810000000000005</v>
      </c>
    </row>
    <row r="1148" spans="1:2" ht="15.5">
      <c r="A1148" s="1190">
        <v>-103.8</v>
      </c>
      <c r="B1148" s="1191">
        <v>0.56799999999999995</v>
      </c>
    </row>
    <row r="1149" spans="1:2" ht="15.5">
      <c r="A1149" s="1190">
        <v>-103.7</v>
      </c>
      <c r="B1149" s="1191">
        <v>0.56779999999999997</v>
      </c>
    </row>
    <row r="1150" spans="1:2" ht="15.5">
      <c r="A1150" s="1190">
        <v>-103.6</v>
      </c>
      <c r="B1150" s="1191">
        <v>0.56769999999999998</v>
      </c>
    </row>
    <row r="1151" spans="1:2" ht="15.5">
      <c r="A1151" s="1190">
        <v>-103.5</v>
      </c>
      <c r="B1151" s="1191">
        <v>0.5675</v>
      </c>
    </row>
    <row r="1152" spans="1:2" ht="15.5">
      <c r="A1152" s="1190">
        <v>-103.4</v>
      </c>
      <c r="B1152" s="1191">
        <v>0.56740000000000002</v>
      </c>
    </row>
    <row r="1153" spans="1:2" ht="15.5">
      <c r="A1153" s="1190">
        <v>-103.3</v>
      </c>
      <c r="B1153" s="1191">
        <v>0.56720000000000004</v>
      </c>
    </row>
    <row r="1154" spans="1:2" ht="15.5">
      <c r="A1154" s="1190">
        <v>-103.2</v>
      </c>
      <c r="B1154" s="1191">
        <v>0.56710000000000005</v>
      </c>
    </row>
    <row r="1155" spans="1:2" ht="15.5">
      <c r="A1155" s="1190">
        <v>-103.1</v>
      </c>
      <c r="B1155" s="1191">
        <v>0.56699999999999995</v>
      </c>
    </row>
    <row r="1156" spans="1:2" ht="15.5">
      <c r="A1156" s="1190">
        <v>-103</v>
      </c>
      <c r="B1156" s="1191">
        <v>0.56679999999999997</v>
      </c>
    </row>
    <row r="1157" spans="1:2" ht="15.5">
      <c r="A1157" s="1190">
        <v>-102.9</v>
      </c>
      <c r="B1157" s="1191">
        <v>0.56669999999999998</v>
      </c>
    </row>
    <row r="1158" spans="1:2" ht="15.5">
      <c r="A1158" s="1190">
        <v>-102.8</v>
      </c>
      <c r="B1158" s="1191">
        <v>0.5665</v>
      </c>
    </row>
    <row r="1159" spans="1:2" ht="15.5">
      <c r="A1159" s="1190">
        <v>-102.7</v>
      </c>
      <c r="B1159" s="1191">
        <v>0.56640000000000001</v>
      </c>
    </row>
    <row r="1160" spans="1:2" ht="15.5">
      <c r="A1160" s="1190">
        <v>-102.6</v>
      </c>
      <c r="B1160" s="1191">
        <v>0.56620000000000004</v>
      </c>
    </row>
    <row r="1161" spans="1:2" ht="15.5">
      <c r="A1161" s="1190">
        <v>-102.5</v>
      </c>
      <c r="B1161" s="1191">
        <v>0.56610000000000005</v>
      </c>
    </row>
    <row r="1162" spans="1:2" ht="15.5">
      <c r="A1162" s="1190">
        <v>-102.4</v>
      </c>
      <c r="B1162" s="1191">
        <v>0.56599999999999995</v>
      </c>
    </row>
    <row r="1163" spans="1:2" ht="15.5">
      <c r="A1163" s="1190">
        <v>-102.3</v>
      </c>
      <c r="B1163" s="1191">
        <v>0.56579999999999997</v>
      </c>
    </row>
    <row r="1164" spans="1:2" ht="15.5">
      <c r="A1164" s="1190">
        <v>-102.2</v>
      </c>
      <c r="B1164" s="1191">
        <v>0.56569999999999998</v>
      </c>
    </row>
    <row r="1165" spans="1:2" ht="15.5">
      <c r="A1165" s="1190">
        <v>-102.1</v>
      </c>
      <c r="B1165" s="1191">
        <v>0.5655</v>
      </c>
    </row>
    <row r="1166" spans="1:2" ht="15.5">
      <c r="A1166" s="1190">
        <v>-102</v>
      </c>
      <c r="B1166" s="1191">
        <v>0.56540000000000001</v>
      </c>
    </row>
    <row r="1167" spans="1:2" ht="15.5">
      <c r="A1167" s="1190">
        <v>-101.9</v>
      </c>
      <c r="B1167" s="1191">
        <v>0.56520000000000004</v>
      </c>
    </row>
    <row r="1168" spans="1:2" ht="15.5">
      <c r="A1168" s="1190">
        <v>-101.8</v>
      </c>
      <c r="B1168" s="1191">
        <v>0.56510000000000005</v>
      </c>
    </row>
    <row r="1169" spans="1:2" ht="15.5">
      <c r="A1169" s="1190">
        <v>-101.7</v>
      </c>
      <c r="B1169" s="1191">
        <v>0.56499999999999995</v>
      </c>
    </row>
    <row r="1170" spans="1:2" ht="15.5">
      <c r="A1170" s="1190">
        <v>-101.6</v>
      </c>
      <c r="B1170" s="1191">
        <v>0.56479999999999997</v>
      </c>
    </row>
    <row r="1171" spans="1:2" ht="15.5">
      <c r="A1171" s="1190">
        <v>-101.5</v>
      </c>
      <c r="B1171" s="1191">
        <v>0.56469999999999998</v>
      </c>
    </row>
    <row r="1172" spans="1:2" ht="15.5">
      <c r="A1172" s="1190">
        <v>-101.4</v>
      </c>
      <c r="B1172" s="1191">
        <v>0.5645</v>
      </c>
    </row>
    <row r="1173" spans="1:2" ht="15.5">
      <c r="A1173" s="1190">
        <v>-101.3</v>
      </c>
      <c r="B1173" s="1191">
        <v>0.56440000000000001</v>
      </c>
    </row>
    <row r="1174" spans="1:2" ht="15.5">
      <c r="A1174" s="1190">
        <v>-101.2</v>
      </c>
      <c r="B1174" s="1191">
        <v>0.56420000000000003</v>
      </c>
    </row>
    <row r="1175" spans="1:2" ht="15.5">
      <c r="A1175" s="1190">
        <v>-101.1</v>
      </c>
      <c r="B1175" s="1191">
        <v>0.56410000000000005</v>
      </c>
    </row>
    <row r="1176" spans="1:2" ht="15.5">
      <c r="A1176" s="1190">
        <v>-101</v>
      </c>
      <c r="B1176" s="1191">
        <v>0.56399999999999995</v>
      </c>
    </row>
    <row r="1177" spans="1:2" ht="15.5">
      <c r="A1177" s="1190">
        <v>-100.9</v>
      </c>
      <c r="B1177" s="1191">
        <v>0.56379999999999997</v>
      </c>
    </row>
    <row r="1178" spans="1:2" ht="15.5">
      <c r="A1178" s="1190">
        <v>-100.8</v>
      </c>
      <c r="B1178" s="1191">
        <v>0.56369999999999998</v>
      </c>
    </row>
    <row r="1179" spans="1:2" ht="15.5">
      <c r="A1179" s="1190">
        <v>-100.7</v>
      </c>
      <c r="B1179" s="1191">
        <v>0.5635</v>
      </c>
    </row>
    <row r="1180" spans="1:2" ht="15.5">
      <c r="A1180" s="1190">
        <v>-100.6</v>
      </c>
      <c r="B1180" s="1191">
        <v>0.56340000000000001</v>
      </c>
    </row>
    <row r="1181" spans="1:2" ht="15.5">
      <c r="A1181" s="1190">
        <v>-100.5</v>
      </c>
      <c r="B1181" s="1191">
        <v>0.56320000000000003</v>
      </c>
    </row>
    <row r="1182" spans="1:2" ht="15.5">
      <c r="A1182" s="1190">
        <v>-100.4</v>
      </c>
      <c r="B1182" s="1191">
        <v>0.56310000000000004</v>
      </c>
    </row>
    <row r="1183" spans="1:2" ht="15.5">
      <c r="A1183" s="1190">
        <v>-100.3</v>
      </c>
      <c r="B1183" s="1191">
        <v>0.56299999999999994</v>
      </c>
    </row>
    <row r="1184" spans="1:2" ht="15.5">
      <c r="A1184" s="1190">
        <v>-100.2</v>
      </c>
      <c r="B1184" s="1191">
        <v>0.56279999999999997</v>
      </c>
    </row>
    <row r="1185" spans="1:2" ht="15.5">
      <c r="A1185" s="1190">
        <v>-100.1</v>
      </c>
      <c r="B1185" s="1191">
        <v>0.56269999999999998</v>
      </c>
    </row>
    <row r="1186" spans="1:2" ht="15.5">
      <c r="A1186" s="1190">
        <v>-100</v>
      </c>
      <c r="B1186" s="1191">
        <v>0.5625</v>
      </c>
    </row>
    <row r="1187" spans="1:2" ht="15.5">
      <c r="A1187" s="1190">
        <v>-99.9</v>
      </c>
      <c r="B1187" s="1191">
        <v>0.56240000000000001</v>
      </c>
    </row>
    <row r="1188" spans="1:2" ht="15.5">
      <c r="A1188" s="1190">
        <v>-99.8</v>
      </c>
      <c r="B1188" s="1191">
        <v>0.56220000000000003</v>
      </c>
    </row>
    <row r="1189" spans="1:2" ht="15.5">
      <c r="A1189" s="1190">
        <v>-99.7</v>
      </c>
      <c r="B1189" s="1191">
        <v>0.56210000000000004</v>
      </c>
    </row>
    <row r="1190" spans="1:2" ht="15.5">
      <c r="A1190" s="1190">
        <v>-99.6</v>
      </c>
      <c r="B1190" s="1191">
        <v>0.56189999999999996</v>
      </c>
    </row>
    <row r="1191" spans="1:2" ht="15.5">
      <c r="A1191" s="1190">
        <v>-99.5</v>
      </c>
      <c r="B1191" s="1191">
        <v>0.56179999999999997</v>
      </c>
    </row>
    <row r="1192" spans="1:2" ht="15.5">
      <c r="A1192" s="1190">
        <v>-99.4</v>
      </c>
      <c r="B1192" s="1191">
        <v>0.56169999999999998</v>
      </c>
    </row>
    <row r="1193" spans="1:2" ht="15.5">
      <c r="A1193" s="1190">
        <v>-99.3</v>
      </c>
      <c r="B1193" s="1191">
        <v>0.5615</v>
      </c>
    </row>
    <row r="1194" spans="1:2" ht="15.5">
      <c r="A1194" s="1190">
        <v>-99.2</v>
      </c>
      <c r="B1194" s="1191">
        <v>0.56140000000000001</v>
      </c>
    </row>
    <row r="1195" spans="1:2" ht="15.5">
      <c r="A1195" s="1190">
        <v>-99.1</v>
      </c>
      <c r="B1195" s="1191">
        <v>0.56120000000000003</v>
      </c>
    </row>
    <row r="1196" spans="1:2" ht="15.5">
      <c r="A1196" s="1190">
        <v>-99</v>
      </c>
      <c r="B1196" s="1191">
        <v>0.56110000000000004</v>
      </c>
    </row>
    <row r="1197" spans="1:2" ht="15.5">
      <c r="A1197" s="1190">
        <v>-98.9</v>
      </c>
      <c r="B1197" s="1191">
        <v>0.56089999999999995</v>
      </c>
    </row>
    <row r="1198" spans="1:2" ht="15.5">
      <c r="A1198" s="1190">
        <v>-98.8</v>
      </c>
      <c r="B1198" s="1191">
        <v>0.56079999999999997</v>
      </c>
    </row>
    <row r="1199" spans="1:2" ht="15.5">
      <c r="A1199" s="1190">
        <v>-98.7</v>
      </c>
      <c r="B1199" s="1191">
        <v>0.56059999999999999</v>
      </c>
    </row>
    <row r="1200" spans="1:2" ht="15.5">
      <c r="A1200" s="1190">
        <v>-98.6</v>
      </c>
      <c r="B1200" s="1191">
        <v>0.5605</v>
      </c>
    </row>
    <row r="1201" spans="1:2" ht="15.5">
      <c r="A1201" s="1190">
        <v>-98.5</v>
      </c>
      <c r="B1201" s="1191">
        <v>0.56040000000000001</v>
      </c>
    </row>
    <row r="1202" spans="1:2" ht="15.5">
      <c r="A1202" s="1190">
        <v>-98.4</v>
      </c>
      <c r="B1202" s="1191">
        <v>0.56020000000000003</v>
      </c>
    </row>
    <row r="1203" spans="1:2" ht="15.5">
      <c r="A1203" s="1190">
        <v>-98.3</v>
      </c>
      <c r="B1203" s="1191">
        <v>0.56010000000000004</v>
      </c>
    </row>
    <row r="1204" spans="1:2" ht="15.5">
      <c r="A1204" s="1190">
        <v>-98.2</v>
      </c>
      <c r="B1204" s="1191">
        <v>0.55989999999999995</v>
      </c>
    </row>
    <row r="1205" spans="1:2" ht="15.5">
      <c r="A1205" s="1190">
        <v>-98.1</v>
      </c>
      <c r="B1205" s="1191">
        <v>0.55979999999999996</v>
      </c>
    </row>
    <row r="1206" spans="1:2" ht="15.5">
      <c r="A1206" s="1190">
        <v>-98</v>
      </c>
      <c r="B1206" s="1191">
        <v>0.55959999999999999</v>
      </c>
    </row>
    <row r="1207" spans="1:2" ht="15.5">
      <c r="A1207" s="1190">
        <v>-97.9</v>
      </c>
      <c r="B1207" s="1191">
        <v>0.5595</v>
      </c>
    </row>
    <row r="1208" spans="1:2" ht="15.5">
      <c r="A1208" s="1190">
        <v>-97.8</v>
      </c>
      <c r="B1208" s="1191">
        <v>0.55930000000000002</v>
      </c>
    </row>
    <row r="1209" spans="1:2" ht="15.5">
      <c r="A1209" s="1190">
        <v>-97.7</v>
      </c>
      <c r="B1209" s="1191">
        <v>0.55920000000000003</v>
      </c>
    </row>
    <row r="1210" spans="1:2" ht="15.5">
      <c r="A1210" s="1190">
        <v>-97.6</v>
      </c>
      <c r="B1210" s="1191">
        <v>0.55910000000000004</v>
      </c>
    </row>
    <row r="1211" spans="1:2" ht="15.5">
      <c r="A1211" s="1190">
        <v>-97.5</v>
      </c>
      <c r="B1211" s="1191">
        <v>0.55889999999999995</v>
      </c>
    </row>
    <row r="1212" spans="1:2" ht="15.5">
      <c r="A1212" s="1190">
        <v>-97.4</v>
      </c>
      <c r="B1212" s="1191">
        <v>0.55879999999999996</v>
      </c>
    </row>
    <row r="1213" spans="1:2" ht="15.5">
      <c r="A1213" s="1190">
        <v>-97.3</v>
      </c>
      <c r="B1213" s="1191">
        <v>0.55859999999999999</v>
      </c>
    </row>
    <row r="1214" spans="1:2" ht="15.5">
      <c r="A1214" s="1190">
        <v>-97.2</v>
      </c>
      <c r="B1214" s="1191">
        <v>0.5585</v>
      </c>
    </row>
    <row r="1215" spans="1:2" ht="15.5">
      <c r="A1215" s="1190">
        <v>-97.1</v>
      </c>
      <c r="B1215" s="1191">
        <v>0.55830000000000002</v>
      </c>
    </row>
    <row r="1216" spans="1:2" ht="15.5">
      <c r="A1216" s="1190">
        <v>-97</v>
      </c>
      <c r="B1216" s="1191">
        <v>0.55820000000000003</v>
      </c>
    </row>
    <row r="1217" spans="1:2" ht="15.5">
      <c r="A1217" s="1190">
        <v>-96.9</v>
      </c>
      <c r="B1217" s="1191">
        <v>0.55800000000000005</v>
      </c>
    </row>
    <row r="1218" spans="1:2" ht="15.5">
      <c r="A1218" s="1190">
        <v>-96.8</v>
      </c>
      <c r="B1218" s="1191">
        <v>0.55789999999999995</v>
      </c>
    </row>
    <row r="1219" spans="1:2" ht="15.5">
      <c r="A1219" s="1190">
        <v>-96.7</v>
      </c>
      <c r="B1219" s="1191">
        <v>0.55779999999999996</v>
      </c>
    </row>
    <row r="1220" spans="1:2" ht="15.5">
      <c r="A1220" s="1190">
        <v>-96.6</v>
      </c>
      <c r="B1220" s="1191">
        <v>0.55759999999999998</v>
      </c>
    </row>
    <row r="1221" spans="1:2" ht="15.5">
      <c r="A1221" s="1190">
        <v>-96.5</v>
      </c>
      <c r="B1221" s="1191">
        <v>0.5575</v>
      </c>
    </row>
    <row r="1222" spans="1:2" ht="15.5">
      <c r="A1222" s="1190">
        <v>-96.4</v>
      </c>
      <c r="B1222" s="1191">
        <v>0.55730000000000002</v>
      </c>
    </row>
    <row r="1223" spans="1:2" ht="15.5">
      <c r="A1223" s="1190">
        <v>-96.3</v>
      </c>
      <c r="B1223" s="1191">
        <v>0.55720000000000003</v>
      </c>
    </row>
    <row r="1224" spans="1:2" ht="15.5">
      <c r="A1224" s="1190">
        <v>-96.2</v>
      </c>
      <c r="B1224" s="1191">
        <v>0.55700000000000005</v>
      </c>
    </row>
    <row r="1225" spans="1:2" ht="15.5">
      <c r="A1225" s="1190">
        <v>-96.1</v>
      </c>
      <c r="B1225" s="1191">
        <v>0.55689999999999995</v>
      </c>
    </row>
    <row r="1226" spans="1:2" ht="15.5">
      <c r="A1226" s="1190">
        <v>-96</v>
      </c>
      <c r="B1226" s="1191">
        <v>0.55669999999999997</v>
      </c>
    </row>
    <row r="1227" spans="1:2" ht="15.5">
      <c r="A1227" s="1190">
        <v>-95.9</v>
      </c>
      <c r="B1227" s="1191">
        <v>0.55659999999999998</v>
      </c>
    </row>
    <row r="1228" spans="1:2" ht="15.5">
      <c r="A1228" s="1190">
        <v>-95.8</v>
      </c>
      <c r="B1228" s="1191">
        <v>0.55640000000000001</v>
      </c>
    </row>
    <row r="1229" spans="1:2" ht="15.5">
      <c r="A1229" s="1190">
        <v>-95.7</v>
      </c>
      <c r="B1229" s="1191">
        <v>0.55630000000000002</v>
      </c>
    </row>
    <row r="1230" spans="1:2" ht="15.5">
      <c r="A1230" s="1190">
        <v>-95.6</v>
      </c>
      <c r="B1230" s="1191">
        <v>0.55620000000000003</v>
      </c>
    </row>
    <row r="1231" spans="1:2" ht="15.5">
      <c r="A1231" s="1190">
        <v>-95.5</v>
      </c>
      <c r="B1231" s="1191">
        <v>0.55600000000000005</v>
      </c>
    </row>
    <row r="1232" spans="1:2" ht="15.5">
      <c r="A1232" s="1190">
        <v>-95.4</v>
      </c>
      <c r="B1232" s="1191">
        <v>0.55589999999999995</v>
      </c>
    </row>
    <row r="1233" spans="1:2" ht="15.5">
      <c r="A1233" s="1190">
        <v>-95.3</v>
      </c>
      <c r="B1233" s="1191">
        <v>0.55569999999999997</v>
      </c>
    </row>
    <row r="1234" spans="1:2" ht="15.5">
      <c r="A1234" s="1190">
        <v>-95.2</v>
      </c>
      <c r="B1234" s="1191">
        <v>0.55559999999999998</v>
      </c>
    </row>
    <row r="1235" spans="1:2" ht="15.5">
      <c r="A1235" s="1190">
        <v>-95.1</v>
      </c>
      <c r="B1235" s="1191">
        <v>0.5554</v>
      </c>
    </row>
    <row r="1236" spans="1:2" ht="15.5">
      <c r="A1236" s="1190">
        <v>-95</v>
      </c>
      <c r="B1236" s="1191">
        <v>0.55530000000000002</v>
      </c>
    </row>
    <row r="1237" spans="1:2" ht="15.5">
      <c r="A1237" s="1190">
        <v>-94.9</v>
      </c>
      <c r="B1237" s="1191">
        <v>0.55510000000000004</v>
      </c>
    </row>
    <row r="1238" spans="1:2" ht="15.5">
      <c r="A1238" s="1190">
        <v>-94.8</v>
      </c>
      <c r="B1238" s="1191">
        <v>0.55500000000000005</v>
      </c>
    </row>
    <row r="1239" spans="1:2" ht="15.5">
      <c r="A1239" s="1190">
        <v>-94.7</v>
      </c>
      <c r="B1239" s="1191">
        <v>0.55479999999999996</v>
      </c>
    </row>
    <row r="1240" spans="1:2" ht="15.5">
      <c r="A1240" s="1190">
        <v>-94.6</v>
      </c>
      <c r="B1240" s="1191">
        <v>0.55469999999999997</v>
      </c>
    </row>
    <row r="1241" spans="1:2" ht="15.5">
      <c r="A1241" s="1190">
        <v>-94.5</v>
      </c>
      <c r="B1241" s="1191">
        <v>0.55449999999999999</v>
      </c>
    </row>
    <row r="1242" spans="1:2" ht="15.5">
      <c r="A1242" s="1190">
        <v>-94.4</v>
      </c>
      <c r="B1242" s="1191">
        <v>0.5544</v>
      </c>
    </row>
    <row r="1243" spans="1:2" ht="15.5">
      <c r="A1243" s="1190">
        <v>-94.3</v>
      </c>
      <c r="B1243" s="1191">
        <v>0.55430000000000001</v>
      </c>
    </row>
    <row r="1244" spans="1:2" ht="15.5">
      <c r="A1244" s="1190">
        <v>-94.2</v>
      </c>
      <c r="B1244" s="1191">
        <v>0.55410000000000004</v>
      </c>
    </row>
    <row r="1245" spans="1:2" ht="15.5">
      <c r="A1245" s="1190">
        <v>-94.1</v>
      </c>
      <c r="B1245" s="1191">
        <v>0.55400000000000005</v>
      </c>
    </row>
    <row r="1246" spans="1:2" ht="15.5">
      <c r="A1246" s="1190">
        <v>-94</v>
      </c>
      <c r="B1246" s="1191">
        <v>0.55379999999999996</v>
      </c>
    </row>
    <row r="1247" spans="1:2" ht="15.5">
      <c r="A1247" s="1190">
        <v>-93.9</v>
      </c>
      <c r="B1247" s="1191">
        <v>0.55369999999999997</v>
      </c>
    </row>
    <row r="1248" spans="1:2" ht="15.5">
      <c r="A1248" s="1190">
        <v>-93.8</v>
      </c>
      <c r="B1248" s="1191">
        <v>0.55349999999999999</v>
      </c>
    </row>
    <row r="1249" spans="1:2" ht="15.5">
      <c r="A1249" s="1190">
        <v>-93.7</v>
      </c>
      <c r="B1249" s="1191">
        <v>0.5534</v>
      </c>
    </row>
    <row r="1250" spans="1:2" ht="15.5">
      <c r="A1250" s="1190">
        <v>-93.6</v>
      </c>
      <c r="B1250" s="1191">
        <v>0.55320000000000003</v>
      </c>
    </row>
    <row r="1251" spans="1:2" ht="15.5">
      <c r="A1251" s="1190">
        <v>-93.5</v>
      </c>
      <c r="B1251" s="1191">
        <v>0.55310000000000004</v>
      </c>
    </row>
    <row r="1252" spans="1:2" ht="15.5">
      <c r="A1252" s="1190">
        <v>-93.4</v>
      </c>
      <c r="B1252" s="1191">
        <v>0.55289999999999995</v>
      </c>
    </row>
    <row r="1253" spans="1:2" ht="15.5">
      <c r="A1253" s="1190">
        <v>-93.3</v>
      </c>
      <c r="B1253" s="1191">
        <v>0.55279999999999996</v>
      </c>
    </row>
    <row r="1254" spans="1:2" ht="15.5">
      <c r="A1254" s="1190">
        <v>-93.2</v>
      </c>
      <c r="B1254" s="1191">
        <v>0.55259999999999998</v>
      </c>
    </row>
    <row r="1255" spans="1:2" ht="15.5">
      <c r="A1255" s="1190">
        <v>-93.1</v>
      </c>
      <c r="B1255" s="1191">
        <v>0.55249999999999999</v>
      </c>
    </row>
    <row r="1256" spans="1:2" ht="15.5">
      <c r="A1256" s="1190">
        <v>-93</v>
      </c>
      <c r="B1256" s="1191">
        <v>0.5524</v>
      </c>
    </row>
    <row r="1257" spans="1:2" ht="15.5">
      <c r="A1257" s="1190">
        <v>-92.9</v>
      </c>
      <c r="B1257" s="1191">
        <v>0.55220000000000002</v>
      </c>
    </row>
    <row r="1258" spans="1:2" ht="15.5">
      <c r="A1258" s="1190">
        <v>-92.8</v>
      </c>
      <c r="B1258" s="1191">
        <v>0.55210000000000004</v>
      </c>
    </row>
    <row r="1259" spans="1:2" ht="15.5">
      <c r="A1259" s="1190">
        <v>-92.7</v>
      </c>
      <c r="B1259" s="1191">
        <v>0.55189999999999995</v>
      </c>
    </row>
    <row r="1260" spans="1:2" ht="15.5">
      <c r="A1260" s="1190">
        <v>-92.6</v>
      </c>
      <c r="B1260" s="1191">
        <v>0.55179999999999996</v>
      </c>
    </row>
    <row r="1261" spans="1:2" ht="15.5">
      <c r="A1261" s="1190">
        <v>-92.5</v>
      </c>
      <c r="B1261" s="1191">
        <v>0.55159999999999998</v>
      </c>
    </row>
    <row r="1262" spans="1:2" ht="15.5">
      <c r="A1262" s="1190">
        <v>-92.4</v>
      </c>
      <c r="B1262" s="1191">
        <v>0.55149999999999999</v>
      </c>
    </row>
    <row r="1263" spans="1:2" ht="15.5">
      <c r="A1263" s="1190">
        <v>-92.3</v>
      </c>
      <c r="B1263" s="1191">
        <v>0.55130000000000001</v>
      </c>
    </row>
    <row r="1264" spans="1:2" ht="15.5">
      <c r="A1264" s="1190">
        <v>-92.2</v>
      </c>
      <c r="B1264" s="1191">
        <v>0.55120000000000002</v>
      </c>
    </row>
    <row r="1265" spans="1:2" ht="15.5">
      <c r="A1265" s="1190">
        <v>-92.1</v>
      </c>
      <c r="B1265" s="1191">
        <v>0.55100000000000005</v>
      </c>
    </row>
    <row r="1266" spans="1:2" ht="15.5">
      <c r="A1266" s="1190">
        <v>-92</v>
      </c>
      <c r="B1266" s="1191">
        <v>0.55089999999999995</v>
      </c>
    </row>
    <row r="1267" spans="1:2" ht="15.5">
      <c r="A1267" s="1190">
        <v>-91.9</v>
      </c>
      <c r="B1267" s="1191">
        <v>0.55069999999999997</v>
      </c>
    </row>
    <row r="1268" spans="1:2" ht="15.5">
      <c r="A1268" s="1190">
        <v>-91.8</v>
      </c>
      <c r="B1268" s="1191">
        <v>0.55059999999999998</v>
      </c>
    </row>
    <row r="1269" spans="1:2" ht="15.5">
      <c r="A1269" s="1190">
        <v>-91.7</v>
      </c>
      <c r="B1269" s="1191">
        <v>0.5504</v>
      </c>
    </row>
    <row r="1270" spans="1:2" ht="15.5">
      <c r="A1270" s="1190">
        <v>-91.6</v>
      </c>
      <c r="B1270" s="1191">
        <v>0.55030000000000001</v>
      </c>
    </row>
    <row r="1271" spans="1:2" ht="15.5">
      <c r="A1271" s="1190">
        <v>-91.5</v>
      </c>
      <c r="B1271" s="1191">
        <v>0.55010000000000003</v>
      </c>
    </row>
    <row r="1272" spans="1:2" ht="15.5">
      <c r="A1272" s="1190">
        <v>-91.4</v>
      </c>
      <c r="B1272" s="1191">
        <v>0.55000000000000004</v>
      </c>
    </row>
    <row r="1273" spans="1:2" ht="15.5">
      <c r="A1273" s="1190">
        <v>-91.3</v>
      </c>
      <c r="B1273" s="1191">
        <v>0.54990000000000006</v>
      </c>
    </row>
    <row r="1274" spans="1:2" ht="15.5">
      <c r="A1274" s="1190">
        <v>-91.2</v>
      </c>
      <c r="B1274" s="1191">
        <v>0.54969999999999997</v>
      </c>
    </row>
    <row r="1275" spans="1:2" ht="15.5">
      <c r="A1275" s="1190">
        <v>-91.1</v>
      </c>
      <c r="B1275" s="1191">
        <v>0.54959999999999998</v>
      </c>
    </row>
    <row r="1276" spans="1:2" ht="15.5">
      <c r="A1276" s="1190">
        <v>-91</v>
      </c>
      <c r="B1276" s="1191">
        <v>0.5494</v>
      </c>
    </row>
    <row r="1277" spans="1:2" ht="15.5">
      <c r="A1277" s="1190">
        <v>-90.9</v>
      </c>
      <c r="B1277" s="1191">
        <v>0.54930000000000001</v>
      </c>
    </row>
    <row r="1278" spans="1:2" ht="15.5">
      <c r="A1278" s="1190">
        <v>-90.8</v>
      </c>
      <c r="B1278" s="1191">
        <v>0.54910000000000003</v>
      </c>
    </row>
    <row r="1279" spans="1:2" ht="15.5">
      <c r="A1279" s="1190">
        <v>-90.7</v>
      </c>
      <c r="B1279" s="1191">
        <v>0.54900000000000004</v>
      </c>
    </row>
    <row r="1280" spans="1:2" ht="15.5">
      <c r="A1280" s="1190">
        <v>-90.6</v>
      </c>
      <c r="B1280" s="1191">
        <v>0.54879999999999995</v>
      </c>
    </row>
    <row r="1281" spans="1:2" ht="15.5">
      <c r="A1281" s="1190">
        <v>-90.5</v>
      </c>
      <c r="B1281" s="1191">
        <v>0.54869999999999997</v>
      </c>
    </row>
    <row r="1282" spans="1:2" ht="15.5">
      <c r="A1282" s="1190">
        <v>-90.4</v>
      </c>
      <c r="B1282" s="1191">
        <v>0.54849999999999999</v>
      </c>
    </row>
    <row r="1283" spans="1:2" ht="15.5">
      <c r="A1283" s="1190">
        <v>-90.3</v>
      </c>
      <c r="B1283" s="1191">
        <v>0.5484</v>
      </c>
    </row>
    <row r="1284" spans="1:2" ht="15.5">
      <c r="A1284" s="1190">
        <v>-90.2</v>
      </c>
      <c r="B1284" s="1191">
        <v>0.54820000000000002</v>
      </c>
    </row>
    <row r="1285" spans="1:2" ht="15.5">
      <c r="A1285" s="1190">
        <v>-90.1</v>
      </c>
      <c r="B1285" s="1191">
        <v>0.54810000000000003</v>
      </c>
    </row>
    <row r="1286" spans="1:2" ht="15.5">
      <c r="A1286" s="1190">
        <v>-90</v>
      </c>
      <c r="B1286" s="1191">
        <v>0.54790000000000005</v>
      </c>
    </row>
    <row r="1287" spans="1:2" ht="15.5">
      <c r="A1287" s="1190">
        <v>-89.9</v>
      </c>
      <c r="B1287" s="1191">
        <v>0.54779999999999995</v>
      </c>
    </row>
    <row r="1288" spans="1:2" ht="15.5">
      <c r="A1288" s="1190">
        <v>-89.8</v>
      </c>
      <c r="B1288" s="1191">
        <v>0.54759999999999998</v>
      </c>
    </row>
    <row r="1289" spans="1:2" ht="15.5">
      <c r="A1289" s="1190">
        <v>-89.7</v>
      </c>
      <c r="B1289" s="1191">
        <v>0.54749999999999999</v>
      </c>
    </row>
    <row r="1290" spans="1:2" ht="15.5">
      <c r="A1290" s="1190">
        <v>-89.6</v>
      </c>
      <c r="B1290" s="1191">
        <v>0.54730000000000001</v>
      </c>
    </row>
    <row r="1291" spans="1:2" ht="15.5">
      <c r="A1291" s="1190">
        <v>-89.5</v>
      </c>
      <c r="B1291" s="1191">
        <v>0.54720000000000002</v>
      </c>
    </row>
    <row r="1292" spans="1:2" ht="15.5">
      <c r="A1292" s="1190">
        <v>-89.4</v>
      </c>
      <c r="B1292" s="1191">
        <v>0.54700000000000004</v>
      </c>
    </row>
    <row r="1293" spans="1:2" ht="15.5">
      <c r="A1293" s="1190">
        <v>-89.3</v>
      </c>
      <c r="B1293" s="1191">
        <v>0.54690000000000005</v>
      </c>
    </row>
    <row r="1294" spans="1:2" ht="15.5">
      <c r="A1294" s="1190">
        <v>-89.2</v>
      </c>
      <c r="B1294" s="1191">
        <v>0.54669999999999996</v>
      </c>
    </row>
    <row r="1295" spans="1:2" ht="15.5">
      <c r="A1295" s="1190">
        <v>-89.1</v>
      </c>
      <c r="B1295" s="1191">
        <v>0.54659999999999997</v>
      </c>
    </row>
    <row r="1296" spans="1:2" ht="15.5">
      <c r="A1296" s="1190">
        <v>-89</v>
      </c>
      <c r="B1296" s="1191">
        <v>0.5464</v>
      </c>
    </row>
    <row r="1297" spans="1:2" ht="15.5">
      <c r="A1297" s="1190">
        <v>-88.9</v>
      </c>
      <c r="B1297" s="1191">
        <v>0.54630000000000001</v>
      </c>
    </row>
    <row r="1298" spans="1:2" ht="15.5">
      <c r="A1298" s="1190">
        <v>-88.8</v>
      </c>
      <c r="B1298" s="1191">
        <v>0.54610000000000003</v>
      </c>
    </row>
    <row r="1299" spans="1:2" ht="15.5">
      <c r="A1299" s="1190">
        <v>-88.7</v>
      </c>
      <c r="B1299" s="1191">
        <v>0.54600000000000004</v>
      </c>
    </row>
    <row r="1300" spans="1:2" ht="15.5">
      <c r="A1300" s="1190">
        <v>-88.6</v>
      </c>
      <c r="B1300" s="1191">
        <v>0.54590000000000005</v>
      </c>
    </row>
    <row r="1301" spans="1:2" ht="15.5">
      <c r="A1301" s="1190">
        <v>-88.5</v>
      </c>
      <c r="B1301" s="1191">
        <v>0.54569999999999996</v>
      </c>
    </row>
    <row r="1302" spans="1:2" ht="15.5">
      <c r="A1302" s="1190">
        <v>-88.4</v>
      </c>
      <c r="B1302" s="1191">
        <v>0.54559999999999997</v>
      </c>
    </row>
    <row r="1303" spans="1:2" ht="15.5">
      <c r="A1303" s="1190">
        <v>-88.3</v>
      </c>
      <c r="B1303" s="1191">
        <v>0.5454</v>
      </c>
    </row>
    <row r="1304" spans="1:2" ht="15.5">
      <c r="A1304" s="1190">
        <v>-88.2</v>
      </c>
      <c r="B1304" s="1191">
        <v>0.54530000000000001</v>
      </c>
    </row>
    <row r="1305" spans="1:2" ht="15.5">
      <c r="A1305" s="1190">
        <v>-88.1</v>
      </c>
      <c r="B1305" s="1191">
        <v>0.54510000000000003</v>
      </c>
    </row>
    <row r="1306" spans="1:2" ht="15.5">
      <c r="A1306" s="1190">
        <v>-88</v>
      </c>
      <c r="B1306" s="1191">
        <v>0.54500000000000004</v>
      </c>
    </row>
    <row r="1307" spans="1:2" ht="15.5">
      <c r="A1307" s="1190">
        <v>-87.9</v>
      </c>
      <c r="B1307" s="1191">
        <v>0.54479999999999995</v>
      </c>
    </row>
    <row r="1308" spans="1:2" ht="15.5">
      <c r="A1308" s="1190">
        <v>-87.8</v>
      </c>
      <c r="B1308" s="1191">
        <v>0.54469999999999996</v>
      </c>
    </row>
    <row r="1309" spans="1:2" ht="15.5">
      <c r="A1309" s="1190">
        <v>-87.7</v>
      </c>
      <c r="B1309" s="1191">
        <v>0.54449999999999998</v>
      </c>
    </row>
    <row r="1310" spans="1:2" ht="15.5">
      <c r="A1310" s="1190">
        <v>-87.6</v>
      </c>
      <c r="B1310" s="1191">
        <v>0.5444</v>
      </c>
    </row>
    <row r="1311" spans="1:2" ht="15.5">
      <c r="A1311" s="1190">
        <v>-87.5</v>
      </c>
      <c r="B1311" s="1191">
        <v>0.54420000000000002</v>
      </c>
    </row>
    <row r="1312" spans="1:2" ht="15.5">
      <c r="A1312" s="1190">
        <v>-87.4</v>
      </c>
      <c r="B1312" s="1191">
        <v>0.54410000000000003</v>
      </c>
    </row>
    <row r="1313" spans="1:2" ht="15.5">
      <c r="A1313" s="1190">
        <v>-87.3</v>
      </c>
      <c r="B1313" s="1191">
        <v>0.54390000000000005</v>
      </c>
    </row>
    <row r="1314" spans="1:2" ht="15.5">
      <c r="A1314" s="1190">
        <v>-87.2</v>
      </c>
      <c r="B1314" s="1191">
        <v>0.54379999999999995</v>
      </c>
    </row>
    <row r="1315" spans="1:2" ht="15.5">
      <c r="A1315" s="1190">
        <v>-87.1</v>
      </c>
      <c r="B1315" s="1191">
        <v>0.54359999999999997</v>
      </c>
    </row>
    <row r="1316" spans="1:2" ht="15.5">
      <c r="A1316" s="1190">
        <v>-87</v>
      </c>
      <c r="B1316" s="1191">
        <v>0.54349999999999998</v>
      </c>
    </row>
    <row r="1317" spans="1:2" ht="15.5">
      <c r="A1317" s="1190">
        <v>-86.9</v>
      </c>
      <c r="B1317" s="1191">
        <v>0.54330000000000001</v>
      </c>
    </row>
    <row r="1318" spans="1:2" ht="15.5">
      <c r="A1318" s="1190">
        <v>-86.8</v>
      </c>
      <c r="B1318" s="1191">
        <v>0.54320000000000002</v>
      </c>
    </row>
    <row r="1319" spans="1:2" ht="15.5">
      <c r="A1319" s="1190">
        <v>-86.7</v>
      </c>
      <c r="B1319" s="1191">
        <v>0.54300000000000004</v>
      </c>
    </row>
    <row r="1320" spans="1:2" ht="15.5">
      <c r="A1320" s="1190">
        <v>-86.6</v>
      </c>
      <c r="B1320" s="1191">
        <v>0.54290000000000005</v>
      </c>
    </row>
    <row r="1321" spans="1:2" ht="15.5">
      <c r="A1321" s="1190">
        <v>-86.5</v>
      </c>
      <c r="B1321" s="1191">
        <v>0.54269999999999996</v>
      </c>
    </row>
    <row r="1322" spans="1:2" ht="15.5">
      <c r="A1322" s="1190">
        <v>-86.4</v>
      </c>
      <c r="B1322" s="1191">
        <v>0.54259999999999997</v>
      </c>
    </row>
    <row r="1323" spans="1:2" ht="15.5">
      <c r="A1323" s="1190">
        <v>-86.3</v>
      </c>
      <c r="B1323" s="1191">
        <v>0.54239999999999999</v>
      </c>
    </row>
    <row r="1324" spans="1:2" ht="15.5">
      <c r="A1324" s="1190">
        <v>-86.2</v>
      </c>
      <c r="B1324" s="1191">
        <v>0.5423</v>
      </c>
    </row>
    <row r="1325" spans="1:2" ht="15.5">
      <c r="A1325" s="1190">
        <v>-86.1</v>
      </c>
      <c r="B1325" s="1191">
        <v>0.54210000000000003</v>
      </c>
    </row>
    <row r="1326" spans="1:2" ht="15.5">
      <c r="A1326" s="1190">
        <v>-86</v>
      </c>
      <c r="B1326" s="1191">
        <v>0.54200000000000004</v>
      </c>
    </row>
    <row r="1327" spans="1:2" ht="15.5">
      <c r="A1327" s="1190">
        <v>-85.9</v>
      </c>
      <c r="B1327" s="1191">
        <v>0.54179999999999995</v>
      </c>
    </row>
    <row r="1328" spans="1:2" ht="15.5">
      <c r="A1328" s="1190">
        <v>-85.8</v>
      </c>
      <c r="B1328" s="1191">
        <v>0.54169999999999996</v>
      </c>
    </row>
    <row r="1329" spans="1:2" ht="15.5">
      <c r="A1329" s="1190">
        <v>-85.7</v>
      </c>
      <c r="B1329" s="1191">
        <v>0.54149999999999998</v>
      </c>
    </row>
    <row r="1330" spans="1:2" ht="15.5">
      <c r="A1330" s="1190">
        <v>-85.6</v>
      </c>
      <c r="B1330" s="1191">
        <v>0.54139999999999999</v>
      </c>
    </row>
    <row r="1331" spans="1:2" ht="15.5">
      <c r="A1331" s="1190">
        <v>-85.5</v>
      </c>
      <c r="B1331" s="1191">
        <v>0.54120000000000001</v>
      </c>
    </row>
    <row r="1332" spans="1:2" ht="15.5">
      <c r="A1332" s="1190">
        <v>-85.4</v>
      </c>
      <c r="B1332" s="1191">
        <v>0.54110000000000003</v>
      </c>
    </row>
    <row r="1333" spans="1:2" ht="15.5">
      <c r="A1333" s="1190">
        <v>-85.3</v>
      </c>
      <c r="B1333" s="1191">
        <v>0.54090000000000005</v>
      </c>
    </row>
    <row r="1334" spans="1:2" ht="15.5">
      <c r="A1334" s="1190">
        <v>-85.2</v>
      </c>
      <c r="B1334" s="1191">
        <v>0.54079999999999995</v>
      </c>
    </row>
    <row r="1335" spans="1:2" ht="15.5">
      <c r="A1335" s="1190">
        <v>-85.1</v>
      </c>
      <c r="B1335" s="1191">
        <v>0.54059999999999997</v>
      </c>
    </row>
    <row r="1336" spans="1:2" ht="15.5">
      <c r="A1336" s="1190">
        <v>-85</v>
      </c>
      <c r="B1336" s="1191">
        <v>0.54049999999999998</v>
      </c>
    </row>
    <row r="1337" spans="1:2" ht="15.5">
      <c r="A1337" s="1190">
        <v>-84.9</v>
      </c>
      <c r="B1337" s="1191">
        <v>0.5403</v>
      </c>
    </row>
    <row r="1338" spans="1:2" ht="15.5">
      <c r="A1338" s="1190">
        <v>-84.8</v>
      </c>
      <c r="B1338" s="1191">
        <v>0.54020000000000001</v>
      </c>
    </row>
    <row r="1339" spans="1:2" ht="15.5">
      <c r="A1339" s="1190">
        <v>-84.7</v>
      </c>
      <c r="B1339" s="1191">
        <v>0.54</v>
      </c>
    </row>
    <row r="1340" spans="1:2" ht="15.5">
      <c r="A1340" s="1190">
        <v>-84.6</v>
      </c>
      <c r="B1340" s="1191">
        <v>0.53990000000000005</v>
      </c>
    </row>
    <row r="1341" spans="1:2" ht="15.5">
      <c r="A1341" s="1190">
        <v>-84.5</v>
      </c>
      <c r="B1341" s="1191">
        <v>0.53969999999999996</v>
      </c>
    </row>
    <row r="1342" spans="1:2" ht="15.5">
      <c r="A1342" s="1190">
        <v>-84.4</v>
      </c>
      <c r="B1342" s="1191">
        <v>0.53959999999999997</v>
      </c>
    </row>
    <row r="1343" spans="1:2" ht="15.5">
      <c r="A1343" s="1190">
        <v>-84.3</v>
      </c>
      <c r="B1343" s="1191">
        <v>0.53939999999999999</v>
      </c>
    </row>
    <row r="1344" spans="1:2" ht="15.5">
      <c r="A1344" s="1190">
        <v>-84.2</v>
      </c>
      <c r="B1344" s="1191">
        <v>0.5393</v>
      </c>
    </row>
    <row r="1345" spans="1:2" ht="15.5">
      <c r="A1345" s="1190">
        <v>-84.1</v>
      </c>
      <c r="B1345" s="1191">
        <v>0.53910000000000002</v>
      </c>
    </row>
    <row r="1346" spans="1:2" ht="15.5">
      <c r="A1346" s="1190">
        <v>-84</v>
      </c>
      <c r="B1346" s="1191">
        <v>0.53900000000000003</v>
      </c>
    </row>
    <row r="1347" spans="1:2" ht="15.5">
      <c r="A1347" s="1190">
        <v>-83.9</v>
      </c>
      <c r="B1347" s="1191">
        <v>0.53879999999999995</v>
      </c>
    </row>
    <row r="1348" spans="1:2" ht="15.5">
      <c r="A1348" s="1190">
        <v>-83.8</v>
      </c>
      <c r="B1348" s="1191">
        <v>0.53869999999999996</v>
      </c>
    </row>
    <row r="1349" spans="1:2" ht="15.5">
      <c r="A1349" s="1190">
        <v>-83.7</v>
      </c>
      <c r="B1349" s="1191">
        <v>0.53849999999999998</v>
      </c>
    </row>
    <row r="1350" spans="1:2" ht="15.5">
      <c r="A1350" s="1190">
        <v>-83.6</v>
      </c>
      <c r="B1350" s="1191">
        <v>0.5383</v>
      </c>
    </row>
    <row r="1351" spans="1:2" ht="15.5">
      <c r="A1351" s="1190">
        <v>-83.5</v>
      </c>
      <c r="B1351" s="1191">
        <v>0.53820000000000001</v>
      </c>
    </row>
    <row r="1352" spans="1:2" ht="15.5">
      <c r="A1352" s="1190">
        <v>-83.4</v>
      </c>
      <c r="B1352" s="1191">
        <v>0.53800000000000003</v>
      </c>
    </row>
    <row r="1353" spans="1:2" ht="15.5">
      <c r="A1353" s="1190">
        <v>-83.3</v>
      </c>
      <c r="B1353" s="1191">
        <v>0.53790000000000004</v>
      </c>
    </row>
    <row r="1354" spans="1:2" ht="15.5">
      <c r="A1354" s="1190">
        <v>-83.2</v>
      </c>
      <c r="B1354" s="1191">
        <v>0.53769999999999996</v>
      </c>
    </row>
    <row r="1355" spans="1:2" ht="15.5">
      <c r="A1355" s="1190">
        <v>-83.1</v>
      </c>
      <c r="B1355" s="1191">
        <v>0.53759999999999997</v>
      </c>
    </row>
    <row r="1356" spans="1:2" ht="15.5">
      <c r="A1356" s="1190">
        <v>-83</v>
      </c>
      <c r="B1356" s="1191">
        <v>0.53739999999999999</v>
      </c>
    </row>
    <row r="1357" spans="1:2" ht="15.5">
      <c r="A1357" s="1190">
        <v>-82.9</v>
      </c>
      <c r="B1357" s="1191">
        <v>0.5373</v>
      </c>
    </row>
    <row r="1358" spans="1:2" ht="15.5">
      <c r="A1358" s="1190">
        <v>-82.8</v>
      </c>
      <c r="B1358" s="1191">
        <v>0.53710000000000002</v>
      </c>
    </row>
    <row r="1359" spans="1:2" ht="15.5">
      <c r="A1359" s="1190">
        <v>-82.7</v>
      </c>
      <c r="B1359" s="1191">
        <v>0.53700000000000003</v>
      </c>
    </row>
    <row r="1360" spans="1:2" ht="15.5">
      <c r="A1360" s="1190">
        <v>-82.6</v>
      </c>
      <c r="B1360" s="1191">
        <v>0.53680000000000005</v>
      </c>
    </row>
    <row r="1361" spans="1:2" ht="15.5">
      <c r="A1361" s="1190">
        <v>-82.5</v>
      </c>
      <c r="B1361" s="1191">
        <v>0.53669999999999995</v>
      </c>
    </row>
    <row r="1362" spans="1:2" ht="15.5">
      <c r="A1362" s="1190">
        <v>-82.4</v>
      </c>
      <c r="B1362" s="1191">
        <v>0.53649999999999998</v>
      </c>
    </row>
    <row r="1363" spans="1:2" ht="15.5">
      <c r="A1363" s="1190">
        <v>-82.3</v>
      </c>
      <c r="B1363" s="1191">
        <v>0.53639999999999999</v>
      </c>
    </row>
    <row r="1364" spans="1:2" ht="15.5">
      <c r="A1364" s="1190">
        <v>-82.2</v>
      </c>
      <c r="B1364" s="1191">
        <v>0.53620000000000001</v>
      </c>
    </row>
    <row r="1365" spans="1:2" ht="15.5">
      <c r="A1365" s="1190">
        <v>-82.1</v>
      </c>
      <c r="B1365" s="1191">
        <v>0.53610000000000002</v>
      </c>
    </row>
    <row r="1366" spans="1:2" ht="15.5">
      <c r="A1366" s="1190">
        <v>-82</v>
      </c>
      <c r="B1366" s="1191">
        <v>0.53590000000000004</v>
      </c>
    </row>
    <row r="1367" spans="1:2" ht="15.5">
      <c r="A1367" s="1190">
        <v>-81.900000000000006</v>
      </c>
      <c r="B1367" s="1191">
        <v>0.53580000000000005</v>
      </c>
    </row>
    <row r="1368" spans="1:2" ht="15.5">
      <c r="A1368" s="1190">
        <v>-81.8</v>
      </c>
      <c r="B1368" s="1191">
        <v>0.53559999999999997</v>
      </c>
    </row>
    <row r="1369" spans="1:2" ht="15.5">
      <c r="A1369" s="1190">
        <v>-81.7</v>
      </c>
      <c r="B1369" s="1191">
        <v>0.53549999999999998</v>
      </c>
    </row>
    <row r="1370" spans="1:2" ht="15.5">
      <c r="A1370" s="1190">
        <v>-81.599999999999994</v>
      </c>
      <c r="B1370" s="1191">
        <v>0.5353</v>
      </c>
    </row>
    <row r="1371" spans="1:2" ht="15.5">
      <c r="A1371" s="1190">
        <v>-81.5</v>
      </c>
      <c r="B1371" s="1191">
        <v>0.53520000000000001</v>
      </c>
    </row>
    <row r="1372" spans="1:2" ht="15.5">
      <c r="A1372" s="1190">
        <v>-81.400000000000006</v>
      </c>
      <c r="B1372" s="1191">
        <v>0.53500000000000003</v>
      </c>
    </row>
    <row r="1373" spans="1:2" ht="15.5">
      <c r="A1373" s="1190">
        <v>-81.3</v>
      </c>
      <c r="B1373" s="1191">
        <v>0.53490000000000004</v>
      </c>
    </row>
    <row r="1374" spans="1:2" ht="15.5">
      <c r="A1374" s="1190">
        <v>-81.2</v>
      </c>
      <c r="B1374" s="1191">
        <v>0.53469999999999995</v>
      </c>
    </row>
    <row r="1375" spans="1:2" ht="15.5">
      <c r="A1375" s="1190">
        <v>-81.099999999999994</v>
      </c>
      <c r="B1375" s="1191">
        <v>0.53449999999999998</v>
      </c>
    </row>
    <row r="1376" spans="1:2" ht="15.5">
      <c r="A1376" s="1190">
        <v>-81</v>
      </c>
      <c r="B1376" s="1191">
        <v>0.53439999999999999</v>
      </c>
    </row>
    <row r="1377" spans="1:2" ht="15.5">
      <c r="A1377" s="1190">
        <v>-80.900000000000006</v>
      </c>
      <c r="B1377" s="1191">
        <v>0.53420000000000001</v>
      </c>
    </row>
    <row r="1378" spans="1:2" ht="15.5">
      <c r="A1378" s="1190">
        <v>-80.8</v>
      </c>
      <c r="B1378" s="1191">
        <v>0.53410000000000002</v>
      </c>
    </row>
    <row r="1379" spans="1:2" ht="15.5">
      <c r="A1379" s="1190">
        <v>-80.7</v>
      </c>
      <c r="B1379" s="1191">
        <v>0.53390000000000004</v>
      </c>
    </row>
    <row r="1380" spans="1:2" ht="15.5">
      <c r="A1380" s="1190">
        <v>-80.599999999999994</v>
      </c>
      <c r="B1380" s="1191">
        <v>0.53380000000000005</v>
      </c>
    </row>
    <row r="1381" spans="1:2" ht="15.5">
      <c r="A1381" s="1190">
        <v>-80.5</v>
      </c>
      <c r="B1381" s="1191">
        <v>0.53359999999999996</v>
      </c>
    </row>
    <row r="1382" spans="1:2" ht="15.5">
      <c r="A1382" s="1190">
        <v>-80.400000000000006</v>
      </c>
      <c r="B1382" s="1191">
        <v>0.53349999999999997</v>
      </c>
    </row>
    <row r="1383" spans="1:2" ht="15.5">
      <c r="A1383" s="1190">
        <v>-80.3</v>
      </c>
      <c r="B1383" s="1191">
        <v>0.5333</v>
      </c>
    </row>
    <row r="1384" spans="1:2" ht="15.5">
      <c r="A1384" s="1190">
        <v>-80.2</v>
      </c>
      <c r="B1384" s="1191">
        <v>0.53320000000000001</v>
      </c>
    </row>
    <row r="1385" spans="1:2" ht="15.5">
      <c r="A1385" s="1190">
        <v>-80.099999999999994</v>
      </c>
      <c r="B1385" s="1191">
        <v>0.53300000000000003</v>
      </c>
    </row>
    <row r="1386" spans="1:2" ht="15.5">
      <c r="A1386" s="1190">
        <v>-80</v>
      </c>
      <c r="B1386" s="1191">
        <v>0.53290000000000004</v>
      </c>
    </row>
    <row r="1387" spans="1:2" ht="15.5">
      <c r="A1387" s="1190">
        <v>-79.900000000000006</v>
      </c>
      <c r="B1387" s="1191">
        <v>0.53269999999999995</v>
      </c>
    </row>
    <row r="1388" spans="1:2" ht="15.5">
      <c r="A1388" s="1190">
        <v>-79.8</v>
      </c>
      <c r="B1388" s="1191">
        <v>0.53259999999999996</v>
      </c>
    </row>
    <row r="1389" spans="1:2" ht="15.5">
      <c r="A1389" s="1190">
        <v>-79.7</v>
      </c>
      <c r="B1389" s="1191">
        <v>0.53239999999999998</v>
      </c>
    </row>
    <row r="1390" spans="1:2" ht="15.5">
      <c r="A1390" s="1190">
        <v>-79.599999999999994</v>
      </c>
      <c r="B1390" s="1191">
        <v>0.53220000000000001</v>
      </c>
    </row>
    <row r="1391" spans="1:2" ht="15.5">
      <c r="A1391" s="1190">
        <v>-79.5</v>
      </c>
      <c r="B1391" s="1191">
        <v>0.53210000000000002</v>
      </c>
    </row>
    <row r="1392" spans="1:2" ht="15.5">
      <c r="A1392" s="1190">
        <v>-79.400000000000006</v>
      </c>
      <c r="B1392" s="1191">
        <v>0.53190000000000004</v>
      </c>
    </row>
    <row r="1393" spans="1:2" ht="15.5">
      <c r="A1393" s="1190">
        <v>-79.3</v>
      </c>
      <c r="B1393" s="1191">
        <v>0.53180000000000005</v>
      </c>
    </row>
    <row r="1394" spans="1:2" ht="15.5">
      <c r="A1394" s="1190">
        <v>-79.2</v>
      </c>
      <c r="B1394" s="1191">
        <v>0.53159999999999996</v>
      </c>
    </row>
    <row r="1395" spans="1:2" ht="15.5">
      <c r="A1395" s="1190">
        <v>-79.099999999999994</v>
      </c>
      <c r="B1395" s="1191">
        <v>0.53149999999999997</v>
      </c>
    </row>
    <row r="1396" spans="1:2" ht="15.5">
      <c r="A1396" s="1190">
        <v>-79</v>
      </c>
      <c r="B1396" s="1191">
        <v>0.53129999999999999</v>
      </c>
    </row>
    <row r="1397" spans="1:2" ht="15.5">
      <c r="A1397" s="1190">
        <v>-78.900000000000006</v>
      </c>
      <c r="B1397" s="1191">
        <v>0.53120000000000001</v>
      </c>
    </row>
    <row r="1398" spans="1:2" ht="15.5">
      <c r="A1398" s="1190">
        <v>-78.8</v>
      </c>
      <c r="B1398" s="1191">
        <v>0.53100000000000003</v>
      </c>
    </row>
    <row r="1399" spans="1:2" ht="15.5">
      <c r="A1399" s="1190">
        <v>-78.7</v>
      </c>
      <c r="B1399" s="1191">
        <v>0.53090000000000004</v>
      </c>
    </row>
    <row r="1400" spans="1:2" ht="15.5">
      <c r="A1400" s="1190">
        <v>-78.599999999999994</v>
      </c>
      <c r="B1400" s="1191">
        <v>0.53069999999999995</v>
      </c>
    </row>
    <row r="1401" spans="1:2" ht="15.5">
      <c r="A1401" s="1190">
        <v>-78.5</v>
      </c>
      <c r="B1401" s="1191">
        <v>0.53059999999999996</v>
      </c>
    </row>
    <row r="1402" spans="1:2" ht="15.5">
      <c r="A1402" s="1190">
        <v>-78.400000000000006</v>
      </c>
      <c r="B1402" s="1191">
        <v>0.53039999999999998</v>
      </c>
    </row>
    <row r="1403" spans="1:2" ht="15.5">
      <c r="A1403" s="1190">
        <v>-78.3</v>
      </c>
      <c r="B1403" s="1191">
        <v>0.5302</v>
      </c>
    </row>
    <row r="1404" spans="1:2" ht="15.5">
      <c r="A1404" s="1190">
        <v>-78.2</v>
      </c>
      <c r="B1404" s="1191">
        <v>0.53010000000000002</v>
      </c>
    </row>
    <row r="1405" spans="1:2" ht="15.5">
      <c r="A1405" s="1190">
        <v>-78.099999999999994</v>
      </c>
      <c r="B1405" s="1191">
        <v>0.52990000000000004</v>
      </c>
    </row>
    <row r="1406" spans="1:2" ht="15.5">
      <c r="A1406" s="1190">
        <v>-78</v>
      </c>
      <c r="B1406" s="1191">
        <v>0.52980000000000005</v>
      </c>
    </row>
    <row r="1407" spans="1:2" ht="15.5">
      <c r="A1407" s="1182"/>
      <c r="B1407" s="1182"/>
    </row>
    <row r="1408" spans="1:2" ht="15.5">
      <c r="A1408" s="1182"/>
      <c r="B1408" s="1182"/>
    </row>
    <row r="1409" spans="1:2" ht="15.5">
      <c r="A1409" s="1182"/>
      <c r="B1409" s="1182"/>
    </row>
    <row r="1410" spans="1:2" ht="15.5">
      <c r="A1410" s="1182"/>
      <c r="B1410" s="1182"/>
    </row>
    <row r="1411" spans="1:2" ht="15">
      <c r="A1411" s="1673" t="s">
        <v>632</v>
      </c>
      <c r="B1411" s="1673"/>
    </row>
    <row r="1412" spans="1:2" ht="15.5">
      <c r="A1412" s="1182"/>
      <c r="B1412" s="1182"/>
    </row>
    <row r="1413" spans="1:2" ht="15.5">
      <c r="A1413" s="1190">
        <v>-50</v>
      </c>
      <c r="B1413" s="1191">
        <v>0.6119</v>
      </c>
    </row>
    <row r="1414" spans="1:2" ht="15.5">
      <c r="A1414" s="1190">
        <v>-49.9</v>
      </c>
      <c r="B1414" s="1191">
        <v>0.61180000000000001</v>
      </c>
    </row>
    <row r="1415" spans="1:2" ht="15.5">
      <c r="A1415" s="1190">
        <v>-49.8</v>
      </c>
      <c r="B1415" s="1191">
        <v>0.61170000000000002</v>
      </c>
    </row>
    <row r="1416" spans="1:2" ht="15.5">
      <c r="A1416" s="1190">
        <v>-49.7</v>
      </c>
      <c r="B1416" s="1191">
        <v>0.61150000000000004</v>
      </c>
    </row>
    <row r="1417" spans="1:2" ht="15.5">
      <c r="A1417" s="1190">
        <v>-49.6</v>
      </c>
      <c r="B1417" s="1191">
        <v>0.61140000000000005</v>
      </c>
    </row>
    <row r="1418" spans="1:2" ht="15.5">
      <c r="A1418" s="1190">
        <v>-49.5</v>
      </c>
      <c r="B1418" s="1191">
        <v>0.61129999999999995</v>
      </c>
    </row>
    <row r="1419" spans="1:2" ht="15.5">
      <c r="A1419" s="1190">
        <v>-49.4</v>
      </c>
      <c r="B1419" s="1191">
        <v>0.61119999999999997</v>
      </c>
    </row>
    <row r="1420" spans="1:2" ht="15.5">
      <c r="A1420" s="1190">
        <v>-49.3</v>
      </c>
      <c r="B1420" s="1191">
        <v>0.61099999999999999</v>
      </c>
    </row>
    <row r="1421" spans="1:2" ht="15.5">
      <c r="A1421" s="1190">
        <v>-49.2</v>
      </c>
      <c r="B1421" s="1191">
        <v>0.6109</v>
      </c>
    </row>
    <row r="1422" spans="1:2" ht="15.5">
      <c r="A1422" s="1190">
        <v>-49.1</v>
      </c>
      <c r="B1422" s="1191">
        <v>0.61070000000000002</v>
      </c>
    </row>
    <row r="1423" spans="1:2" ht="15.5">
      <c r="A1423" s="1190">
        <v>-49</v>
      </c>
      <c r="B1423" s="1191">
        <v>0.61060000000000003</v>
      </c>
    </row>
    <row r="1424" spans="1:2" ht="15.5">
      <c r="A1424" s="1190">
        <v>-48.9</v>
      </c>
      <c r="B1424" s="1191">
        <v>0.61050000000000004</v>
      </c>
    </row>
    <row r="1425" spans="1:2" ht="15.5">
      <c r="A1425" s="1190">
        <v>-48.8</v>
      </c>
      <c r="B1425" s="1191">
        <v>0.61040000000000005</v>
      </c>
    </row>
    <row r="1426" spans="1:2" ht="15.5">
      <c r="A1426" s="1190">
        <v>-48.7</v>
      </c>
      <c r="B1426" s="1191">
        <v>0.61019999999999996</v>
      </c>
    </row>
    <row r="1427" spans="1:2" ht="15.5">
      <c r="A1427" s="1190">
        <v>-48.6</v>
      </c>
      <c r="B1427" s="1191">
        <v>0.61009999999999998</v>
      </c>
    </row>
    <row r="1428" spans="1:2" ht="15.5">
      <c r="A1428" s="1190">
        <v>-48.5</v>
      </c>
      <c r="B1428" s="1191">
        <v>0.61</v>
      </c>
    </row>
    <row r="1429" spans="1:2" ht="15.5">
      <c r="A1429" s="1190">
        <v>-48.4</v>
      </c>
      <c r="B1429" s="1191">
        <v>0.6099</v>
      </c>
    </row>
    <row r="1430" spans="1:2" ht="15.5">
      <c r="A1430" s="1190">
        <v>-48.3</v>
      </c>
      <c r="B1430" s="1191">
        <v>0.60980000000000001</v>
      </c>
    </row>
    <row r="1431" spans="1:2" ht="15.5">
      <c r="A1431" s="1190">
        <v>-48.2</v>
      </c>
      <c r="B1431" s="1191">
        <v>0.60960000000000003</v>
      </c>
    </row>
    <row r="1432" spans="1:2" ht="15.5">
      <c r="A1432" s="1190">
        <v>-48.1</v>
      </c>
      <c r="B1432" s="1191">
        <v>0.60950000000000004</v>
      </c>
    </row>
    <row r="1433" spans="1:2" ht="15.5">
      <c r="A1433" s="1190">
        <v>-48</v>
      </c>
      <c r="B1433" s="1191">
        <v>0.60940000000000005</v>
      </c>
    </row>
    <row r="1434" spans="1:2" ht="15.5">
      <c r="A1434" s="1190">
        <v>-47.9</v>
      </c>
      <c r="B1434" s="1191">
        <v>0.60929999999999995</v>
      </c>
    </row>
    <row r="1435" spans="1:2" ht="15.5">
      <c r="A1435" s="1190">
        <v>-47.8</v>
      </c>
      <c r="B1435" s="1191">
        <v>0.60919999999999996</v>
      </c>
    </row>
    <row r="1436" spans="1:2" ht="15.5">
      <c r="A1436" s="1190">
        <v>-47.7</v>
      </c>
      <c r="B1436" s="1191">
        <v>0.60899999999999999</v>
      </c>
    </row>
    <row r="1437" spans="1:2" ht="15.5">
      <c r="A1437" s="1190">
        <v>-47.6</v>
      </c>
      <c r="B1437" s="1191">
        <v>0.6089</v>
      </c>
    </row>
    <row r="1438" spans="1:2" ht="15.5">
      <c r="A1438" s="1190">
        <v>-47.5</v>
      </c>
      <c r="B1438" s="1191">
        <v>0.60880000000000001</v>
      </c>
    </row>
    <row r="1439" spans="1:2" ht="15.5">
      <c r="A1439" s="1190">
        <v>-47.4</v>
      </c>
      <c r="B1439" s="1191">
        <v>0.60870000000000002</v>
      </c>
    </row>
    <row r="1440" spans="1:2" ht="15.5">
      <c r="A1440" s="1190">
        <v>-47.3</v>
      </c>
      <c r="B1440" s="1191">
        <v>0.60860000000000003</v>
      </c>
    </row>
    <row r="1441" spans="1:2" ht="15.5">
      <c r="A1441" s="1190">
        <v>-47.2</v>
      </c>
      <c r="B1441" s="1191">
        <v>0.60840000000000005</v>
      </c>
    </row>
    <row r="1442" spans="1:2" ht="15.5">
      <c r="A1442" s="1190">
        <v>-47.1</v>
      </c>
      <c r="B1442" s="1191">
        <v>0.60829999999999995</v>
      </c>
    </row>
    <row r="1443" spans="1:2" ht="15.5">
      <c r="A1443" s="1190">
        <v>-47</v>
      </c>
      <c r="B1443" s="1191">
        <v>0.60819999999999996</v>
      </c>
    </row>
    <row r="1444" spans="1:2" ht="15.5">
      <c r="A1444" s="1190">
        <v>-46.9</v>
      </c>
      <c r="B1444" s="1191">
        <v>0.60809999999999997</v>
      </c>
    </row>
    <row r="1445" spans="1:2" ht="15.5">
      <c r="A1445" s="1190">
        <v>-46.8</v>
      </c>
      <c r="B1445" s="1191">
        <v>0.6079</v>
      </c>
    </row>
    <row r="1446" spans="1:2" ht="15.5">
      <c r="A1446" s="1190">
        <v>-46.7</v>
      </c>
      <c r="B1446" s="1191">
        <v>0.60780000000000001</v>
      </c>
    </row>
    <row r="1447" spans="1:2" ht="15.5">
      <c r="A1447" s="1190">
        <v>-46.6</v>
      </c>
      <c r="B1447" s="1191">
        <v>0.60760000000000003</v>
      </c>
    </row>
    <row r="1448" spans="1:2" ht="15.5">
      <c r="A1448" s="1190">
        <v>-46.5</v>
      </c>
      <c r="B1448" s="1191">
        <v>0.60750000000000004</v>
      </c>
    </row>
    <row r="1449" spans="1:2" ht="15.5">
      <c r="A1449" s="1190">
        <v>-46.4</v>
      </c>
      <c r="B1449" s="1191">
        <v>0.60740000000000005</v>
      </c>
    </row>
    <row r="1450" spans="1:2" ht="15.5">
      <c r="A1450" s="1190">
        <v>-46.3</v>
      </c>
      <c r="B1450" s="1191">
        <v>0.60729999999999995</v>
      </c>
    </row>
    <row r="1451" spans="1:2" ht="15.5">
      <c r="A1451" s="1190">
        <v>-46.2</v>
      </c>
      <c r="B1451" s="1191">
        <v>0.60709999999999997</v>
      </c>
    </row>
    <row r="1452" spans="1:2" ht="15.5">
      <c r="A1452" s="1190">
        <v>-46.1</v>
      </c>
      <c r="B1452" s="1191">
        <v>0.60699999999999998</v>
      </c>
    </row>
    <row r="1453" spans="1:2" ht="15.5">
      <c r="A1453" s="1190">
        <v>-46</v>
      </c>
      <c r="B1453" s="1191">
        <v>0.6069</v>
      </c>
    </row>
    <row r="1454" spans="1:2" ht="15.5">
      <c r="A1454" s="1190">
        <v>-45.9</v>
      </c>
      <c r="B1454" s="1191">
        <v>0.60680000000000001</v>
      </c>
    </row>
    <row r="1455" spans="1:2" ht="15.5">
      <c r="A1455" s="1190">
        <v>-45.8</v>
      </c>
      <c r="B1455" s="1191">
        <v>0.60670000000000002</v>
      </c>
    </row>
    <row r="1456" spans="1:2" ht="15.5">
      <c r="A1456" s="1190">
        <v>-45.7</v>
      </c>
      <c r="B1456" s="1191">
        <v>0.60650000000000004</v>
      </c>
    </row>
    <row r="1457" spans="1:2" ht="15.5">
      <c r="A1457" s="1190">
        <v>-45.6</v>
      </c>
      <c r="B1457" s="1191">
        <v>0.60640000000000005</v>
      </c>
    </row>
    <row r="1458" spans="1:2" ht="15.5">
      <c r="A1458" s="1190">
        <v>-45.5</v>
      </c>
      <c r="B1458" s="1191">
        <v>0.60629999999999995</v>
      </c>
    </row>
    <row r="1459" spans="1:2" ht="15.5">
      <c r="A1459" s="1190">
        <v>-45.4</v>
      </c>
      <c r="B1459" s="1191">
        <v>0.60619999999999996</v>
      </c>
    </row>
    <row r="1460" spans="1:2" ht="15.5">
      <c r="A1460" s="1190">
        <v>-45.3</v>
      </c>
      <c r="B1460" s="1191">
        <v>0.60609999999999997</v>
      </c>
    </row>
    <row r="1461" spans="1:2" ht="15.5">
      <c r="A1461" s="1190">
        <v>-45.2</v>
      </c>
      <c r="B1461" s="1191">
        <v>0.60589999999999999</v>
      </c>
    </row>
    <row r="1462" spans="1:2" ht="15.5">
      <c r="A1462" s="1190">
        <v>-45.1</v>
      </c>
      <c r="B1462" s="1191">
        <v>0.60580000000000001</v>
      </c>
    </row>
    <row r="1463" spans="1:2" ht="15.5">
      <c r="A1463" s="1190">
        <v>-45</v>
      </c>
      <c r="B1463" s="1191">
        <v>0.60570000000000002</v>
      </c>
    </row>
    <row r="1464" spans="1:2" ht="15.5">
      <c r="A1464" s="1190">
        <v>-44.9</v>
      </c>
      <c r="B1464" s="1191">
        <v>0.60560000000000003</v>
      </c>
    </row>
    <row r="1465" spans="1:2" ht="15.5">
      <c r="A1465" s="1190">
        <v>-44.8</v>
      </c>
      <c r="B1465" s="1191">
        <v>0.60540000000000005</v>
      </c>
    </row>
    <row r="1466" spans="1:2" ht="15.5">
      <c r="A1466" s="1190">
        <v>-44.7</v>
      </c>
      <c r="B1466" s="1191">
        <v>0.60529999999999995</v>
      </c>
    </row>
    <row r="1467" spans="1:2" ht="15.5">
      <c r="A1467" s="1190">
        <v>-44.6</v>
      </c>
      <c r="B1467" s="1191">
        <v>0.60509999999999997</v>
      </c>
    </row>
    <row r="1468" spans="1:2" ht="15.5">
      <c r="A1468" s="1190">
        <v>-44.5</v>
      </c>
      <c r="B1468" s="1191">
        <v>0.60499999999999998</v>
      </c>
    </row>
    <row r="1469" spans="1:2" ht="15.5">
      <c r="A1469" s="1190">
        <v>-44.4</v>
      </c>
      <c r="B1469" s="1191">
        <v>0.60489999999999999</v>
      </c>
    </row>
    <row r="1470" spans="1:2" ht="15.5">
      <c r="A1470" s="1190">
        <v>-44.3</v>
      </c>
      <c r="B1470" s="1191">
        <v>0.6048</v>
      </c>
    </row>
    <row r="1471" spans="1:2" ht="15.5">
      <c r="A1471" s="1190">
        <v>-44.2</v>
      </c>
      <c r="B1471" s="1191">
        <v>0.60460000000000003</v>
      </c>
    </row>
    <row r="1472" spans="1:2" ht="15.5">
      <c r="A1472" s="1190">
        <v>-44.1</v>
      </c>
      <c r="B1472" s="1191">
        <v>0.60450000000000004</v>
      </c>
    </row>
    <row r="1473" spans="1:2" ht="15.5">
      <c r="A1473" s="1190">
        <v>-44</v>
      </c>
      <c r="B1473" s="1191">
        <v>0.60440000000000005</v>
      </c>
    </row>
    <row r="1474" spans="1:2" ht="15.5">
      <c r="A1474" s="1190">
        <v>-43.9</v>
      </c>
      <c r="B1474" s="1191">
        <v>0.60429999999999995</v>
      </c>
    </row>
    <row r="1475" spans="1:2" ht="15.5">
      <c r="A1475" s="1190">
        <v>-43.8</v>
      </c>
      <c r="B1475" s="1191">
        <v>0.60419999999999996</v>
      </c>
    </row>
    <row r="1476" spans="1:2" ht="15.5">
      <c r="A1476" s="1190">
        <v>-43.7</v>
      </c>
      <c r="B1476" s="1191">
        <v>0.60399999999999998</v>
      </c>
    </row>
    <row r="1477" spans="1:2" ht="15.5">
      <c r="A1477" s="1190">
        <v>-43.6</v>
      </c>
      <c r="B1477" s="1191">
        <v>0.60389999999999999</v>
      </c>
    </row>
    <row r="1478" spans="1:2" ht="15.5">
      <c r="A1478" s="1190">
        <v>-43.5</v>
      </c>
      <c r="B1478" s="1191">
        <v>0.6038</v>
      </c>
    </row>
    <row r="1479" spans="1:2" ht="15.5">
      <c r="A1479" s="1190">
        <v>-43.4</v>
      </c>
      <c r="B1479" s="1191">
        <v>0.60370000000000001</v>
      </c>
    </row>
    <row r="1480" spans="1:2" ht="15.5">
      <c r="A1480" s="1190">
        <v>-43.3</v>
      </c>
      <c r="B1480" s="1191">
        <v>0.60350000000000004</v>
      </c>
    </row>
    <row r="1481" spans="1:2" ht="15.5">
      <c r="A1481" s="1190">
        <v>-43.2</v>
      </c>
      <c r="B1481" s="1191">
        <v>0.60340000000000005</v>
      </c>
    </row>
    <row r="1482" spans="1:2" ht="15.5">
      <c r="A1482" s="1190">
        <v>-43.1</v>
      </c>
      <c r="B1482" s="1191">
        <v>0.60319999999999996</v>
      </c>
    </row>
    <row r="1483" spans="1:2" ht="15.5">
      <c r="A1483" s="1190">
        <v>-43</v>
      </c>
      <c r="B1483" s="1191">
        <v>0.60309999999999997</v>
      </c>
    </row>
    <row r="1484" spans="1:2" ht="15.5">
      <c r="A1484" s="1190">
        <v>-42.9</v>
      </c>
      <c r="B1484" s="1191">
        <v>0.60299999999999998</v>
      </c>
    </row>
    <row r="1485" spans="1:2" ht="15.5">
      <c r="A1485" s="1190">
        <v>-42.8</v>
      </c>
      <c r="B1485" s="1191">
        <v>0.60289999999999999</v>
      </c>
    </row>
    <row r="1486" spans="1:2" ht="15.5">
      <c r="A1486" s="1190">
        <v>-42.7</v>
      </c>
      <c r="B1486" s="1191">
        <v>0.60270000000000001</v>
      </c>
    </row>
    <row r="1487" spans="1:2" ht="15.5">
      <c r="A1487" s="1190">
        <v>-42.6</v>
      </c>
      <c r="B1487" s="1191">
        <v>0.60260000000000002</v>
      </c>
    </row>
    <row r="1488" spans="1:2" ht="15.5">
      <c r="A1488" s="1190">
        <v>-42.5</v>
      </c>
      <c r="B1488" s="1191">
        <v>0.60250000000000004</v>
      </c>
    </row>
    <row r="1489" spans="1:2" ht="15.5">
      <c r="A1489" s="1190">
        <v>-42.4</v>
      </c>
      <c r="B1489" s="1191">
        <v>0.60240000000000005</v>
      </c>
    </row>
    <row r="1490" spans="1:2" ht="15.5">
      <c r="A1490" s="1190">
        <v>-42.3</v>
      </c>
      <c r="B1490" s="1191">
        <v>0.60229999999999995</v>
      </c>
    </row>
    <row r="1491" spans="1:2" ht="15.5">
      <c r="A1491" s="1190">
        <v>-42.2</v>
      </c>
      <c r="B1491" s="1191">
        <v>0.60209999999999997</v>
      </c>
    </row>
    <row r="1492" spans="1:2" ht="15.5">
      <c r="A1492" s="1190">
        <v>-42.1</v>
      </c>
      <c r="B1492" s="1191">
        <v>0.60199999999999998</v>
      </c>
    </row>
    <row r="1493" spans="1:2" ht="15.5">
      <c r="A1493" s="1190">
        <v>-42</v>
      </c>
      <c r="B1493" s="1191">
        <v>0.60189999999999999</v>
      </c>
    </row>
    <row r="1494" spans="1:2" ht="15.5">
      <c r="A1494" s="1190">
        <v>-41.9</v>
      </c>
      <c r="B1494" s="1191">
        <v>0.6018</v>
      </c>
    </row>
    <row r="1495" spans="1:2" ht="15.5">
      <c r="A1495" s="1190">
        <v>-41.8</v>
      </c>
      <c r="B1495" s="1191">
        <v>0.60170000000000001</v>
      </c>
    </row>
    <row r="1496" spans="1:2" ht="15.5">
      <c r="A1496" s="1190">
        <v>-41.7</v>
      </c>
      <c r="B1496" s="1191">
        <v>0.60150000000000003</v>
      </c>
    </row>
    <row r="1497" spans="1:2" ht="15.5">
      <c r="A1497" s="1190">
        <v>-41.6</v>
      </c>
      <c r="B1497" s="1191">
        <v>0.60140000000000005</v>
      </c>
    </row>
    <row r="1498" spans="1:2" ht="15.5">
      <c r="A1498" s="1190">
        <v>-41.5</v>
      </c>
      <c r="B1498" s="1191">
        <v>0.60129999999999995</v>
      </c>
    </row>
    <row r="1499" spans="1:2" ht="15.5">
      <c r="A1499" s="1190">
        <v>-41.4</v>
      </c>
      <c r="B1499" s="1191">
        <v>0.60119999999999996</v>
      </c>
    </row>
    <row r="1500" spans="1:2" ht="15.5">
      <c r="A1500" s="1190">
        <v>-41.3</v>
      </c>
      <c r="B1500" s="1191">
        <v>0.60099999999999998</v>
      </c>
    </row>
    <row r="1501" spans="1:2" ht="15.5">
      <c r="A1501" s="1190">
        <v>-41.2</v>
      </c>
      <c r="B1501" s="1191">
        <v>0.60089999999999999</v>
      </c>
    </row>
    <row r="1502" spans="1:2" ht="15.5">
      <c r="A1502" s="1190">
        <v>-41.1</v>
      </c>
      <c r="B1502" s="1191">
        <v>0.60070000000000001</v>
      </c>
    </row>
    <row r="1503" spans="1:2" ht="15.5">
      <c r="A1503" s="1190">
        <v>-41</v>
      </c>
      <c r="B1503" s="1191">
        <v>0.60060000000000002</v>
      </c>
    </row>
    <row r="1504" spans="1:2" ht="15.5">
      <c r="A1504" s="1190">
        <v>-40.9</v>
      </c>
      <c r="B1504" s="1191">
        <v>0.60050000000000003</v>
      </c>
    </row>
    <row r="1505" spans="1:2" ht="15.5">
      <c r="A1505" s="1190">
        <v>-40.799999999999997</v>
      </c>
      <c r="B1505" s="1191">
        <v>0.60040000000000004</v>
      </c>
    </row>
    <row r="1506" spans="1:2" ht="15.5">
      <c r="A1506" s="1190">
        <v>-40.700000000000003</v>
      </c>
      <c r="B1506" s="1191">
        <v>0.60019999999999996</v>
      </c>
    </row>
    <row r="1507" spans="1:2" ht="15.5">
      <c r="A1507" s="1190">
        <v>-40.6</v>
      </c>
      <c r="B1507" s="1191">
        <v>0.60009999999999997</v>
      </c>
    </row>
    <row r="1508" spans="1:2" ht="15.5">
      <c r="A1508" s="1190">
        <v>-40.5</v>
      </c>
      <c r="B1508" s="1191">
        <v>0.6</v>
      </c>
    </row>
    <row r="1509" spans="1:2" ht="15.5">
      <c r="A1509" s="1190">
        <v>-40.4</v>
      </c>
      <c r="B1509" s="1191">
        <v>0.59989999999999999</v>
      </c>
    </row>
    <row r="1510" spans="1:2" ht="15.5">
      <c r="A1510" s="1190">
        <v>-40.299999999999997</v>
      </c>
      <c r="B1510" s="1191">
        <v>0.5998</v>
      </c>
    </row>
    <row r="1511" spans="1:2" ht="15.5">
      <c r="A1511" s="1190">
        <v>-40.200000000000003</v>
      </c>
      <c r="B1511" s="1191">
        <v>0.59960000000000002</v>
      </c>
    </row>
    <row r="1512" spans="1:2" ht="15.5">
      <c r="A1512" s="1190">
        <v>-40.1</v>
      </c>
      <c r="B1512" s="1191">
        <v>0.59950000000000003</v>
      </c>
    </row>
    <row r="1513" spans="1:2" ht="15.5">
      <c r="A1513" s="1190">
        <v>-40</v>
      </c>
      <c r="B1513" s="1191">
        <v>0.59940000000000004</v>
      </c>
    </row>
    <row r="1514" spans="1:2" ht="15.5">
      <c r="A1514" s="1190">
        <v>-39.9</v>
      </c>
      <c r="B1514" s="1191">
        <v>0.59930000000000005</v>
      </c>
    </row>
    <row r="1515" spans="1:2" ht="15.5">
      <c r="A1515" s="1190">
        <v>-39.799999999999997</v>
      </c>
      <c r="B1515" s="1191">
        <v>0.59909999999999997</v>
      </c>
    </row>
    <row r="1516" spans="1:2" ht="15.5">
      <c r="A1516" s="1190">
        <v>-39.700000000000003</v>
      </c>
      <c r="B1516" s="1191">
        <v>0.59899999999999998</v>
      </c>
    </row>
    <row r="1517" spans="1:2" ht="15.5">
      <c r="A1517" s="1190">
        <v>-39.6</v>
      </c>
      <c r="B1517" s="1191">
        <v>0.5988</v>
      </c>
    </row>
    <row r="1518" spans="1:2" ht="15.5">
      <c r="A1518" s="1190">
        <v>-39.5</v>
      </c>
      <c r="B1518" s="1191">
        <v>0.59870000000000001</v>
      </c>
    </row>
    <row r="1519" spans="1:2" ht="15.5">
      <c r="A1519" s="1190">
        <v>-39.4</v>
      </c>
      <c r="B1519" s="1191">
        <v>0.59860000000000002</v>
      </c>
    </row>
    <row r="1520" spans="1:2" ht="15.5">
      <c r="A1520" s="1190">
        <v>-39.299999999999997</v>
      </c>
      <c r="B1520" s="1191">
        <v>0.59850000000000003</v>
      </c>
    </row>
    <row r="1521" spans="1:2" ht="15.5">
      <c r="A1521" s="1190">
        <v>-39.200000000000003</v>
      </c>
      <c r="B1521" s="1191">
        <v>0.59830000000000005</v>
      </c>
    </row>
    <row r="1522" spans="1:2" ht="15.5">
      <c r="A1522" s="1190">
        <v>-39.1</v>
      </c>
      <c r="B1522" s="1191">
        <v>0.59819999999999995</v>
      </c>
    </row>
    <row r="1523" spans="1:2" ht="15.5">
      <c r="A1523" s="1190">
        <v>-39</v>
      </c>
      <c r="B1523" s="1191">
        <v>0.59809999999999997</v>
      </c>
    </row>
    <row r="1524" spans="1:2" ht="15.5">
      <c r="A1524" s="1190">
        <v>-38.9</v>
      </c>
      <c r="B1524" s="1191">
        <v>0.59799999999999998</v>
      </c>
    </row>
    <row r="1525" spans="1:2" ht="15.5">
      <c r="A1525" s="1190">
        <v>-38.799999999999997</v>
      </c>
      <c r="B1525" s="1191">
        <v>0.5978</v>
      </c>
    </row>
    <row r="1526" spans="1:2" ht="15.5">
      <c r="A1526" s="1190">
        <v>-38.700000000000003</v>
      </c>
      <c r="B1526" s="1191">
        <v>0.59770000000000001</v>
      </c>
    </row>
    <row r="1527" spans="1:2" ht="15.5">
      <c r="A1527" s="1190">
        <v>-38.6</v>
      </c>
      <c r="B1527" s="1191">
        <v>0.59750000000000003</v>
      </c>
    </row>
    <row r="1528" spans="1:2" ht="15.5">
      <c r="A1528" s="1190">
        <v>-38.5</v>
      </c>
      <c r="B1528" s="1191">
        <v>0.59740000000000004</v>
      </c>
    </row>
    <row r="1529" spans="1:2" ht="15.5">
      <c r="A1529" s="1190">
        <v>-38.4</v>
      </c>
      <c r="B1529" s="1191">
        <v>0.59730000000000005</v>
      </c>
    </row>
    <row r="1530" spans="1:2" ht="15.5">
      <c r="A1530" s="1190">
        <v>-38.299999999999997</v>
      </c>
      <c r="B1530" s="1191">
        <v>0.59719999999999995</v>
      </c>
    </row>
    <row r="1531" spans="1:2" ht="15.5">
      <c r="A1531" s="1190">
        <v>-38.200000000000003</v>
      </c>
      <c r="B1531" s="1191">
        <v>0.59699999999999998</v>
      </c>
    </row>
    <row r="1532" spans="1:2" ht="15.5">
      <c r="A1532" s="1190">
        <v>-38.1</v>
      </c>
      <c r="B1532" s="1191">
        <v>0.59689999999999999</v>
      </c>
    </row>
    <row r="1533" spans="1:2" ht="15.5">
      <c r="A1533" s="1190">
        <v>-38</v>
      </c>
      <c r="B1533" s="1191">
        <v>0.5968</v>
      </c>
    </row>
    <row r="1534" spans="1:2" ht="15.5">
      <c r="A1534" s="1190">
        <v>-37.9</v>
      </c>
      <c r="B1534" s="1191">
        <v>0.59670000000000001</v>
      </c>
    </row>
    <row r="1535" spans="1:2" ht="15.5">
      <c r="A1535" s="1190">
        <v>-37.799999999999997</v>
      </c>
      <c r="B1535" s="1191">
        <v>0.59660000000000002</v>
      </c>
    </row>
    <row r="1536" spans="1:2" ht="15.5">
      <c r="A1536" s="1190">
        <v>-37.700000000000003</v>
      </c>
      <c r="B1536" s="1191">
        <v>0.59640000000000004</v>
      </c>
    </row>
    <row r="1537" spans="1:2" ht="15.5">
      <c r="A1537" s="1190">
        <v>-37.6</v>
      </c>
      <c r="B1537" s="1191">
        <v>0.59630000000000005</v>
      </c>
    </row>
    <row r="1538" spans="1:2" ht="15.5">
      <c r="A1538" s="1190">
        <v>-37.5</v>
      </c>
      <c r="B1538" s="1191">
        <v>0.59619999999999995</v>
      </c>
    </row>
    <row r="1539" spans="1:2" ht="15.5">
      <c r="A1539" s="1190">
        <v>-37.4</v>
      </c>
      <c r="B1539" s="1191">
        <v>0.59609999999999996</v>
      </c>
    </row>
    <row r="1540" spans="1:2" ht="15.5">
      <c r="A1540" s="1190">
        <v>-37.299999999999997</v>
      </c>
      <c r="B1540" s="1191">
        <v>0.59589999999999999</v>
      </c>
    </row>
    <row r="1541" spans="1:2" ht="15.5">
      <c r="A1541" s="1190">
        <v>-37.200000000000003</v>
      </c>
      <c r="B1541" s="1191">
        <v>0.5958</v>
      </c>
    </row>
    <row r="1542" spans="1:2" ht="15.5">
      <c r="A1542" s="1190">
        <v>-37.1</v>
      </c>
      <c r="B1542" s="1191">
        <v>0.59560000000000002</v>
      </c>
    </row>
    <row r="1543" spans="1:2" ht="15.5">
      <c r="A1543" s="1190">
        <v>-37</v>
      </c>
      <c r="B1543" s="1191">
        <v>0.59550000000000003</v>
      </c>
    </row>
    <row r="1544" spans="1:2" ht="15.5">
      <c r="A1544" s="1190">
        <v>-36.9</v>
      </c>
      <c r="B1544" s="1191">
        <v>0.59540000000000004</v>
      </c>
    </row>
    <row r="1545" spans="1:2" ht="15.5">
      <c r="A1545" s="1190">
        <v>-36.799999999999997</v>
      </c>
      <c r="B1545" s="1191">
        <v>0.59530000000000005</v>
      </c>
    </row>
    <row r="1546" spans="1:2" ht="15.5">
      <c r="A1546" s="1190">
        <v>-36.700000000000003</v>
      </c>
      <c r="B1546" s="1191">
        <v>0.59509999999999996</v>
      </c>
    </row>
    <row r="1547" spans="1:2" ht="15.5">
      <c r="A1547" s="1190">
        <v>-36.6</v>
      </c>
      <c r="B1547" s="1191">
        <v>0.59499999999999997</v>
      </c>
    </row>
    <row r="1548" spans="1:2" ht="15.5">
      <c r="A1548" s="1190">
        <v>-36.5</v>
      </c>
      <c r="B1548" s="1191">
        <v>0.59489999999999998</v>
      </c>
    </row>
    <row r="1549" spans="1:2" ht="15.5">
      <c r="A1549" s="1190">
        <v>-36.4</v>
      </c>
      <c r="B1549" s="1191">
        <v>0.5948</v>
      </c>
    </row>
    <row r="1550" spans="1:2" ht="15.5">
      <c r="A1550" s="1190">
        <v>-36.299999999999997</v>
      </c>
      <c r="B1550" s="1191">
        <v>0.59460000000000002</v>
      </c>
    </row>
    <row r="1551" spans="1:2" ht="15.5">
      <c r="A1551" s="1190">
        <v>-36.200000000000003</v>
      </c>
      <c r="B1551" s="1191">
        <v>0.59450000000000003</v>
      </c>
    </row>
    <row r="1552" spans="1:2" ht="15.5">
      <c r="A1552" s="1190">
        <v>-36.1</v>
      </c>
      <c r="B1552" s="1191">
        <v>0.59430000000000005</v>
      </c>
    </row>
    <row r="1553" spans="1:2" ht="15.5">
      <c r="A1553" s="1190">
        <v>-36</v>
      </c>
      <c r="B1553" s="1191">
        <v>0.59419999999999995</v>
      </c>
    </row>
    <row r="1554" spans="1:2" ht="15.5">
      <c r="A1554" s="1190">
        <v>-35.9</v>
      </c>
      <c r="B1554" s="1191">
        <v>0.59409999999999996</v>
      </c>
    </row>
    <row r="1555" spans="1:2" ht="15.5">
      <c r="A1555" s="1190">
        <v>-35.799999999999997</v>
      </c>
      <c r="B1555" s="1191">
        <v>0.59399999999999997</v>
      </c>
    </row>
    <row r="1556" spans="1:2" ht="15.5">
      <c r="A1556" s="1190">
        <v>-35.700000000000003</v>
      </c>
      <c r="B1556" s="1191">
        <v>0.59379999999999999</v>
      </c>
    </row>
    <row r="1557" spans="1:2" ht="15.5">
      <c r="A1557" s="1190">
        <v>-35.6</v>
      </c>
      <c r="B1557" s="1191">
        <v>0.59370000000000001</v>
      </c>
    </row>
    <row r="1558" spans="1:2" ht="15.5">
      <c r="A1558" s="1190">
        <v>-35.5</v>
      </c>
      <c r="B1558" s="1191">
        <v>0.59360000000000002</v>
      </c>
    </row>
    <row r="1559" spans="1:2" ht="15.5">
      <c r="A1559" s="1190">
        <v>-35.4</v>
      </c>
      <c r="B1559" s="1191">
        <v>0.59350000000000003</v>
      </c>
    </row>
    <row r="1560" spans="1:2" ht="15.5">
      <c r="A1560" s="1190">
        <v>-35.299999999999997</v>
      </c>
      <c r="B1560" s="1191">
        <v>0.59340000000000004</v>
      </c>
    </row>
    <row r="1561" spans="1:2" ht="15.5">
      <c r="A1561" s="1190">
        <v>-35.200000000000003</v>
      </c>
      <c r="B1561" s="1191">
        <v>0.59319999999999995</v>
      </c>
    </row>
    <row r="1562" spans="1:2" ht="15.5">
      <c r="A1562" s="1190">
        <v>-35.1</v>
      </c>
      <c r="B1562" s="1191">
        <v>0.59309999999999996</v>
      </c>
    </row>
    <row r="1563" spans="1:2" ht="15.5">
      <c r="A1563" s="1190">
        <v>-35</v>
      </c>
      <c r="B1563" s="1191">
        <v>0.59299999999999997</v>
      </c>
    </row>
    <row r="1564" spans="1:2" ht="15.5">
      <c r="A1564" s="1190">
        <v>-34.9</v>
      </c>
      <c r="B1564" s="1191">
        <v>0.59289999999999998</v>
      </c>
    </row>
    <row r="1565" spans="1:2" ht="15.5">
      <c r="A1565" s="1190">
        <v>-34.799999999999997</v>
      </c>
      <c r="B1565" s="1191">
        <v>0.5927</v>
      </c>
    </row>
    <row r="1566" spans="1:2" ht="15.5">
      <c r="A1566" s="1190">
        <v>-34.700000000000003</v>
      </c>
      <c r="B1566" s="1191">
        <v>0.59260000000000002</v>
      </c>
    </row>
    <row r="1567" spans="1:2" ht="15.5">
      <c r="A1567" s="1190">
        <v>-34.6</v>
      </c>
      <c r="B1567" s="1191">
        <v>0.59240000000000004</v>
      </c>
    </row>
    <row r="1568" spans="1:2" ht="15.5">
      <c r="A1568" s="1190">
        <v>-34.5</v>
      </c>
      <c r="B1568" s="1191">
        <v>0.59230000000000005</v>
      </c>
    </row>
    <row r="1569" spans="1:2" ht="15.5">
      <c r="A1569" s="1190">
        <v>-34.4</v>
      </c>
      <c r="B1569" s="1191">
        <v>0.59219999999999995</v>
      </c>
    </row>
    <row r="1570" spans="1:2" ht="15.5">
      <c r="A1570" s="1190">
        <v>-34.299999999999997</v>
      </c>
      <c r="B1570" s="1191">
        <v>0.59209999999999996</v>
      </c>
    </row>
    <row r="1571" spans="1:2" ht="15.5">
      <c r="A1571" s="1190">
        <v>-34.200000000000003</v>
      </c>
      <c r="B1571" s="1191">
        <v>0.59189999999999998</v>
      </c>
    </row>
    <row r="1572" spans="1:2" ht="15.5">
      <c r="A1572" s="1190">
        <v>-34.1</v>
      </c>
      <c r="B1572" s="1191">
        <v>0.59179999999999999</v>
      </c>
    </row>
    <row r="1573" spans="1:2" ht="15.5">
      <c r="A1573" s="1190">
        <v>-34</v>
      </c>
      <c r="B1573" s="1191">
        <v>0.5917</v>
      </c>
    </row>
    <row r="1574" spans="1:2" ht="15.5">
      <c r="A1574" s="1190">
        <v>-33.9</v>
      </c>
      <c r="B1574" s="1191">
        <v>0.59160000000000001</v>
      </c>
    </row>
    <row r="1575" spans="1:2" ht="15.5">
      <c r="A1575" s="1190">
        <v>-33.799999999999997</v>
      </c>
      <c r="B1575" s="1191">
        <v>0.59140000000000004</v>
      </c>
    </row>
    <row r="1576" spans="1:2" ht="15.5">
      <c r="A1576" s="1190">
        <v>-33.700000000000003</v>
      </c>
      <c r="B1576" s="1191">
        <v>0.59130000000000005</v>
      </c>
    </row>
    <row r="1577" spans="1:2" ht="15.5">
      <c r="A1577" s="1190">
        <v>-33.6</v>
      </c>
      <c r="B1577" s="1191">
        <v>0.59109999999999996</v>
      </c>
    </row>
    <row r="1578" spans="1:2" ht="15.5">
      <c r="A1578" s="1190">
        <v>-33.5</v>
      </c>
      <c r="B1578" s="1191">
        <v>0.59099999999999997</v>
      </c>
    </row>
    <row r="1579" spans="1:2" ht="15.5">
      <c r="A1579" s="1190">
        <v>-33.4</v>
      </c>
      <c r="B1579" s="1191">
        <v>0.59089999999999998</v>
      </c>
    </row>
    <row r="1580" spans="1:2" ht="15.5">
      <c r="A1580" s="1190">
        <v>-33.299999999999997</v>
      </c>
      <c r="B1580" s="1191">
        <v>0.59079999999999999</v>
      </c>
    </row>
    <row r="1581" spans="1:2" ht="15.5">
      <c r="A1581" s="1190">
        <v>-33.200000000000003</v>
      </c>
      <c r="B1581" s="1191">
        <v>0.59060000000000001</v>
      </c>
    </row>
    <row r="1582" spans="1:2" ht="15.5">
      <c r="A1582" s="1190">
        <v>-33.1</v>
      </c>
      <c r="B1582" s="1191">
        <v>0.59050000000000002</v>
      </c>
    </row>
    <row r="1583" spans="1:2" ht="15.5">
      <c r="A1583" s="1190">
        <v>-33</v>
      </c>
      <c r="B1583" s="1191">
        <v>0.59040000000000004</v>
      </c>
    </row>
    <row r="1584" spans="1:2" ht="15.5">
      <c r="A1584" s="1190">
        <v>-32.9</v>
      </c>
      <c r="B1584" s="1191">
        <v>0.59030000000000005</v>
      </c>
    </row>
    <row r="1585" spans="1:2" ht="15.5">
      <c r="A1585" s="1190">
        <v>-32.799999999999997</v>
      </c>
      <c r="B1585" s="1191">
        <v>0.59009999999999996</v>
      </c>
    </row>
    <row r="1586" spans="1:2" ht="15.5">
      <c r="A1586" s="1190">
        <v>-32.700000000000003</v>
      </c>
      <c r="B1586" s="1191">
        <v>0.59</v>
      </c>
    </row>
    <row r="1587" spans="1:2" ht="15.5">
      <c r="A1587" s="1190">
        <v>-32.6</v>
      </c>
      <c r="B1587" s="1191">
        <v>0.58979999999999999</v>
      </c>
    </row>
    <row r="1588" spans="1:2" ht="15.5">
      <c r="A1588" s="1190">
        <v>-32.5</v>
      </c>
      <c r="B1588" s="1191">
        <v>0.5897</v>
      </c>
    </row>
    <row r="1589" spans="1:2" ht="15.5">
      <c r="A1589" s="1190">
        <v>-32.4</v>
      </c>
      <c r="B1589" s="1191">
        <v>0.58960000000000001</v>
      </c>
    </row>
    <row r="1590" spans="1:2" ht="15.5">
      <c r="A1590" s="1190">
        <v>-32.299999999999997</v>
      </c>
      <c r="B1590" s="1191">
        <v>0.58950000000000002</v>
      </c>
    </row>
    <row r="1591" spans="1:2" ht="15.5">
      <c r="A1591" s="1190">
        <v>-32.200000000000003</v>
      </c>
      <c r="B1591" s="1191">
        <v>0.58930000000000005</v>
      </c>
    </row>
    <row r="1592" spans="1:2" ht="15.5">
      <c r="A1592" s="1190">
        <v>-32.1</v>
      </c>
      <c r="B1592" s="1191">
        <v>0.58919999999999995</v>
      </c>
    </row>
    <row r="1593" spans="1:2" ht="15.5">
      <c r="A1593" s="1190">
        <v>-32</v>
      </c>
      <c r="B1593" s="1191">
        <v>0.58909999999999996</v>
      </c>
    </row>
    <row r="1594" spans="1:2" ht="15.5">
      <c r="A1594" s="1190">
        <v>-31.9</v>
      </c>
      <c r="B1594" s="1191">
        <v>0.58899999999999997</v>
      </c>
    </row>
    <row r="1595" spans="1:2" ht="15.5">
      <c r="A1595" s="1190">
        <v>-31.8</v>
      </c>
      <c r="B1595" s="1191">
        <v>0.58879999999999999</v>
      </c>
    </row>
    <row r="1596" spans="1:2" ht="15.5">
      <c r="A1596" s="1190">
        <v>-31.7</v>
      </c>
      <c r="B1596" s="1191">
        <v>0.5887</v>
      </c>
    </row>
    <row r="1597" spans="1:2" ht="15.5">
      <c r="A1597" s="1190">
        <v>-31.6</v>
      </c>
      <c r="B1597" s="1191">
        <v>0.58850000000000002</v>
      </c>
    </row>
    <row r="1598" spans="1:2" ht="15.5">
      <c r="A1598" s="1190">
        <v>-31.5</v>
      </c>
      <c r="B1598" s="1191">
        <v>0.58840000000000003</v>
      </c>
    </row>
    <row r="1599" spans="1:2" ht="15.5">
      <c r="A1599" s="1190">
        <v>-31.4</v>
      </c>
      <c r="B1599" s="1191">
        <v>0.58830000000000005</v>
      </c>
    </row>
    <row r="1600" spans="1:2" ht="15.5">
      <c r="A1600" s="1190">
        <v>-31.3</v>
      </c>
      <c r="B1600" s="1191">
        <v>0.58819999999999995</v>
      </c>
    </row>
    <row r="1601" spans="1:2" ht="15.5">
      <c r="A1601" s="1190">
        <v>-31.2</v>
      </c>
      <c r="B1601" s="1191">
        <v>0.58799999999999997</v>
      </c>
    </row>
    <row r="1602" spans="1:2" ht="15.5">
      <c r="A1602" s="1190">
        <v>-31.1</v>
      </c>
      <c r="B1602" s="1191">
        <v>0.58789999999999998</v>
      </c>
    </row>
    <row r="1603" spans="1:2" ht="15.5">
      <c r="A1603" s="1190">
        <v>-31</v>
      </c>
      <c r="B1603" s="1191">
        <v>0.58779999999999999</v>
      </c>
    </row>
    <row r="1604" spans="1:2" ht="15.5">
      <c r="A1604" s="1190">
        <v>-30.9</v>
      </c>
      <c r="B1604" s="1191">
        <v>0.5877</v>
      </c>
    </row>
    <row r="1605" spans="1:2" ht="15.5">
      <c r="A1605" s="1190">
        <v>-30.8</v>
      </c>
      <c r="B1605" s="1191">
        <v>0.58750000000000002</v>
      </c>
    </row>
    <row r="1606" spans="1:2" ht="15.5">
      <c r="A1606" s="1190">
        <v>-30.7</v>
      </c>
      <c r="B1606" s="1191">
        <v>0.58740000000000003</v>
      </c>
    </row>
    <row r="1607" spans="1:2" ht="15.5">
      <c r="A1607" s="1190">
        <v>-30.6</v>
      </c>
      <c r="B1607" s="1191">
        <v>0.58720000000000006</v>
      </c>
    </row>
    <row r="1608" spans="1:2" ht="15.5">
      <c r="A1608" s="1190">
        <v>-30.5</v>
      </c>
      <c r="B1608" s="1191">
        <v>0.58709999999999996</v>
      </c>
    </row>
    <row r="1609" spans="1:2" ht="15.5">
      <c r="A1609" s="1190">
        <v>-30.4</v>
      </c>
      <c r="B1609" s="1191">
        <v>0.58699999999999997</v>
      </c>
    </row>
    <row r="1610" spans="1:2" ht="15.5">
      <c r="A1610" s="1190">
        <v>-30.3</v>
      </c>
      <c r="B1610" s="1191">
        <v>0.58689999999999998</v>
      </c>
    </row>
    <row r="1611" spans="1:2" ht="15.5">
      <c r="A1611" s="1190">
        <v>-30.2</v>
      </c>
      <c r="B1611" s="1191">
        <v>0.5867</v>
      </c>
    </row>
    <row r="1612" spans="1:2" ht="15.5">
      <c r="A1612" s="1190">
        <v>-30.1</v>
      </c>
      <c r="B1612" s="1191">
        <v>0.58660000000000001</v>
      </c>
    </row>
    <row r="1613" spans="1:2" ht="15.5">
      <c r="A1613" s="1190">
        <v>-30</v>
      </c>
      <c r="B1613" s="1191">
        <v>0.58650000000000002</v>
      </c>
    </row>
    <row r="1614" spans="1:2" ht="15.5">
      <c r="A1614" s="1190">
        <v>-29.9</v>
      </c>
      <c r="B1614" s="1191">
        <v>0.58640000000000003</v>
      </c>
    </row>
    <row r="1615" spans="1:2" ht="15.5">
      <c r="A1615" s="1190">
        <v>-29.8</v>
      </c>
      <c r="B1615" s="1191">
        <v>0.58620000000000005</v>
      </c>
    </row>
    <row r="1616" spans="1:2" ht="15.5">
      <c r="A1616" s="1190">
        <v>-29.7</v>
      </c>
      <c r="B1616" s="1191">
        <v>0.58609999999999995</v>
      </c>
    </row>
    <row r="1617" spans="1:2" ht="15.5">
      <c r="A1617" s="1190">
        <v>-29.6</v>
      </c>
      <c r="B1617" s="1191">
        <v>0.58589999999999998</v>
      </c>
    </row>
    <row r="1618" spans="1:2" ht="15.5">
      <c r="A1618" s="1190">
        <v>-29.5</v>
      </c>
      <c r="B1618" s="1191">
        <v>0.58579999999999999</v>
      </c>
    </row>
    <row r="1619" spans="1:2" ht="15.5">
      <c r="A1619" s="1190">
        <v>-29.4</v>
      </c>
      <c r="B1619" s="1191">
        <v>0.5857</v>
      </c>
    </row>
    <row r="1620" spans="1:2" ht="15.5">
      <c r="A1620" s="1190">
        <v>-29.3</v>
      </c>
      <c r="B1620" s="1191">
        <v>0.58550000000000002</v>
      </c>
    </row>
    <row r="1621" spans="1:2" ht="15.5">
      <c r="A1621" s="1190">
        <v>-29.2</v>
      </c>
      <c r="B1621" s="1191">
        <v>0.58540000000000003</v>
      </c>
    </row>
    <row r="1622" spans="1:2" ht="15.5">
      <c r="A1622" s="1190">
        <v>-29.1</v>
      </c>
      <c r="B1622" s="1191">
        <v>0.58520000000000005</v>
      </c>
    </row>
    <row r="1623" spans="1:2" ht="15.5">
      <c r="A1623" s="1190">
        <v>-29</v>
      </c>
      <c r="B1623" s="1191">
        <v>0.58509999999999995</v>
      </c>
    </row>
    <row r="1624" spans="1:2" ht="15.5">
      <c r="A1624" s="1190">
        <v>-28.9</v>
      </c>
      <c r="B1624" s="1191">
        <v>0.58499999999999996</v>
      </c>
    </row>
    <row r="1625" spans="1:2" ht="15.5">
      <c r="A1625" s="1190">
        <v>-28.8</v>
      </c>
      <c r="B1625" s="1191">
        <v>0.58489999999999998</v>
      </c>
    </row>
    <row r="1626" spans="1:2" ht="15.5">
      <c r="A1626" s="1190">
        <v>-28.7</v>
      </c>
      <c r="B1626" s="1191">
        <v>0.5847</v>
      </c>
    </row>
    <row r="1627" spans="1:2" ht="15.5">
      <c r="A1627" s="1190">
        <v>-28.6</v>
      </c>
      <c r="B1627" s="1191">
        <v>0.58460000000000001</v>
      </c>
    </row>
    <row r="1628" spans="1:2" ht="15.5">
      <c r="A1628" s="1190">
        <v>-28.5</v>
      </c>
      <c r="B1628" s="1191">
        <v>0.58450000000000002</v>
      </c>
    </row>
    <row r="1629" spans="1:2" ht="15.5">
      <c r="A1629" s="1190">
        <v>-28.4</v>
      </c>
      <c r="B1629" s="1191">
        <v>0.58440000000000003</v>
      </c>
    </row>
    <row r="1630" spans="1:2" ht="15.5">
      <c r="A1630" s="1190">
        <v>-28.3</v>
      </c>
      <c r="B1630" s="1191">
        <v>0.58420000000000005</v>
      </c>
    </row>
    <row r="1631" spans="1:2" ht="15.5">
      <c r="A1631" s="1190">
        <v>-28.2</v>
      </c>
      <c r="B1631" s="1191">
        <v>0.58409999999999995</v>
      </c>
    </row>
    <row r="1632" spans="1:2" ht="15.5">
      <c r="A1632" s="1190">
        <v>-28.1</v>
      </c>
      <c r="B1632" s="1191">
        <v>0.58389999999999997</v>
      </c>
    </row>
    <row r="1633" spans="1:2" ht="15.5">
      <c r="A1633" s="1190">
        <v>-28</v>
      </c>
      <c r="B1633" s="1191">
        <v>0.58379999999999999</v>
      </c>
    </row>
    <row r="1634" spans="1:2" ht="15.5">
      <c r="A1634" s="1190">
        <v>-27.9</v>
      </c>
      <c r="B1634" s="1191">
        <v>0.5837</v>
      </c>
    </row>
    <row r="1635" spans="1:2" ht="15.5">
      <c r="A1635" s="1190">
        <v>-27.8</v>
      </c>
      <c r="B1635" s="1191">
        <v>0.58360000000000001</v>
      </c>
    </row>
    <row r="1636" spans="1:2" ht="15.5">
      <c r="A1636" s="1190">
        <v>-27.7</v>
      </c>
      <c r="B1636" s="1191">
        <v>0.58340000000000003</v>
      </c>
    </row>
    <row r="1637" spans="1:2" ht="15.5">
      <c r="A1637" s="1190">
        <v>-27.6</v>
      </c>
      <c r="B1637" s="1191">
        <v>0.58330000000000004</v>
      </c>
    </row>
    <row r="1638" spans="1:2" ht="15.5">
      <c r="A1638" s="1190">
        <v>-27.5</v>
      </c>
      <c r="B1638" s="1191">
        <v>0.58320000000000005</v>
      </c>
    </row>
    <row r="1639" spans="1:2" ht="15.5">
      <c r="A1639" s="1190">
        <v>-27.4</v>
      </c>
      <c r="B1639" s="1191">
        <v>0.58309999999999995</v>
      </c>
    </row>
    <row r="1640" spans="1:2" ht="15.5">
      <c r="A1640" s="1190">
        <v>-27.3</v>
      </c>
      <c r="B1640" s="1191">
        <v>0.58289999999999997</v>
      </c>
    </row>
    <row r="1641" spans="1:2" ht="15.5">
      <c r="A1641" s="1190">
        <v>-27.2</v>
      </c>
      <c r="B1641" s="1191">
        <v>0.58279999999999998</v>
      </c>
    </row>
    <row r="1642" spans="1:2" ht="15.5">
      <c r="A1642" s="1190">
        <v>-27.1</v>
      </c>
      <c r="B1642" s="1191">
        <v>0.58260000000000001</v>
      </c>
    </row>
    <row r="1643" spans="1:2" ht="15.5">
      <c r="A1643" s="1190">
        <v>-27</v>
      </c>
      <c r="B1643" s="1191">
        <v>0.58250000000000002</v>
      </c>
    </row>
    <row r="1644" spans="1:2" ht="15.5">
      <c r="A1644" s="1190">
        <v>-26.9</v>
      </c>
      <c r="B1644" s="1191">
        <v>0.58240000000000003</v>
      </c>
    </row>
    <row r="1645" spans="1:2" ht="15.5">
      <c r="A1645" s="1190">
        <v>-26.8</v>
      </c>
      <c r="B1645" s="1191">
        <v>0.58220000000000005</v>
      </c>
    </row>
    <row r="1646" spans="1:2" ht="15.5">
      <c r="A1646" s="1190">
        <v>-26.7</v>
      </c>
      <c r="B1646" s="1191">
        <v>0.58209999999999995</v>
      </c>
    </row>
    <row r="1647" spans="1:2" ht="15.5">
      <c r="A1647" s="1190">
        <v>-26.6</v>
      </c>
      <c r="B1647" s="1191">
        <v>0.58189999999999997</v>
      </c>
    </row>
    <row r="1648" spans="1:2" ht="15.5">
      <c r="A1648" s="1190">
        <v>-26.5</v>
      </c>
      <c r="B1648" s="1191">
        <v>0.58179999999999998</v>
      </c>
    </row>
    <row r="1649" spans="1:2" ht="15.5">
      <c r="A1649" s="1190">
        <v>-26.4</v>
      </c>
      <c r="B1649" s="1191">
        <v>0.58169999999999999</v>
      </c>
    </row>
    <row r="1650" spans="1:2" ht="15.5">
      <c r="A1650" s="1190">
        <v>-26.3</v>
      </c>
      <c r="B1650" s="1191">
        <v>0.58160000000000001</v>
      </c>
    </row>
    <row r="1651" spans="1:2" ht="15.5">
      <c r="A1651" s="1190">
        <v>-26.2</v>
      </c>
      <c r="B1651" s="1191">
        <v>0.58140000000000003</v>
      </c>
    </row>
    <row r="1652" spans="1:2" ht="15.5">
      <c r="A1652" s="1190">
        <v>-26.1</v>
      </c>
      <c r="B1652" s="1191">
        <v>0.58130000000000004</v>
      </c>
    </row>
    <row r="1653" spans="1:2" ht="15.5">
      <c r="A1653" s="1190">
        <v>-26</v>
      </c>
      <c r="B1653" s="1191">
        <v>0.58120000000000005</v>
      </c>
    </row>
    <row r="1654" spans="1:2" ht="15.5">
      <c r="A1654" s="1190">
        <v>-25.9</v>
      </c>
      <c r="B1654" s="1191">
        <v>0.58109999999999995</v>
      </c>
    </row>
    <row r="1655" spans="1:2" ht="15.5">
      <c r="A1655" s="1190">
        <v>-25.8</v>
      </c>
      <c r="B1655" s="1191">
        <v>0.58089999999999997</v>
      </c>
    </row>
    <row r="1656" spans="1:2" ht="15.5">
      <c r="A1656" s="1190">
        <v>-25.7</v>
      </c>
      <c r="B1656" s="1191">
        <v>0.58079999999999998</v>
      </c>
    </row>
    <row r="1657" spans="1:2" ht="15.5">
      <c r="A1657" s="1190">
        <v>-25.6</v>
      </c>
      <c r="B1657" s="1191">
        <v>0.5806</v>
      </c>
    </row>
    <row r="1658" spans="1:2" ht="15.5">
      <c r="A1658" s="1190">
        <v>-25.5</v>
      </c>
      <c r="B1658" s="1191">
        <v>0.58050000000000002</v>
      </c>
    </row>
    <row r="1659" spans="1:2" ht="15.5">
      <c r="A1659" s="1190">
        <v>-25.4</v>
      </c>
      <c r="B1659" s="1191">
        <v>0.58040000000000003</v>
      </c>
    </row>
    <row r="1660" spans="1:2" ht="15.5">
      <c r="A1660" s="1190">
        <v>-25.3</v>
      </c>
      <c r="B1660" s="1191">
        <v>0.58020000000000005</v>
      </c>
    </row>
    <row r="1661" spans="1:2" ht="15.5">
      <c r="A1661" s="1190">
        <v>-25.2</v>
      </c>
      <c r="B1661" s="1191">
        <v>0.58009999999999995</v>
      </c>
    </row>
    <row r="1662" spans="1:2" ht="15.5">
      <c r="A1662" s="1190">
        <v>-25.1</v>
      </c>
      <c r="B1662" s="1191">
        <v>0.57989999999999997</v>
      </c>
    </row>
    <row r="1663" spans="1:2" ht="15.5">
      <c r="A1663" s="1190">
        <v>-25</v>
      </c>
      <c r="B1663" s="1191">
        <v>0.57979999999999998</v>
      </c>
    </row>
    <row r="1664" spans="1:2" ht="15.5">
      <c r="A1664" s="1190">
        <v>-24.9</v>
      </c>
      <c r="B1664" s="1191">
        <v>0.57969999999999999</v>
      </c>
    </row>
    <row r="1665" spans="1:2" ht="15.5">
      <c r="A1665" s="1190">
        <v>-24.8</v>
      </c>
      <c r="B1665" s="1191">
        <v>0.5796</v>
      </c>
    </row>
    <row r="1666" spans="1:2" ht="15.5">
      <c r="A1666" s="1190">
        <v>-24.7</v>
      </c>
      <c r="B1666" s="1191">
        <v>0.57940000000000003</v>
      </c>
    </row>
    <row r="1667" spans="1:2" ht="15.5">
      <c r="A1667" s="1190">
        <v>-24.6</v>
      </c>
      <c r="B1667" s="1191">
        <v>0.57930000000000004</v>
      </c>
    </row>
    <row r="1668" spans="1:2" ht="15.5">
      <c r="A1668" s="1190">
        <v>-24.5</v>
      </c>
      <c r="B1668" s="1191">
        <v>0.57920000000000005</v>
      </c>
    </row>
    <row r="1669" spans="1:2" ht="15.5">
      <c r="A1669" s="1190">
        <v>-24.4</v>
      </c>
      <c r="B1669" s="1191">
        <v>0.57909999999999995</v>
      </c>
    </row>
    <row r="1670" spans="1:2" ht="15.5">
      <c r="A1670" s="1190">
        <v>-24.3</v>
      </c>
      <c r="B1670" s="1191">
        <v>0.57889999999999997</v>
      </c>
    </row>
    <row r="1671" spans="1:2" ht="15.5">
      <c r="A1671" s="1190">
        <v>-24.2</v>
      </c>
      <c r="B1671" s="1191">
        <v>0.57879999999999998</v>
      </c>
    </row>
    <row r="1672" spans="1:2" ht="15.5">
      <c r="A1672" s="1190">
        <v>-24.1</v>
      </c>
      <c r="B1672" s="1191">
        <v>0.5786</v>
      </c>
    </row>
    <row r="1673" spans="1:2" ht="15.5">
      <c r="A1673" s="1190">
        <v>-24</v>
      </c>
      <c r="B1673" s="1191">
        <v>0.57850000000000001</v>
      </c>
    </row>
    <row r="1674" spans="1:2" ht="15.5">
      <c r="A1674" s="1190">
        <v>-23.9</v>
      </c>
      <c r="B1674" s="1191">
        <v>0.57840000000000003</v>
      </c>
    </row>
    <row r="1675" spans="1:2" ht="15.5">
      <c r="A1675" s="1190">
        <v>-23.8</v>
      </c>
      <c r="B1675" s="1191">
        <v>0.57820000000000005</v>
      </c>
    </row>
    <row r="1676" spans="1:2" ht="15.5">
      <c r="A1676" s="1190">
        <v>-23.7</v>
      </c>
      <c r="B1676" s="1191">
        <v>0.57809999999999995</v>
      </c>
    </row>
    <row r="1677" spans="1:2" ht="15.5">
      <c r="A1677" s="1190">
        <v>-23.6</v>
      </c>
      <c r="B1677" s="1191">
        <v>0.57789999999999997</v>
      </c>
    </row>
    <row r="1678" spans="1:2" ht="15.5">
      <c r="A1678" s="1190">
        <v>-23.5</v>
      </c>
      <c r="B1678" s="1191">
        <v>0.57779999999999998</v>
      </c>
    </row>
    <row r="1679" spans="1:2" ht="15.5">
      <c r="A1679" s="1190">
        <v>-23.4</v>
      </c>
      <c r="B1679" s="1191">
        <v>0.57769999999999999</v>
      </c>
    </row>
    <row r="1680" spans="1:2" ht="15.5">
      <c r="A1680" s="1190">
        <v>-23.3</v>
      </c>
      <c r="B1680" s="1191">
        <v>0.5776</v>
      </c>
    </row>
    <row r="1681" spans="1:2" ht="15.5">
      <c r="A1681" s="1190">
        <v>-23.2</v>
      </c>
      <c r="B1681" s="1191">
        <v>0.57740000000000002</v>
      </c>
    </row>
    <row r="1682" spans="1:2" ht="15.5">
      <c r="A1682" s="1190">
        <v>-23.1</v>
      </c>
      <c r="B1682" s="1191">
        <v>0.57730000000000004</v>
      </c>
    </row>
    <row r="1683" spans="1:2" ht="15.5">
      <c r="A1683" s="1190">
        <v>-23</v>
      </c>
      <c r="B1683" s="1191">
        <v>0.57720000000000005</v>
      </c>
    </row>
    <row r="1684" spans="1:2" ht="15.5">
      <c r="A1684" s="1190">
        <v>-22.9</v>
      </c>
      <c r="B1684" s="1191">
        <v>0.57709999999999995</v>
      </c>
    </row>
    <row r="1685" spans="1:2" ht="15.5">
      <c r="A1685" s="1190">
        <v>-22.8</v>
      </c>
      <c r="B1685" s="1191">
        <v>0.57689999999999997</v>
      </c>
    </row>
    <row r="1686" spans="1:2" ht="15.5">
      <c r="A1686" s="1190">
        <v>-22.7</v>
      </c>
      <c r="B1686" s="1191">
        <v>0.57679999999999998</v>
      </c>
    </row>
    <row r="1687" spans="1:2" ht="15.5">
      <c r="A1687" s="1190">
        <v>-22.6</v>
      </c>
      <c r="B1687" s="1191">
        <v>0.5766</v>
      </c>
    </row>
    <row r="1688" spans="1:2" ht="15.5">
      <c r="A1688" s="1190">
        <v>-22.5</v>
      </c>
      <c r="B1688" s="1191">
        <v>0.57650000000000001</v>
      </c>
    </row>
    <row r="1689" spans="1:2" ht="15.5">
      <c r="A1689" s="1190">
        <v>-22.4</v>
      </c>
      <c r="B1689" s="1191">
        <v>0.57640000000000002</v>
      </c>
    </row>
    <row r="1690" spans="1:2" ht="15.5">
      <c r="A1690" s="1190">
        <v>-22.3</v>
      </c>
      <c r="B1690" s="1191">
        <v>0.57620000000000005</v>
      </c>
    </row>
    <row r="1691" spans="1:2" ht="15.5">
      <c r="A1691" s="1190">
        <v>-22.2</v>
      </c>
      <c r="B1691" s="1191">
        <v>0.57609999999999995</v>
      </c>
    </row>
    <row r="1692" spans="1:2" ht="15.5">
      <c r="A1692" s="1190">
        <v>-22.1</v>
      </c>
      <c r="B1692" s="1191">
        <v>0.57589999999999997</v>
      </c>
    </row>
    <row r="1693" spans="1:2" ht="15.5">
      <c r="A1693" s="1190">
        <v>-22</v>
      </c>
      <c r="B1693" s="1191">
        <v>0.57579999999999998</v>
      </c>
    </row>
    <row r="1694" spans="1:2" ht="15.5">
      <c r="A1694" s="1190">
        <v>-21.9</v>
      </c>
      <c r="B1694" s="1191">
        <v>0.57569999999999999</v>
      </c>
    </row>
    <row r="1695" spans="1:2" ht="15.5">
      <c r="A1695" s="1190">
        <v>-21.8</v>
      </c>
      <c r="B1695" s="1191">
        <v>0.57550000000000001</v>
      </c>
    </row>
    <row r="1696" spans="1:2" ht="15.5">
      <c r="A1696" s="1190">
        <v>-21.7</v>
      </c>
      <c r="B1696" s="1191">
        <v>0.57540000000000002</v>
      </c>
    </row>
    <row r="1697" spans="1:2" ht="15.5">
      <c r="A1697" s="1190">
        <v>-21.6</v>
      </c>
      <c r="B1697" s="1191">
        <v>0.57520000000000004</v>
      </c>
    </row>
    <row r="1698" spans="1:2" ht="15.5">
      <c r="A1698" s="1190">
        <v>-21.5</v>
      </c>
      <c r="B1698" s="1191">
        <v>0.57509999999999994</v>
      </c>
    </row>
    <row r="1699" spans="1:2" ht="15.5">
      <c r="A1699" s="1190">
        <v>-21.4</v>
      </c>
      <c r="B1699" s="1191">
        <v>0.57499999999999996</v>
      </c>
    </row>
    <row r="1700" spans="1:2" ht="15.5">
      <c r="A1700" s="1190">
        <v>-21.3</v>
      </c>
      <c r="B1700" s="1191">
        <v>0.57489999999999997</v>
      </c>
    </row>
    <row r="1701" spans="1:2" ht="15.5">
      <c r="A1701" s="1190">
        <v>-21.2</v>
      </c>
      <c r="B1701" s="1191">
        <v>0.57469999999999999</v>
      </c>
    </row>
    <row r="1702" spans="1:2" ht="15.5">
      <c r="A1702" s="1190">
        <v>-21.1</v>
      </c>
      <c r="B1702" s="1191">
        <v>0.5746</v>
      </c>
    </row>
    <row r="1703" spans="1:2" ht="15.5">
      <c r="A1703" s="1190">
        <v>-21</v>
      </c>
      <c r="B1703" s="1191">
        <v>0.57450000000000001</v>
      </c>
    </row>
    <row r="1704" spans="1:2" ht="15.5">
      <c r="A1704" s="1190">
        <v>-20.9</v>
      </c>
      <c r="B1704" s="1191">
        <v>0.57440000000000002</v>
      </c>
    </row>
    <row r="1705" spans="1:2" ht="15.5">
      <c r="A1705" s="1190">
        <v>-20.8</v>
      </c>
      <c r="B1705" s="1191">
        <v>0.57420000000000004</v>
      </c>
    </row>
    <row r="1706" spans="1:2" ht="15.5">
      <c r="A1706" s="1190">
        <v>-20.7</v>
      </c>
      <c r="B1706" s="1191">
        <v>0.57410000000000005</v>
      </c>
    </row>
    <row r="1707" spans="1:2" ht="15.5">
      <c r="A1707" s="1190">
        <v>-20.6</v>
      </c>
      <c r="B1707" s="1191">
        <v>0.57389999999999997</v>
      </c>
    </row>
    <row r="1708" spans="1:2" ht="15.5">
      <c r="A1708" s="1190">
        <v>-20.5</v>
      </c>
      <c r="B1708" s="1191">
        <v>0.57379999999999998</v>
      </c>
    </row>
    <row r="1709" spans="1:2" ht="15.5">
      <c r="A1709" s="1190">
        <v>-20.399999999999999</v>
      </c>
      <c r="B1709" s="1191">
        <v>0.57369999999999999</v>
      </c>
    </row>
    <row r="1710" spans="1:2" ht="15.5">
      <c r="A1710" s="1190">
        <v>-20.3</v>
      </c>
      <c r="B1710" s="1191">
        <v>0.57350000000000001</v>
      </c>
    </row>
    <row r="1711" spans="1:2" ht="15.5">
      <c r="A1711" s="1190">
        <v>-20.2</v>
      </c>
      <c r="B1711" s="1191">
        <v>0.57340000000000002</v>
      </c>
    </row>
    <row r="1712" spans="1:2" ht="15.5">
      <c r="A1712" s="1190">
        <v>-20.100000000000001</v>
      </c>
      <c r="B1712" s="1191">
        <v>0.57320000000000004</v>
      </c>
    </row>
    <row r="1713" spans="1:2" ht="15.5">
      <c r="A1713" s="1190">
        <v>-20</v>
      </c>
      <c r="B1713" s="1191">
        <v>0.57310000000000005</v>
      </c>
    </row>
    <row r="1714" spans="1:2" ht="15.5">
      <c r="A1714" s="1190">
        <v>-19.899999999999999</v>
      </c>
      <c r="B1714" s="1191">
        <v>0.57299999999999995</v>
      </c>
    </row>
    <row r="1715" spans="1:2" ht="15.5">
      <c r="A1715" s="1190">
        <v>-19.8</v>
      </c>
      <c r="B1715" s="1191">
        <v>0.57279999999999998</v>
      </c>
    </row>
    <row r="1716" spans="1:2" ht="15.5">
      <c r="A1716" s="1190">
        <v>-19.7</v>
      </c>
      <c r="B1716" s="1191">
        <v>0.57269999999999999</v>
      </c>
    </row>
    <row r="1717" spans="1:2" ht="15.5">
      <c r="A1717" s="1190">
        <v>-19.600000000000001</v>
      </c>
      <c r="B1717" s="1191">
        <v>0.57250000000000001</v>
      </c>
    </row>
    <row r="1718" spans="1:2" ht="15.5">
      <c r="A1718" s="1190">
        <v>-19.5</v>
      </c>
      <c r="B1718" s="1191">
        <v>0.57240000000000002</v>
      </c>
    </row>
    <row r="1719" spans="1:2" ht="15.5">
      <c r="A1719" s="1190">
        <v>-19.399999999999999</v>
      </c>
      <c r="B1719" s="1191">
        <v>0.57230000000000003</v>
      </c>
    </row>
    <row r="1720" spans="1:2" ht="15.5">
      <c r="A1720" s="1190">
        <v>-19.3</v>
      </c>
      <c r="B1720" s="1191">
        <v>0.57210000000000005</v>
      </c>
    </row>
    <row r="1721" spans="1:2" ht="15.5">
      <c r="A1721" s="1190">
        <v>-19.2</v>
      </c>
      <c r="B1721" s="1191">
        <v>0.57199999999999995</v>
      </c>
    </row>
    <row r="1722" spans="1:2" ht="15.5">
      <c r="A1722" s="1190">
        <v>-19.100000000000001</v>
      </c>
      <c r="B1722" s="1191">
        <v>0.57179999999999997</v>
      </c>
    </row>
    <row r="1723" spans="1:2" ht="15.5">
      <c r="A1723" s="1190">
        <v>-19</v>
      </c>
      <c r="B1723" s="1191">
        <v>0.57169999999999999</v>
      </c>
    </row>
    <row r="1724" spans="1:2" ht="15.5">
      <c r="A1724" s="1190">
        <v>-18.899999999999999</v>
      </c>
      <c r="B1724" s="1191">
        <v>0.5716</v>
      </c>
    </row>
    <row r="1725" spans="1:2" ht="15.5">
      <c r="A1725" s="1190">
        <v>-18.8</v>
      </c>
      <c r="B1725" s="1191">
        <v>0.57150000000000001</v>
      </c>
    </row>
    <row r="1726" spans="1:2" ht="15.5">
      <c r="A1726" s="1190">
        <v>-18.7</v>
      </c>
      <c r="B1726" s="1191">
        <v>0.57130000000000003</v>
      </c>
    </row>
    <row r="1727" spans="1:2" ht="15.5">
      <c r="A1727" s="1190">
        <v>-18.600000000000001</v>
      </c>
      <c r="B1727" s="1191">
        <v>0.57120000000000004</v>
      </c>
    </row>
    <row r="1728" spans="1:2" ht="15.5">
      <c r="A1728" s="1190">
        <v>-18.5</v>
      </c>
      <c r="B1728" s="1191">
        <v>0.57110000000000005</v>
      </c>
    </row>
    <row r="1729" spans="1:2" ht="15.5">
      <c r="A1729" s="1190">
        <v>-18.399999999999999</v>
      </c>
      <c r="B1729" s="1191">
        <v>0.57099999999999995</v>
      </c>
    </row>
    <row r="1730" spans="1:2" ht="15.5">
      <c r="A1730" s="1190">
        <v>-18.3</v>
      </c>
      <c r="B1730" s="1191">
        <v>0.57079999999999997</v>
      </c>
    </row>
    <row r="1731" spans="1:2" ht="15.5">
      <c r="A1731" s="1190">
        <v>-18.2</v>
      </c>
      <c r="B1731" s="1191">
        <v>0.57069999999999999</v>
      </c>
    </row>
    <row r="1732" spans="1:2" ht="15.5">
      <c r="A1732" s="1190">
        <v>-18.100000000000001</v>
      </c>
      <c r="B1732" s="1191">
        <v>0.57050000000000001</v>
      </c>
    </row>
    <row r="1733" spans="1:2" ht="15.5">
      <c r="A1733" s="1190">
        <v>-18</v>
      </c>
      <c r="B1733" s="1191">
        <v>0.57040000000000002</v>
      </c>
    </row>
    <row r="1734" spans="1:2" ht="15.5">
      <c r="A1734" s="1190">
        <v>-17.899999999999999</v>
      </c>
      <c r="B1734" s="1191">
        <v>0.57030000000000003</v>
      </c>
    </row>
    <row r="1735" spans="1:2" ht="15.5">
      <c r="A1735" s="1190">
        <v>-17.8</v>
      </c>
      <c r="B1735" s="1191">
        <v>0.57010000000000005</v>
      </c>
    </row>
    <row r="1736" spans="1:2" ht="15.5">
      <c r="A1736" s="1190">
        <v>-17.7</v>
      </c>
      <c r="B1736" s="1191">
        <v>0.56999999999999995</v>
      </c>
    </row>
    <row r="1737" spans="1:2" ht="15.5">
      <c r="A1737" s="1190">
        <v>-17.600000000000001</v>
      </c>
      <c r="B1737" s="1191">
        <v>0.56979999999999997</v>
      </c>
    </row>
    <row r="1738" spans="1:2" ht="15.5">
      <c r="A1738" s="1190">
        <v>-17.5</v>
      </c>
      <c r="B1738" s="1191">
        <v>0.56969999999999998</v>
      </c>
    </row>
    <row r="1739" spans="1:2" ht="15.5">
      <c r="A1739" s="1190">
        <v>-17.399999999999999</v>
      </c>
      <c r="B1739" s="1191">
        <v>0.5696</v>
      </c>
    </row>
    <row r="1740" spans="1:2" ht="15.5">
      <c r="A1740" s="1190">
        <v>-17.3</v>
      </c>
      <c r="B1740" s="1191">
        <v>0.56940000000000002</v>
      </c>
    </row>
    <row r="1741" spans="1:2" ht="15.5">
      <c r="A1741" s="1190">
        <v>-17.2</v>
      </c>
      <c r="B1741" s="1191">
        <v>0.56930000000000003</v>
      </c>
    </row>
    <row r="1742" spans="1:2" ht="15.5">
      <c r="A1742" s="1190">
        <v>-17.100000000000001</v>
      </c>
      <c r="B1742" s="1191">
        <v>0.56910000000000005</v>
      </c>
    </row>
    <row r="1743" spans="1:2" ht="15.5">
      <c r="A1743" s="1190">
        <v>-17</v>
      </c>
      <c r="B1743" s="1191">
        <v>0.56899999999999995</v>
      </c>
    </row>
    <row r="1744" spans="1:2" ht="15.5">
      <c r="A1744" s="1190">
        <v>-16.899999999999999</v>
      </c>
      <c r="B1744" s="1191">
        <v>0.56889999999999996</v>
      </c>
    </row>
    <row r="1745" spans="1:2" ht="15.5">
      <c r="A1745" s="1190">
        <v>-16.8</v>
      </c>
      <c r="B1745" s="1191">
        <v>0.56869999999999998</v>
      </c>
    </row>
    <row r="1746" spans="1:2" ht="15.5">
      <c r="A1746" s="1190">
        <v>-16.7</v>
      </c>
      <c r="B1746" s="1191">
        <v>0.56859999999999999</v>
      </c>
    </row>
    <row r="1747" spans="1:2" ht="15.5">
      <c r="A1747" s="1190">
        <v>-16.600000000000001</v>
      </c>
      <c r="B1747" s="1191">
        <v>0.56840000000000002</v>
      </c>
    </row>
    <row r="1748" spans="1:2" ht="15.5">
      <c r="A1748" s="1190">
        <v>-16.5</v>
      </c>
      <c r="B1748" s="1191">
        <v>0.56830000000000003</v>
      </c>
    </row>
    <row r="1749" spans="1:2" ht="15.5">
      <c r="A1749" s="1190">
        <v>-16.399999999999999</v>
      </c>
      <c r="B1749" s="1191">
        <v>0.56820000000000004</v>
      </c>
    </row>
    <row r="1750" spans="1:2" ht="15.5">
      <c r="A1750" s="1190">
        <v>-16.3</v>
      </c>
      <c r="B1750" s="1191">
        <v>0.56799999999999995</v>
      </c>
    </row>
    <row r="1751" spans="1:2" ht="15.5">
      <c r="A1751" s="1190">
        <v>-16.2</v>
      </c>
      <c r="B1751" s="1191">
        <v>0.56789999999999996</v>
      </c>
    </row>
    <row r="1752" spans="1:2" ht="15.5">
      <c r="A1752" s="1190">
        <v>-16.100000000000001</v>
      </c>
      <c r="B1752" s="1191">
        <v>0.56769999999999998</v>
      </c>
    </row>
    <row r="1753" spans="1:2" ht="15.5">
      <c r="A1753" s="1190">
        <v>-16</v>
      </c>
      <c r="B1753" s="1191">
        <v>0.56759999999999999</v>
      </c>
    </row>
    <row r="1754" spans="1:2" ht="15.5">
      <c r="A1754" s="1190">
        <v>-15.9</v>
      </c>
      <c r="B1754" s="1191">
        <v>0.5675</v>
      </c>
    </row>
    <row r="1755" spans="1:2" ht="15.5">
      <c r="A1755" s="1190">
        <v>-15.8</v>
      </c>
      <c r="B1755" s="1191">
        <v>0.56730000000000003</v>
      </c>
    </row>
    <row r="1756" spans="1:2" ht="15.5">
      <c r="A1756" s="1190">
        <v>-15.7</v>
      </c>
      <c r="B1756" s="1191">
        <v>0.56720000000000004</v>
      </c>
    </row>
    <row r="1757" spans="1:2" ht="15.5">
      <c r="A1757" s="1190">
        <v>-15.6</v>
      </c>
      <c r="B1757" s="1191">
        <v>0.56699999999999995</v>
      </c>
    </row>
    <row r="1758" spans="1:2" ht="15.5">
      <c r="A1758" s="1190">
        <v>-15.5</v>
      </c>
      <c r="B1758" s="1191">
        <v>0.56689999999999996</v>
      </c>
    </row>
    <row r="1759" spans="1:2" ht="15.5">
      <c r="A1759" s="1190">
        <v>-15.4</v>
      </c>
      <c r="B1759" s="1191">
        <v>0.56679999999999997</v>
      </c>
    </row>
    <row r="1760" spans="1:2" ht="15.5">
      <c r="A1760" s="1190">
        <v>-15.3</v>
      </c>
      <c r="B1760" s="1191">
        <v>0.56659999999999999</v>
      </c>
    </row>
    <row r="1761" spans="1:2" ht="15.5">
      <c r="A1761" s="1190">
        <v>-15.2</v>
      </c>
      <c r="B1761" s="1191">
        <v>0.5665</v>
      </c>
    </row>
    <row r="1762" spans="1:2" ht="15.5">
      <c r="A1762" s="1190">
        <v>-15.1</v>
      </c>
      <c r="B1762" s="1191">
        <v>0.56630000000000003</v>
      </c>
    </row>
    <row r="1763" spans="1:2" ht="15.5">
      <c r="A1763" s="1190">
        <v>-15</v>
      </c>
      <c r="B1763" s="1191">
        <v>0.56620000000000004</v>
      </c>
    </row>
    <row r="1764" spans="1:2" ht="15.5">
      <c r="A1764" s="1190">
        <v>-14.9</v>
      </c>
      <c r="B1764" s="1191">
        <v>0.56610000000000005</v>
      </c>
    </row>
    <row r="1765" spans="1:2" ht="15.5">
      <c r="A1765" s="1190">
        <v>-14.8</v>
      </c>
      <c r="B1765" s="1191">
        <v>0.56589999999999996</v>
      </c>
    </row>
    <row r="1766" spans="1:2" ht="15.5">
      <c r="A1766" s="1190">
        <v>-14.7</v>
      </c>
      <c r="B1766" s="1191">
        <v>0.56579999999999997</v>
      </c>
    </row>
    <row r="1767" spans="1:2" ht="15.5">
      <c r="A1767" s="1190">
        <v>-14.6</v>
      </c>
      <c r="B1767" s="1191">
        <v>0.56559999999999999</v>
      </c>
    </row>
    <row r="1768" spans="1:2" ht="15.5">
      <c r="A1768" s="1190">
        <v>-14.5</v>
      </c>
      <c r="B1768" s="1191">
        <v>0.5655</v>
      </c>
    </row>
    <row r="1769" spans="1:2" ht="15.5">
      <c r="A1769" s="1190">
        <v>-14.4</v>
      </c>
      <c r="B1769" s="1191">
        <v>0.56540000000000001</v>
      </c>
    </row>
    <row r="1770" spans="1:2" ht="15.5">
      <c r="A1770" s="1190">
        <v>-14.3</v>
      </c>
      <c r="B1770" s="1191">
        <v>0.56520000000000004</v>
      </c>
    </row>
    <row r="1771" spans="1:2" ht="15.5">
      <c r="A1771" s="1190">
        <v>-14.2</v>
      </c>
      <c r="B1771" s="1191">
        <v>0.56510000000000005</v>
      </c>
    </row>
    <row r="1772" spans="1:2" ht="15.5">
      <c r="A1772" s="1190">
        <v>-14.1</v>
      </c>
      <c r="B1772" s="1191">
        <v>0.56489999999999996</v>
      </c>
    </row>
    <row r="1773" spans="1:2" ht="15.5">
      <c r="A1773" s="1190">
        <v>-14</v>
      </c>
      <c r="B1773" s="1191">
        <v>0.56479999999999997</v>
      </c>
    </row>
    <row r="1774" spans="1:2" ht="15.5">
      <c r="A1774" s="1190">
        <v>-13.9</v>
      </c>
      <c r="B1774" s="1191">
        <v>0.56469999999999998</v>
      </c>
    </row>
    <row r="1775" spans="1:2" ht="15.5">
      <c r="A1775" s="1190">
        <v>-13.8</v>
      </c>
      <c r="B1775" s="1191">
        <v>0.5645</v>
      </c>
    </row>
    <row r="1776" spans="1:2" ht="15.5">
      <c r="A1776" s="1190">
        <v>-13.7</v>
      </c>
      <c r="B1776" s="1191">
        <v>0.56440000000000001</v>
      </c>
    </row>
    <row r="1777" spans="1:2" ht="15.5">
      <c r="A1777" s="1190">
        <v>-13.6</v>
      </c>
      <c r="B1777" s="1191">
        <v>0.56420000000000003</v>
      </c>
    </row>
    <row r="1778" spans="1:2" ht="15.5">
      <c r="A1778" s="1190">
        <v>-13.5</v>
      </c>
      <c r="B1778" s="1191">
        <v>0.56410000000000005</v>
      </c>
    </row>
    <row r="1779" spans="1:2" ht="15.5">
      <c r="A1779" s="1190">
        <v>-13.4</v>
      </c>
      <c r="B1779" s="1191">
        <v>0.56399999999999995</v>
      </c>
    </row>
    <row r="1780" spans="1:2" ht="15.5">
      <c r="A1780" s="1190">
        <v>-13.3</v>
      </c>
      <c r="B1780" s="1191">
        <v>0.56379999999999997</v>
      </c>
    </row>
    <row r="1781" spans="1:2" ht="15.5">
      <c r="A1781" s="1190">
        <v>-13.2</v>
      </c>
      <c r="B1781" s="1191">
        <v>0.56369999999999998</v>
      </c>
    </row>
    <row r="1782" spans="1:2" ht="15.5">
      <c r="A1782" s="1190">
        <v>-13.1</v>
      </c>
      <c r="B1782" s="1191">
        <v>0.5635</v>
      </c>
    </row>
    <row r="1783" spans="1:2" ht="15.5">
      <c r="A1783" s="1190">
        <v>-13</v>
      </c>
      <c r="B1783" s="1191">
        <v>0.56340000000000001</v>
      </c>
    </row>
    <row r="1784" spans="1:2" ht="15.5">
      <c r="A1784" s="1190">
        <v>-12.9</v>
      </c>
      <c r="B1784" s="1191">
        <v>0.56330000000000002</v>
      </c>
    </row>
    <row r="1785" spans="1:2" ht="15.5">
      <c r="A1785" s="1190">
        <v>-12.8</v>
      </c>
      <c r="B1785" s="1191">
        <v>0.56310000000000004</v>
      </c>
    </row>
    <row r="1786" spans="1:2" ht="15.5">
      <c r="A1786" s="1190">
        <v>-12.7</v>
      </c>
      <c r="B1786" s="1191">
        <v>0.56299999999999994</v>
      </c>
    </row>
    <row r="1787" spans="1:2" ht="15.5">
      <c r="A1787" s="1190">
        <v>-12.6</v>
      </c>
      <c r="B1787" s="1191">
        <v>0.56279999999999997</v>
      </c>
    </row>
    <row r="1788" spans="1:2" ht="15.5">
      <c r="A1788" s="1190">
        <v>-12.5</v>
      </c>
      <c r="B1788" s="1191">
        <v>0.56269999999999998</v>
      </c>
    </row>
    <row r="1789" spans="1:2" ht="15.5">
      <c r="A1789" s="1190">
        <v>-12.4</v>
      </c>
      <c r="B1789" s="1191">
        <v>0.56259999999999999</v>
      </c>
    </row>
    <row r="1790" spans="1:2" ht="15.5">
      <c r="A1790" s="1190">
        <v>-12.3</v>
      </c>
      <c r="B1790" s="1191">
        <v>0.56240000000000001</v>
      </c>
    </row>
    <row r="1791" spans="1:2" ht="15.5">
      <c r="A1791" s="1190">
        <v>-12.2</v>
      </c>
      <c r="B1791" s="1191">
        <v>0.56230000000000002</v>
      </c>
    </row>
    <row r="1792" spans="1:2" ht="15.5">
      <c r="A1792" s="1190">
        <v>-12.1</v>
      </c>
      <c r="B1792" s="1191">
        <v>0.56210000000000004</v>
      </c>
    </row>
    <row r="1793" spans="1:2" ht="15.5">
      <c r="A1793" s="1190">
        <v>-12</v>
      </c>
      <c r="B1793" s="1191">
        <v>0.56200000000000006</v>
      </c>
    </row>
    <row r="1794" spans="1:2" ht="15.5">
      <c r="A1794" s="1190">
        <v>-11.9</v>
      </c>
      <c r="B1794" s="1191">
        <v>0.56189999999999996</v>
      </c>
    </row>
    <row r="1795" spans="1:2" ht="15.5">
      <c r="A1795" s="1190">
        <v>-11.8</v>
      </c>
      <c r="B1795" s="1191">
        <v>0.56169999999999998</v>
      </c>
    </row>
    <row r="1796" spans="1:2" ht="15.5">
      <c r="A1796" s="1190">
        <v>-11.7</v>
      </c>
      <c r="B1796" s="1191">
        <v>0.56159999999999999</v>
      </c>
    </row>
    <row r="1797" spans="1:2" ht="15.5">
      <c r="A1797" s="1190">
        <v>-11.6</v>
      </c>
      <c r="B1797" s="1191">
        <v>0.56140000000000001</v>
      </c>
    </row>
    <row r="1798" spans="1:2" ht="15.5">
      <c r="A1798" s="1190">
        <v>-11.5</v>
      </c>
      <c r="B1798" s="1191">
        <v>0.56130000000000002</v>
      </c>
    </row>
    <row r="1799" spans="1:2" ht="15.5">
      <c r="A1799" s="1190">
        <v>-11.4</v>
      </c>
      <c r="B1799" s="1191">
        <v>0.56120000000000003</v>
      </c>
    </row>
    <row r="1800" spans="1:2" ht="15.5">
      <c r="A1800" s="1190">
        <v>-11.3</v>
      </c>
      <c r="B1800" s="1191">
        <v>0.56100000000000005</v>
      </c>
    </row>
    <row r="1801" spans="1:2" ht="15.5">
      <c r="A1801" s="1190">
        <v>-11.2</v>
      </c>
      <c r="B1801" s="1191">
        <v>0.56089999999999995</v>
      </c>
    </row>
    <row r="1802" spans="1:2" ht="15.5">
      <c r="A1802" s="1190">
        <v>-11.1</v>
      </c>
      <c r="B1802" s="1191">
        <v>0.56069999999999998</v>
      </c>
    </row>
    <row r="1803" spans="1:2" ht="15.5">
      <c r="A1803" s="1190">
        <v>-11</v>
      </c>
      <c r="B1803" s="1191">
        <v>0.56059999999999999</v>
      </c>
    </row>
    <row r="1804" spans="1:2" ht="15.5">
      <c r="A1804" s="1190">
        <v>-10.9</v>
      </c>
      <c r="B1804" s="1191">
        <v>0.5605</v>
      </c>
    </row>
    <row r="1805" spans="1:2" ht="15.5">
      <c r="A1805" s="1190">
        <v>-10.8</v>
      </c>
      <c r="B1805" s="1191">
        <v>0.56030000000000002</v>
      </c>
    </row>
    <row r="1806" spans="1:2" ht="15.5">
      <c r="A1806" s="1190">
        <v>-10.7</v>
      </c>
      <c r="B1806" s="1191">
        <v>0.56020000000000003</v>
      </c>
    </row>
    <row r="1807" spans="1:2" ht="15.5">
      <c r="A1807" s="1190">
        <v>-10.6</v>
      </c>
      <c r="B1807" s="1191">
        <v>0.56000000000000005</v>
      </c>
    </row>
    <row r="1808" spans="1:2" ht="15.5">
      <c r="A1808" s="1190">
        <v>-10.5</v>
      </c>
      <c r="B1808" s="1191">
        <v>0.55989999999999995</v>
      </c>
    </row>
    <row r="1809" spans="1:2" ht="15.5">
      <c r="A1809" s="1190">
        <v>-10.4</v>
      </c>
      <c r="B1809" s="1191">
        <v>0.55979999999999996</v>
      </c>
    </row>
    <row r="1810" spans="1:2" ht="15.5">
      <c r="A1810" s="1190">
        <v>-10.3</v>
      </c>
      <c r="B1810" s="1191">
        <v>0.55959999999999999</v>
      </c>
    </row>
    <row r="1811" spans="1:2" ht="15.5">
      <c r="A1811" s="1190">
        <v>-10.199999999999999</v>
      </c>
      <c r="B1811" s="1191">
        <v>0.5595</v>
      </c>
    </row>
    <row r="1812" spans="1:2" ht="15.5">
      <c r="A1812" s="1190">
        <v>-10.1</v>
      </c>
      <c r="B1812" s="1191">
        <v>0.55930000000000002</v>
      </c>
    </row>
    <row r="1813" spans="1:2" ht="15.5">
      <c r="A1813" s="1190">
        <v>-10</v>
      </c>
      <c r="B1813" s="1191">
        <v>0.55920000000000003</v>
      </c>
    </row>
    <row r="1814" spans="1:2" ht="15.5">
      <c r="A1814" s="1190">
        <v>-9.9</v>
      </c>
      <c r="B1814" s="1191">
        <v>0.55910000000000004</v>
      </c>
    </row>
    <row r="1815" spans="1:2" ht="15.5">
      <c r="A1815" s="1190">
        <v>-9.8000000000000007</v>
      </c>
      <c r="B1815" s="1191">
        <v>0.55889999999999995</v>
      </c>
    </row>
    <row r="1816" spans="1:2" ht="15.5">
      <c r="A1816" s="1190">
        <v>-9.6999999999999993</v>
      </c>
      <c r="B1816" s="1191">
        <v>0.55879999999999996</v>
      </c>
    </row>
    <row r="1817" spans="1:2" ht="15.5">
      <c r="A1817" s="1190">
        <v>-9.6</v>
      </c>
      <c r="B1817" s="1191">
        <v>0.55859999999999999</v>
      </c>
    </row>
    <row r="1818" spans="1:2" ht="15.5">
      <c r="A1818" s="1190">
        <v>-9.5</v>
      </c>
      <c r="B1818" s="1191">
        <v>0.5585</v>
      </c>
    </row>
    <row r="1819" spans="1:2" ht="15.5">
      <c r="A1819" s="1190">
        <v>-9.4</v>
      </c>
      <c r="B1819" s="1191">
        <v>0.55840000000000001</v>
      </c>
    </row>
    <row r="1820" spans="1:2" ht="15.5">
      <c r="A1820" s="1190">
        <v>-9.3000000000000007</v>
      </c>
      <c r="B1820" s="1191">
        <v>0.55820000000000003</v>
      </c>
    </row>
    <row r="1821" spans="1:2" ht="15.5">
      <c r="A1821" s="1190">
        <v>-9.1999999999999993</v>
      </c>
      <c r="B1821" s="1191">
        <v>0.55810000000000004</v>
      </c>
    </row>
    <row r="1822" spans="1:2" ht="15.5">
      <c r="A1822" s="1190">
        <v>-9.1</v>
      </c>
      <c r="B1822" s="1191">
        <v>0.55789999999999995</v>
      </c>
    </row>
    <row r="1823" spans="1:2" ht="15.5">
      <c r="A1823" s="1190">
        <v>-9</v>
      </c>
      <c r="B1823" s="1191">
        <v>0.55779999999999996</v>
      </c>
    </row>
    <row r="1824" spans="1:2" ht="15.5">
      <c r="A1824" s="1190">
        <v>-8.9</v>
      </c>
      <c r="B1824" s="1191">
        <v>0.55769999999999997</v>
      </c>
    </row>
    <row r="1825" spans="1:2" ht="15.5">
      <c r="A1825" s="1190">
        <v>-8.8000000000000007</v>
      </c>
      <c r="B1825" s="1191">
        <v>0.5575</v>
      </c>
    </row>
    <row r="1826" spans="1:2" ht="15.5">
      <c r="A1826" s="1190">
        <v>-8.6999999999999993</v>
      </c>
      <c r="B1826" s="1191">
        <v>0.55740000000000001</v>
      </c>
    </row>
    <row r="1827" spans="1:2" ht="15.5">
      <c r="A1827" s="1190">
        <v>-8.6</v>
      </c>
      <c r="B1827" s="1191">
        <v>0.55720000000000003</v>
      </c>
    </row>
    <row r="1828" spans="1:2" ht="15.5">
      <c r="A1828" s="1190">
        <v>-8.5</v>
      </c>
      <c r="B1828" s="1191">
        <v>0.55710000000000004</v>
      </c>
    </row>
    <row r="1829" spans="1:2" ht="15.5">
      <c r="A1829" s="1190">
        <v>-8.4</v>
      </c>
      <c r="B1829" s="1191">
        <v>0.55700000000000005</v>
      </c>
    </row>
    <row r="1830" spans="1:2" ht="15.5">
      <c r="A1830" s="1190">
        <v>-8.3000000000000007</v>
      </c>
      <c r="B1830" s="1191">
        <v>0.55679999999999996</v>
      </c>
    </row>
    <row r="1831" spans="1:2" ht="15.5">
      <c r="A1831" s="1190">
        <v>-8.1999999999999993</v>
      </c>
      <c r="B1831" s="1191">
        <v>0.55669999999999997</v>
      </c>
    </row>
    <row r="1832" spans="1:2" ht="15.5">
      <c r="A1832" s="1190">
        <v>-8.1</v>
      </c>
      <c r="B1832" s="1191">
        <v>0.55649999999999999</v>
      </c>
    </row>
    <row r="1833" spans="1:2" ht="15.5">
      <c r="A1833" s="1190">
        <v>-8</v>
      </c>
      <c r="B1833" s="1191">
        <v>0.55640000000000001</v>
      </c>
    </row>
    <row r="1834" spans="1:2" ht="15.5">
      <c r="A1834" s="1190">
        <v>-7.9</v>
      </c>
      <c r="B1834" s="1191">
        <v>0.55620000000000003</v>
      </c>
    </row>
    <row r="1835" spans="1:2" ht="15.5">
      <c r="A1835" s="1190">
        <v>-7.8</v>
      </c>
      <c r="B1835" s="1191">
        <v>0.55610000000000004</v>
      </c>
    </row>
    <row r="1836" spans="1:2" ht="15.5">
      <c r="A1836" s="1190">
        <v>-7.7</v>
      </c>
      <c r="B1836" s="1191">
        <v>0.55589999999999995</v>
      </c>
    </row>
    <row r="1837" spans="1:2" ht="15.5">
      <c r="A1837" s="1190">
        <v>-7.6</v>
      </c>
      <c r="B1837" s="1191">
        <v>0.55579999999999996</v>
      </c>
    </row>
    <row r="1838" spans="1:2" ht="15.5">
      <c r="A1838" s="1190">
        <v>-7.5</v>
      </c>
      <c r="B1838" s="1191">
        <v>0.55559999999999998</v>
      </c>
    </row>
    <row r="1839" spans="1:2" ht="15.5">
      <c r="A1839" s="1190">
        <v>-7.4</v>
      </c>
      <c r="B1839" s="1191">
        <v>0.55549999999999999</v>
      </c>
    </row>
    <row r="1840" spans="1:2" ht="15.5">
      <c r="A1840" s="1190">
        <v>-7.3</v>
      </c>
      <c r="B1840" s="1191">
        <v>0.55530000000000002</v>
      </c>
    </row>
    <row r="1841" spans="1:2" ht="15.5">
      <c r="A1841" s="1190">
        <v>-7.2</v>
      </c>
      <c r="B1841" s="1191">
        <v>0.55520000000000003</v>
      </c>
    </row>
    <row r="1842" spans="1:2" ht="15.5">
      <c r="A1842" s="1190">
        <v>-7.1</v>
      </c>
      <c r="B1842" s="1191">
        <v>0.55500000000000005</v>
      </c>
    </row>
    <row r="1843" spans="1:2" ht="15.5">
      <c r="A1843" s="1190">
        <v>-7</v>
      </c>
      <c r="B1843" s="1191">
        <v>0.55489999999999995</v>
      </c>
    </row>
    <row r="1844" spans="1:2" ht="15.5">
      <c r="A1844" s="1190">
        <v>-6.9</v>
      </c>
      <c r="B1844" s="1191">
        <v>0.55479999999999996</v>
      </c>
    </row>
    <row r="1845" spans="1:2" ht="15.5">
      <c r="A1845" s="1190">
        <v>-6.8</v>
      </c>
      <c r="B1845" s="1191">
        <v>0.55459999999999998</v>
      </c>
    </row>
    <row r="1846" spans="1:2" ht="15.5">
      <c r="A1846" s="1190">
        <v>-6.7</v>
      </c>
      <c r="B1846" s="1191">
        <v>0.55449999999999999</v>
      </c>
    </row>
    <row r="1847" spans="1:2" ht="15.5">
      <c r="A1847" s="1190">
        <v>-6.6</v>
      </c>
      <c r="B1847" s="1191">
        <v>0.55430000000000001</v>
      </c>
    </row>
    <row r="1848" spans="1:2" ht="15.5">
      <c r="A1848" s="1190">
        <v>-6.5</v>
      </c>
      <c r="B1848" s="1191">
        <v>0.55420000000000003</v>
      </c>
    </row>
    <row r="1849" spans="1:2" ht="15.5">
      <c r="A1849" s="1190">
        <v>-6.4</v>
      </c>
      <c r="B1849" s="1191">
        <v>0.55410000000000004</v>
      </c>
    </row>
    <row r="1850" spans="1:2" ht="15.5">
      <c r="A1850" s="1190">
        <v>-6.3</v>
      </c>
      <c r="B1850" s="1191">
        <v>0.55389999999999995</v>
      </c>
    </row>
    <row r="1851" spans="1:2" ht="15.5">
      <c r="A1851" s="1190">
        <v>-6.2</v>
      </c>
      <c r="B1851" s="1191">
        <v>0.55379999999999996</v>
      </c>
    </row>
    <row r="1852" spans="1:2" ht="15.5">
      <c r="A1852" s="1190">
        <v>-6.1</v>
      </c>
      <c r="B1852" s="1191">
        <v>0.55359999999999998</v>
      </c>
    </row>
    <row r="1853" spans="1:2" ht="15.5">
      <c r="A1853" s="1190">
        <v>-6</v>
      </c>
      <c r="B1853" s="1191">
        <v>0.55349999999999999</v>
      </c>
    </row>
    <row r="1854" spans="1:2" ht="15.5">
      <c r="A1854" s="1190">
        <v>-5.9</v>
      </c>
      <c r="B1854" s="1191">
        <v>0.5534</v>
      </c>
    </row>
    <row r="1855" spans="1:2" ht="15.5">
      <c r="A1855" s="1190">
        <v>-5.8</v>
      </c>
      <c r="B1855" s="1191">
        <v>0.55320000000000003</v>
      </c>
    </row>
    <row r="1856" spans="1:2" ht="15.5">
      <c r="A1856" s="1190">
        <v>-5.7</v>
      </c>
      <c r="B1856" s="1191">
        <v>0.55310000000000004</v>
      </c>
    </row>
    <row r="1857" spans="1:2" ht="15.5">
      <c r="A1857" s="1190">
        <v>-5.6</v>
      </c>
      <c r="B1857" s="1191">
        <v>0.55289999999999995</v>
      </c>
    </row>
    <row r="1858" spans="1:2" ht="15.5">
      <c r="A1858" s="1190">
        <v>-5.5</v>
      </c>
      <c r="B1858" s="1191">
        <v>0.55279999999999996</v>
      </c>
    </row>
    <row r="1859" spans="1:2" ht="15.5">
      <c r="A1859" s="1190">
        <v>-5.4</v>
      </c>
      <c r="B1859" s="1191">
        <v>0.55259999999999998</v>
      </c>
    </row>
    <row r="1860" spans="1:2" ht="15.5">
      <c r="A1860" s="1190">
        <v>-5.3</v>
      </c>
      <c r="B1860" s="1191">
        <v>0.55249999999999999</v>
      </c>
    </row>
    <row r="1861" spans="1:2" ht="15.5">
      <c r="A1861" s="1190">
        <v>-5.2</v>
      </c>
      <c r="B1861" s="1191">
        <v>0.55230000000000001</v>
      </c>
    </row>
    <row r="1862" spans="1:2" ht="15.5">
      <c r="A1862" s="1190">
        <v>-5.0999999999999996</v>
      </c>
      <c r="B1862" s="1191">
        <v>0.55220000000000002</v>
      </c>
    </row>
    <row r="1863" spans="1:2" ht="15.5">
      <c r="A1863" s="1190">
        <v>-5</v>
      </c>
      <c r="B1863" s="1191">
        <v>0.55200000000000005</v>
      </c>
    </row>
    <row r="1864" spans="1:2" ht="15.5">
      <c r="A1864" s="1190">
        <v>-4.9000000000000004</v>
      </c>
      <c r="B1864" s="1191">
        <v>0.55189999999999995</v>
      </c>
    </row>
    <row r="1865" spans="1:2" ht="15.5">
      <c r="A1865" s="1190">
        <v>-4.8</v>
      </c>
      <c r="B1865" s="1191">
        <v>0.55169999999999997</v>
      </c>
    </row>
    <row r="1866" spans="1:2" ht="15.5">
      <c r="A1866" s="1190">
        <v>-4.7</v>
      </c>
      <c r="B1866" s="1191">
        <v>0.55159999999999998</v>
      </c>
    </row>
    <row r="1867" spans="1:2" ht="15.5">
      <c r="A1867" s="1190">
        <v>-4.5999999999999996</v>
      </c>
      <c r="B1867" s="1191">
        <v>0.5514</v>
      </c>
    </row>
    <row r="1868" spans="1:2" ht="15.5">
      <c r="A1868" s="1190">
        <v>-4.5</v>
      </c>
      <c r="B1868" s="1191">
        <v>0.55130000000000001</v>
      </c>
    </row>
    <row r="1869" spans="1:2" ht="15.5">
      <c r="A1869" s="1190">
        <v>-4.4000000000000004</v>
      </c>
      <c r="B1869" s="1191">
        <v>0.55120000000000002</v>
      </c>
    </row>
    <row r="1870" spans="1:2" ht="15.5">
      <c r="A1870" s="1190">
        <v>-4.3</v>
      </c>
      <c r="B1870" s="1191">
        <v>0.55100000000000005</v>
      </c>
    </row>
    <row r="1871" spans="1:2" ht="15.5">
      <c r="A1871" s="1190">
        <v>-4.2</v>
      </c>
      <c r="B1871" s="1191">
        <v>0.55089999999999995</v>
      </c>
    </row>
    <row r="1872" spans="1:2" ht="15.5">
      <c r="A1872" s="1190">
        <v>-4.0999999999999996</v>
      </c>
      <c r="B1872" s="1191">
        <v>0.55069999999999997</v>
      </c>
    </row>
    <row r="1873" spans="1:2" ht="15.5">
      <c r="A1873" s="1190">
        <v>-4</v>
      </c>
      <c r="B1873" s="1191">
        <v>0.55059999999999998</v>
      </c>
    </row>
    <row r="1874" spans="1:2" ht="15.5">
      <c r="A1874" s="1190">
        <v>-3.9</v>
      </c>
      <c r="B1874" s="1191">
        <v>0.5504</v>
      </c>
    </row>
    <row r="1875" spans="1:2" ht="15.5">
      <c r="A1875" s="1190">
        <v>-3.8</v>
      </c>
      <c r="B1875" s="1191">
        <v>0.55030000000000001</v>
      </c>
    </row>
    <row r="1876" spans="1:2" ht="15.5">
      <c r="A1876" s="1190">
        <v>-3.7</v>
      </c>
      <c r="B1876" s="1191">
        <v>0.55010000000000003</v>
      </c>
    </row>
    <row r="1877" spans="1:2" ht="15.5">
      <c r="A1877" s="1190">
        <v>-3.6</v>
      </c>
      <c r="B1877" s="1191">
        <v>0.55000000000000004</v>
      </c>
    </row>
    <row r="1878" spans="1:2" ht="15.5">
      <c r="A1878" s="1190">
        <v>-3.5</v>
      </c>
      <c r="B1878" s="1191">
        <v>0.54979999999999996</v>
      </c>
    </row>
    <row r="1879" spans="1:2" ht="15.5">
      <c r="A1879" s="1190">
        <v>-3.4</v>
      </c>
      <c r="B1879" s="1191">
        <v>0.54969999999999997</v>
      </c>
    </row>
    <row r="1880" spans="1:2" ht="15.5">
      <c r="A1880" s="1190">
        <v>-3.3</v>
      </c>
      <c r="B1880" s="1191">
        <v>0.54949999999999999</v>
      </c>
    </row>
    <row r="1881" spans="1:2" ht="15.5">
      <c r="A1881" s="1190">
        <v>-3.2</v>
      </c>
      <c r="B1881" s="1191">
        <v>0.5494</v>
      </c>
    </row>
    <row r="1882" spans="1:2" ht="15.5">
      <c r="A1882" s="1190">
        <v>-3.1</v>
      </c>
      <c r="B1882" s="1191">
        <v>0.54920000000000002</v>
      </c>
    </row>
    <row r="1883" spans="1:2" ht="15.5">
      <c r="A1883" s="1190">
        <v>-3</v>
      </c>
      <c r="B1883" s="1191">
        <v>0.54910000000000003</v>
      </c>
    </row>
    <row r="1884" spans="1:2" ht="15.5">
      <c r="A1884" s="1190">
        <v>-2.9</v>
      </c>
      <c r="B1884" s="1191">
        <v>0.54900000000000004</v>
      </c>
    </row>
    <row r="1885" spans="1:2" ht="15.5">
      <c r="A1885" s="1190">
        <v>-2.8</v>
      </c>
      <c r="B1885" s="1191">
        <v>0.54879999999999995</v>
      </c>
    </row>
    <row r="1886" spans="1:2" ht="15.5">
      <c r="A1886" s="1190">
        <v>-2.7</v>
      </c>
      <c r="B1886" s="1191">
        <v>0.54869999999999997</v>
      </c>
    </row>
    <row r="1887" spans="1:2" ht="15.5">
      <c r="A1887" s="1190">
        <v>-2.6</v>
      </c>
      <c r="B1887" s="1191">
        <v>0.54849999999999999</v>
      </c>
    </row>
    <row r="1888" spans="1:2" ht="15.5">
      <c r="A1888" s="1190">
        <v>-2.5</v>
      </c>
      <c r="B1888" s="1191">
        <v>0.5484</v>
      </c>
    </row>
    <row r="1889" spans="1:2" ht="15.5">
      <c r="A1889" s="1190">
        <v>-2.4</v>
      </c>
      <c r="B1889" s="1191">
        <v>0.54820000000000002</v>
      </c>
    </row>
    <row r="1890" spans="1:2" ht="15.5">
      <c r="A1890" s="1190">
        <v>-2.2999999999999998</v>
      </c>
      <c r="B1890" s="1191">
        <v>0.54810000000000003</v>
      </c>
    </row>
    <row r="1891" spans="1:2" ht="15.5">
      <c r="A1891" s="1190">
        <v>-2.2000000000000002</v>
      </c>
      <c r="B1891" s="1191">
        <v>0.54790000000000005</v>
      </c>
    </row>
    <row r="1892" spans="1:2" ht="15.5">
      <c r="A1892" s="1190">
        <v>-2.1</v>
      </c>
      <c r="B1892" s="1191">
        <v>0.54779999999999995</v>
      </c>
    </row>
    <row r="1893" spans="1:2" ht="15.5">
      <c r="A1893" s="1190">
        <v>-2</v>
      </c>
      <c r="B1893" s="1191">
        <v>0.54759999999999998</v>
      </c>
    </row>
    <row r="1894" spans="1:2" ht="15.5">
      <c r="A1894" s="1190">
        <v>-1.9</v>
      </c>
      <c r="B1894" s="1191">
        <v>0.54749999999999999</v>
      </c>
    </row>
    <row r="1895" spans="1:2" ht="15.5">
      <c r="A1895" s="1190">
        <v>-1.8</v>
      </c>
      <c r="B1895" s="1191">
        <v>0.54730000000000001</v>
      </c>
    </row>
    <row r="1896" spans="1:2" ht="15.5">
      <c r="A1896" s="1190">
        <v>-1.7</v>
      </c>
      <c r="B1896" s="1191">
        <v>0.54720000000000002</v>
      </c>
    </row>
    <row r="1897" spans="1:2" ht="15.5">
      <c r="A1897" s="1190">
        <v>-1.6</v>
      </c>
      <c r="B1897" s="1191">
        <v>0.54700000000000004</v>
      </c>
    </row>
    <row r="1898" spans="1:2" ht="15.5">
      <c r="A1898" s="1190">
        <v>-1.5</v>
      </c>
      <c r="B1898" s="1191">
        <v>0.54690000000000005</v>
      </c>
    </row>
    <row r="1899" spans="1:2" ht="15.5">
      <c r="A1899" s="1190">
        <v>-1.4</v>
      </c>
      <c r="B1899" s="1191">
        <v>0.54679999999999995</v>
      </c>
    </row>
    <row r="1900" spans="1:2" ht="15.5">
      <c r="A1900" s="1190">
        <v>-1.3</v>
      </c>
      <c r="B1900" s="1191">
        <v>0.54659999999999997</v>
      </c>
    </row>
    <row r="1901" spans="1:2" ht="15.5">
      <c r="A1901" s="1190">
        <v>-1.2</v>
      </c>
      <c r="B1901" s="1191">
        <v>0.54649999999999999</v>
      </c>
    </row>
    <row r="1902" spans="1:2" ht="15.5">
      <c r="A1902" s="1190">
        <v>-1.1000000000000001</v>
      </c>
      <c r="B1902" s="1191">
        <v>0.54630000000000001</v>
      </c>
    </row>
    <row r="1903" spans="1:2" ht="15.5">
      <c r="A1903" s="1190">
        <v>-1</v>
      </c>
      <c r="B1903" s="1191">
        <v>0.54620000000000002</v>
      </c>
    </row>
    <row r="1904" spans="1:2" ht="15.5">
      <c r="A1904" s="1190">
        <v>-0.9</v>
      </c>
      <c r="B1904" s="1191">
        <v>0.54600000000000004</v>
      </c>
    </row>
    <row r="1905" spans="1:2" ht="15.5">
      <c r="A1905" s="1190">
        <v>-0.8</v>
      </c>
      <c r="B1905" s="1191">
        <v>0.54590000000000005</v>
      </c>
    </row>
    <row r="1906" spans="1:2" ht="15.5">
      <c r="A1906" s="1190">
        <v>-0.7</v>
      </c>
      <c r="B1906" s="1191">
        <v>0.54569999999999996</v>
      </c>
    </row>
    <row r="1907" spans="1:2" ht="15.5">
      <c r="A1907" s="1190">
        <v>-0.6</v>
      </c>
      <c r="B1907" s="1191">
        <v>0.54559999999999997</v>
      </c>
    </row>
    <row r="1908" spans="1:2" ht="15.5">
      <c r="A1908" s="1190">
        <v>-0.5</v>
      </c>
      <c r="B1908" s="1191">
        <v>0.5454</v>
      </c>
    </row>
    <row r="1909" spans="1:2" ht="15.5">
      <c r="A1909" s="1190">
        <v>-0.4</v>
      </c>
      <c r="B1909" s="1191">
        <v>0.54530000000000001</v>
      </c>
    </row>
    <row r="1910" spans="1:2" ht="15.5">
      <c r="A1910" s="1190">
        <v>-0.3</v>
      </c>
      <c r="B1910" s="1191">
        <v>0.54510000000000003</v>
      </c>
    </row>
    <row r="1911" spans="1:2" ht="15.5">
      <c r="A1911" s="1190">
        <v>-0.2</v>
      </c>
      <c r="B1911" s="1191">
        <v>0.54500000000000004</v>
      </c>
    </row>
    <row r="1912" spans="1:2" ht="15.5">
      <c r="A1912" s="1190">
        <v>-0.1</v>
      </c>
      <c r="B1912" s="1191">
        <v>0.54479999999999995</v>
      </c>
    </row>
    <row r="1913" spans="1:2" ht="15.5">
      <c r="A1913" s="1190">
        <v>0</v>
      </c>
      <c r="B1913" s="1191">
        <v>0.54469999999999996</v>
      </c>
    </row>
    <row r="1914" spans="1:2" ht="15.5">
      <c r="A1914" s="1190">
        <v>0.1</v>
      </c>
      <c r="B1914" s="1191">
        <v>0.54449999999999998</v>
      </c>
    </row>
    <row r="1915" spans="1:2" ht="15.5">
      <c r="A1915" s="1190">
        <v>0.2</v>
      </c>
      <c r="B1915" s="1191">
        <v>0.5444</v>
      </c>
    </row>
    <row r="1916" spans="1:2" ht="15.5">
      <c r="A1916" s="1190">
        <v>0.3</v>
      </c>
      <c r="B1916" s="1191">
        <v>0.54420000000000002</v>
      </c>
    </row>
    <row r="1917" spans="1:2" ht="15.5">
      <c r="A1917" s="1190">
        <v>0.4</v>
      </c>
      <c r="B1917" s="1191">
        <v>0.54410000000000003</v>
      </c>
    </row>
    <row r="1918" spans="1:2" ht="15.5">
      <c r="A1918" s="1190">
        <v>0.5</v>
      </c>
      <c r="B1918" s="1191">
        <v>0.54390000000000005</v>
      </c>
    </row>
    <row r="1919" spans="1:2" ht="15.5">
      <c r="A1919" s="1190">
        <v>0.6</v>
      </c>
      <c r="B1919" s="1191">
        <v>0.54379999999999995</v>
      </c>
    </row>
    <row r="1920" spans="1:2" ht="15.5">
      <c r="A1920" s="1190">
        <v>0.7</v>
      </c>
      <c r="B1920" s="1191">
        <v>0.54359999999999997</v>
      </c>
    </row>
    <row r="1921" spans="1:2" ht="15.5">
      <c r="A1921" s="1190">
        <v>0.8</v>
      </c>
      <c r="B1921" s="1191">
        <v>0.54349999999999998</v>
      </c>
    </row>
    <row r="1922" spans="1:2" ht="15.5">
      <c r="A1922" s="1190">
        <v>0.9</v>
      </c>
      <c r="B1922" s="1191">
        <v>0.54330000000000001</v>
      </c>
    </row>
    <row r="1923" spans="1:2" ht="15.5">
      <c r="A1923" s="1190">
        <v>1</v>
      </c>
      <c r="B1923" s="1191">
        <v>0.54320000000000002</v>
      </c>
    </row>
    <row r="1924" spans="1:2" ht="15.5">
      <c r="A1924" s="1190">
        <v>1.1000000000000001</v>
      </c>
      <c r="B1924" s="1191">
        <v>0.54300000000000004</v>
      </c>
    </row>
    <row r="1925" spans="1:2" ht="15.5">
      <c r="A1925" s="1190">
        <v>1.2</v>
      </c>
      <c r="B1925" s="1191">
        <v>0.54290000000000005</v>
      </c>
    </row>
    <row r="1926" spans="1:2" ht="15.5">
      <c r="A1926" s="1190">
        <v>1.3</v>
      </c>
      <c r="B1926" s="1191">
        <v>0.54269999999999996</v>
      </c>
    </row>
    <row r="1927" spans="1:2" ht="15.5">
      <c r="A1927" s="1190">
        <v>1.4</v>
      </c>
      <c r="B1927" s="1191">
        <v>0.54259999999999997</v>
      </c>
    </row>
    <row r="1928" spans="1:2" ht="15.5">
      <c r="A1928" s="1190">
        <v>1.5</v>
      </c>
      <c r="B1928" s="1191">
        <v>0.54239999999999999</v>
      </c>
    </row>
    <row r="1929" spans="1:2" ht="15.5">
      <c r="A1929" s="1190">
        <v>1.6</v>
      </c>
      <c r="B1929" s="1191">
        <v>0.5423</v>
      </c>
    </row>
    <row r="1930" spans="1:2" ht="15.5">
      <c r="A1930" s="1190">
        <v>1.7</v>
      </c>
      <c r="B1930" s="1191">
        <v>0.54210000000000003</v>
      </c>
    </row>
    <row r="1931" spans="1:2" ht="15.5">
      <c r="A1931" s="1190">
        <v>1.8</v>
      </c>
      <c r="B1931" s="1191">
        <v>0.54200000000000004</v>
      </c>
    </row>
    <row r="1932" spans="1:2" ht="15.5">
      <c r="A1932" s="1190">
        <v>1.9</v>
      </c>
      <c r="B1932" s="1191">
        <v>0.54179999999999995</v>
      </c>
    </row>
    <row r="1933" spans="1:2" ht="15.5">
      <c r="A1933" s="1190">
        <v>2</v>
      </c>
      <c r="B1933" s="1191">
        <v>0.54169999999999996</v>
      </c>
    </row>
    <row r="1934" spans="1:2" ht="15.5">
      <c r="A1934" s="1190">
        <v>2.1</v>
      </c>
      <c r="B1934" s="1191">
        <v>0.54149999999999998</v>
      </c>
    </row>
    <row r="1935" spans="1:2" ht="15.5">
      <c r="A1935" s="1190">
        <v>2.2000000000000002</v>
      </c>
      <c r="B1935" s="1191">
        <v>0.54139999999999999</v>
      </c>
    </row>
    <row r="1936" spans="1:2" ht="15.5">
      <c r="A1936" s="1190">
        <v>2.2999999999999998</v>
      </c>
      <c r="B1936" s="1191">
        <v>0.54120000000000001</v>
      </c>
    </row>
    <row r="1937" spans="1:2" ht="15.5">
      <c r="A1937" s="1190">
        <v>2.4</v>
      </c>
      <c r="B1937" s="1191">
        <v>0.54110000000000003</v>
      </c>
    </row>
    <row r="1938" spans="1:2" ht="15.5">
      <c r="A1938" s="1190">
        <v>2.5</v>
      </c>
      <c r="B1938" s="1191">
        <v>0.54090000000000005</v>
      </c>
    </row>
    <row r="1939" spans="1:2" ht="15.5">
      <c r="A1939" s="1190">
        <v>2.6</v>
      </c>
      <c r="B1939" s="1191">
        <v>0.54079999999999995</v>
      </c>
    </row>
    <row r="1940" spans="1:2" ht="15.5">
      <c r="A1940" s="1190">
        <v>2.7</v>
      </c>
      <c r="B1940" s="1191">
        <v>0.54059999999999997</v>
      </c>
    </row>
    <row r="1941" spans="1:2" ht="15.5">
      <c r="A1941" s="1190">
        <v>2.8</v>
      </c>
      <c r="B1941" s="1191">
        <v>0.54049999999999998</v>
      </c>
    </row>
    <row r="1942" spans="1:2" ht="15.5">
      <c r="A1942" s="1190">
        <v>2.9</v>
      </c>
      <c r="B1942" s="1191">
        <v>0.5403</v>
      </c>
    </row>
    <row r="1943" spans="1:2" ht="15.5">
      <c r="A1943" s="1190">
        <v>3</v>
      </c>
      <c r="B1943" s="1191">
        <v>0.54020000000000001</v>
      </c>
    </row>
    <row r="1944" spans="1:2" ht="15.5">
      <c r="A1944" s="1190">
        <v>3.1</v>
      </c>
      <c r="B1944" s="1191">
        <v>0.54</v>
      </c>
    </row>
    <row r="1945" spans="1:2" ht="15.5">
      <c r="A1945" s="1190">
        <v>3.2</v>
      </c>
      <c r="B1945" s="1191">
        <v>0.53990000000000005</v>
      </c>
    </row>
    <row r="1946" spans="1:2" ht="15.5">
      <c r="A1946" s="1190">
        <v>3.3</v>
      </c>
      <c r="B1946" s="1191">
        <v>0.53969999999999996</v>
      </c>
    </row>
    <row r="1947" spans="1:2" ht="15.5">
      <c r="A1947" s="1190">
        <v>3.4</v>
      </c>
      <c r="B1947" s="1191">
        <v>0.53959999999999997</v>
      </c>
    </row>
    <row r="1948" spans="1:2" ht="15.5">
      <c r="A1948" s="1190">
        <v>3.5</v>
      </c>
      <c r="B1948" s="1191">
        <v>0.53939999999999999</v>
      </c>
    </row>
    <row r="1949" spans="1:2" ht="15.5">
      <c r="A1949" s="1190">
        <v>3.6</v>
      </c>
      <c r="B1949" s="1191">
        <v>0.53920000000000001</v>
      </c>
    </row>
    <row r="1950" spans="1:2" ht="15.5">
      <c r="A1950" s="1190">
        <v>3.7</v>
      </c>
      <c r="B1950" s="1191">
        <v>0.53910000000000002</v>
      </c>
    </row>
    <row r="1951" spans="1:2" ht="15.5">
      <c r="A1951" s="1190">
        <v>3.8</v>
      </c>
      <c r="B1951" s="1191">
        <v>0.53890000000000005</v>
      </c>
    </row>
    <row r="1952" spans="1:2" ht="15.5">
      <c r="A1952" s="1190">
        <v>3.9</v>
      </c>
      <c r="B1952" s="1191">
        <v>0.53879999999999995</v>
      </c>
    </row>
    <row r="1953" spans="1:2" ht="15.5">
      <c r="A1953" s="1190">
        <v>4</v>
      </c>
      <c r="B1953" s="1191">
        <v>0.53859999999999997</v>
      </c>
    </row>
    <row r="1954" spans="1:2" ht="15.5">
      <c r="A1954" s="1190">
        <v>4.0999999999999996</v>
      </c>
      <c r="B1954" s="1191">
        <v>0.53849999999999998</v>
      </c>
    </row>
    <row r="1955" spans="1:2" ht="15.5">
      <c r="A1955" s="1190">
        <v>4.2</v>
      </c>
      <c r="B1955" s="1191">
        <v>0.5383</v>
      </c>
    </row>
    <row r="1956" spans="1:2" ht="15.5">
      <c r="A1956" s="1190">
        <v>4.3</v>
      </c>
      <c r="B1956" s="1191">
        <v>0.53820000000000001</v>
      </c>
    </row>
    <row r="1957" spans="1:2" ht="15.5">
      <c r="A1957" s="1190">
        <v>4.4000000000000004</v>
      </c>
      <c r="B1957" s="1191">
        <v>0.53800000000000003</v>
      </c>
    </row>
    <row r="1958" spans="1:2" ht="15.5">
      <c r="A1958" s="1190">
        <v>4.5</v>
      </c>
      <c r="B1958" s="1191">
        <v>0.53790000000000004</v>
      </c>
    </row>
    <row r="1959" spans="1:2" ht="15.5">
      <c r="A1959" s="1190">
        <v>4.5999999999999996</v>
      </c>
      <c r="B1959" s="1191">
        <v>0.53769999999999996</v>
      </c>
    </row>
    <row r="1960" spans="1:2" ht="15.5">
      <c r="A1960" s="1190">
        <v>4.7</v>
      </c>
      <c r="B1960" s="1191">
        <v>0.53759999999999997</v>
      </c>
    </row>
    <row r="1961" spans="1:2" ht="15.5">
      <c r="A1961" s="1190">
        <v>4.8</v>
      </c>
      <c r="B1961" s="1191">
        <v>0.53739999999999999</v>
      </c>
    </row>
    <row r="1962" spans="1:2" ht="15.5">
      <c r="A1962" s="1190">
        <v>4.9000000000000004</v>
      </c>
      <c r="B1962" s="1191">
        <v>0.5373</v>
      </c>
    </row>
    <row r="1963" spans="1:2" ht="15.5">
      <c r="A1963" s="1190">
        <v>5</v>
      </c>
      <c r="B1963" s="1191">
        <v>0.53710000000000002</v>
      </c>
    </row>
    <row r="1964" spans="1:2" ht="15.5">
      <c r="A1964" s="1190">
        <v>5.0999999999999996</v>
      </c>
      <c r="B1964" s="1191">
        <v>0.53690000000000004</v>
      </c>
    </row>
    <row r="1965" spans="1:2" ht="15.5">
      <c r="A1965" s="1190">
        <v>5.2</v>
      </c>
      <c r="B1965" s="1191">
        <v>0.53680000000000005</v>
      </c>
    </row>
    <row r="1966" spans="1:2" ht="15.5">
      <c r="A1966" s="1190">
        <v>5.3</v>
      </c>
      <c r="B1966" s="1191">
        <v>0.53659999999999997</v>
      </c>
    </row>
    <row r="1967" spans="1:2" ht="15.5">
      <c r="A1967" s="1190">
        <v>5.4</v>
      </c>
      <c r="B1967" s="1191">
        <v>0.53649999999999998</v>
      </c>
    </row>
    <row r="1968" spans="1:2" ht="15.5">
      <c r="A1968" s="1190">
        <v>5.5</v>
      </c>
      <c r="B1968" s="1191">
        <v>0.5363</v>
      </c>
    </row>
    <row r="1969" spans="1:2" ht="15.5">
      <c r="A1969" s="1190">
        <v>5.6</v>
      </c>
      <c r="B1969" s="1191">
        <v>0.53620000000000001</v>
      </c>
    </row>
    <row r="1970" spans="1:2" ht="15.5">
      <c r="A1970" s="1190">
        <v>5.7</v>
      </c>
      <c r="B1970" s="1191">
        <v>0.53600000000000003</v>
      </c>
    </row>
    <row r="1971" spans="1:2" ht="15.5">
      <c r="A1971" s="1190">
        <v>5.8</v>
      </c>
      <c r="B1971" s="1191">
        <v>0.53590000000000004</v>
      </c>
    </row>
    <row r="1972" spans="1:2" ht="15.5">
      <c r="A1972" s="1190">
        <v>5.9</v>
      </c>
      <c r="B1972" s="1191">
        <v>0.53569999999999995</v>
      </c>
    </row>
    <row r="1973" spans="1:2" ht="15.5">
      <c r="A1973" s="1190">
        <v>6</v>
      </c>
      <c r="B1973" s="1191">
        <v>0.53559999999999997</v>
      </c>
    </row>
    <row r="1974" spans="1:2" ht="15.5">
      <c r="A1974" s="1190">
        <v>6.1</v>
      </c>
      <c r="B1974" s="1191">
        <v>0.53539999999999999</v>
      </c>
    </row>
    <row r="1975" spans="1:2" ht="15.5">
      <c r="A1975" s="1190">
        <v>6.2</v>
      </c>
      <c r="B1975" s="1191">
        <v>0.5353</v>
      </c>
    </row>
    <row r="1976" spans="1:2" ht="15.5">
      <c r="A1976" s="1190">
        <v>6.3</v>
      </c>
      <c r="B1976" s="1191">
        <v>0.53510000000000002</v>
      </c>
    </row>
    <row r="1977" spans="1:2" ht="15.5">
      <c r="A1977" s="1190">
        <v>6.4</v>
      </c>
      <c r="B1977" s="1191">
        <v>0.53500000000000003</v>
      </c>
    </row>
    <row r="1978" spans="1:2" ht="15.5">
      <c r="A1978" s="1190">
        <v>6.5</v>
      </c>
      <c r="B1978" s="1191">
        <v>0.53480000000000005</v>
      </c>
    </row>
    <row r="1979" spans="1:2" ht="15.5">
      <c r="A1979" s="1190">
        <v>6.6</v>
      </c>
      <c r="B1979" s="1191">
        <v>0.53459999999999996</v>
      </c>
    </row>
    <row r="1980" spans="1:2" ht="15.5">
      <c r="A1980" s="1190">
        <v>6.7</v>
      </c>
      <c r="B1980" s="1191">
        <v>0.53449999999999998</v>
      </c>
    </row>
    <row r="1981" spans="1:2" ht="15.5">
      <c r="A1981" s="1190">
        <v>6.8</v>
      </c>
      <c r="B1981" s="1191">
        <v>0.5343</v>
      </c>
    </row>
    <row r="1982" spans="1:2" ht="15.5">
      <c r="A1982" s="1190">
        <v>6.9</v>
      </c>
      <c r="B1982" s="1191">
        <v>0.53420000000000001</v>
      </c>
    </row>
    <row r="1983" spans="1:2" ht="15.5">
      <c r="A1983" s="1190">
        <v>7</v>
      </c>
      <c r="B1983" s="1191">
        <v>0.53400000000000003</v>
      </c>
    </row>
    <row r="1984" spans="1:2" ht="15.5">
      <c r="A1984" s="1190">
        <v>7.1</v>
      </c>
      <c r="B1984" s="1191">
        <v>0.53390000000000004</v>
      </c>
    </row>
    <row r="1985" spans="1:2" ht="15.5">
      <c r="A1985" s="1190">
        <v>7.2</v>
      </c>
      <c r="B1985" s="1191">
        <v>0.53369999999999995</v>
      </c>
    </row>
    <row r="1986" spans="1:2" ht="15.5">
      <c r="A1986" s="1190">
        <v>7.3</v>
      </c>
      <c r="B1986" s="1191">
        <v>0.53359999999999996</v>
      </c>
    </row>
    <row r="1987" spans="1:2" ht="15.5">
      <c r="A1987" s="1190">
        <v>7.4</v>
      </c>
      <c r="B1987" s="1191">
        <v>0.53339999999999999</v>
      </c>
    </row>
    <row r="1988" spans="1:2" ht="15.5">
      <c r="A1988" s="1190">
        <v>7.5</v>
      </c>
      <c r="B1988" s="1191">
        <v>0.5333</v>
      </c>
    </row>
    <row r="1989" spans="1:2" ht="15.5">
      <c r="A1989" s="1190">
        <v>7.6</v>
      </c>
      <c r="B1989" s="1191">
        <v>0.53310000000000002</v>
      </c>
    </row>
    <row r="1990" spans="1:2" ht="15.5">
      <c r="A1990" s="1190">
        <v>7.7</v>
      </c>
      <c r="B1990" s="1191">
        <v>0.53300000000000003</v>
      </c>
    </row>
    <row r="1991" spans="1:2" ht="15.5">
      <c r="A1991" s="1190">
        <v>7.8</v>
      </c>
      <c r="B1991" s="1191">
        <v>0.53280000000000005</v>
      </c>
    </row>
    <row r="1992" spans="1:2" ht="15.5">
      <c r="A1992" s="1190">
        <v>7.9</v>
      </c>
      <c r="B1992" s="1191">
        <v>0.53269999999999995</v>
      </c>
    </row>
    <row r="1993" spans="1:2" ht="15.5">
      <c r="A1993" s="1190">
        <v>8</v>
      </c>
      <c r="B1993" s="1191">
        <v>0.53249999999999997</v>
      </c>
    </row>
    <row r="1994" spans="1:2" ht="15.5">
      <c r="A1994" s="1190">
        <v>8.1</v>
      </c>
      <c r="B1994" s="1191">
        <v>0.5323</v>
      </c>
    </row>
    <row r="1995" spans="1:2" ht="15.5">
      <c r="A1995" s="1190">
        <v>8.1999999999999993</v>
      </c>
      <c r="B1995" s="1191">
        <v>0.53220000000000001</v>
      </c>
    </row>
    <row r="1996" spans="1:2" ht="15.5">
      <c r="A1996" s="1190">
        <v>8.3000000000000007</v>
      </c>
      <c r="B1996" s="1191">
        <v>0.53200000000000003</v>
      </c>
    </row>
    <row r="1997" spans="1:2" ht="15.5">
      <c r="A1997" s="1190">
        <v>8.4</v>
      </c>
      <c r="B1997" s="1191">
        <v>0.53190000000000004</v>
      </c>
    </row>
    <row r="1998" spans="1:2" ht="15.5">
      <c r="A1998" s="1190">
        <v>8.5</v>
      </c>
      <c r="B1998" s="1191">
        <v>0.53169999999999995</v>
      </c>
    </row>
    <row r="1999" spans="1:2" ht="15.5">
      <c r="A1999" s="1190">
        <v>8.6</v>
      </c>
      <c r="B1999" s="1191">
        <v>0.53149999999999997</v>
      </c>
    </row>
    <row r="2000" spans="1:2" ht="15.5">
      <c r="A2000" s="1190">
        <v>8.6999999999999993</v>
      </c>
      <c r="B2000" s="1191">
        <v>0.53139999999999998</v>
      </c>
    </row>
    <row r="2001" spans="1:2" ht="15.5">
      <c r="A2001" s="1190">
        <v>8.8000000000000007</v>
      </c>
      <c r="B2001" s="1191">
        <v>0.53120000000000001</v>
      </c>
    </row>
    <row r="2002" spans="1:2" ht="15.5">
      <c r="A2002" s="1190">
        <v>8.9</v>
      </c>
      <c r="B2002" s="1191">
        <v>0.53110000000000002</v>
      </c>
    </row>
    <row r="2003" spans="1:2" ht="15.5">
      <c r="A2003" s="1190">
        <v>9</v>
      </c>
      <c r="B2003" s="1191">
        <v>0.53090000000000004</v>
      </c>
    </row>
    <row r="2004" spans="1:2" ht="15.5">
      <c r="A2004" s="1190">
        <v>9.1</v>
      </c>
      <c r="B2004" s="1191">
        <v>0.53069999999999995</v>
      </c>
    </row>
    <row r="2005" spans="1:2" ht="15.5">
      <c r="A2005" s="1190">
        <v>9.1999999999999993</v>
      </c>
      <c r="B2005" s="1191">
        <v>0.53059999999999996</v>
      </c>
    </row>
    <row r="2006" spans="1:2" ht="15.5">
      <c r="A2006" s="1190">
        <v>9.3000000000000007</v>
      </c>
      <c r="B2006" s="1191">
        <v>0.53039999999999998</v>
      </c>
    </row>
    <row r="2007" spans="1:2" ht="15.5">
      <c r="A2007" s="1190">
        <v>9.4</v>
      </c>
      <c r="B2007" s="1191">
        <v>0.53029999999999999</v>
      </c>
    </row>
    <row r="2008" spans="1:2" ht="15.5">
      <c r="A2008" s="1190">
        <v>9.5</v>
      </c>
      <c r="B2008" s="1191">
        <v>0.53010000000000002</v>
      </c>
    </row>
    <row r="2009" spans="1:2" ht="15.5">
      <c r="A2009" s="1190">
        <v>9.6</v>
      </c>
      <c r="B2009" s="1191">
        <v>0.52990000000000004</v>
      </c>
    </row>
    <row r="2010" spans="1:2" ht="15.5">
      <c r="A2010" s="1190">
        <v>9.6999999999999993</v>
      </c>
      <c r="B2010" s="1191">
        <v>0.52980000000000005</v>
      </c>
    </row>
    <row r="2011" spans="1:2" ht="15.5">
      <c r="A2011" s="1190">
        <v>9.8000000000000007</v>
      </c>
      <c r="B2011" s="1191">
        <v>0.52959999999999996</v>
      </c>
    </row>
    <row r="2012" spans="1:2" ht="15.5">
      <c r="A2012" s="1190">
        <v>9.9</v>
      </c>
      <c r="B2012" s="1191">
        <v>0.52949999999999997</v>
      </c>
    </row>
    <row r="2013" spans="1:2" ht="15.5">
      <c r="A2013" s="1190">
        <v>10</v>
      </c>
      <c r="B2013" s="1191">
        <v>0.52929999999999999</v>
      </c>
    </row>
    <row r="2014" spans="1:2" ht="15.5">
      <c r="A2014" s="1190">
        <v>10.1</v>
      </c>
      <c r="B2014" s="1191">
        <v>0.52910000000000001</v>
      </c>
    </row>
    <row r="2015" spans="1:2" ht="15.5">
      <c r="A2015" s="1190">
        <v>10.199999999999999</v>
      </c>
      <c r="B2015" s="1191">
        <v>0.52900000000000003</v>
      </c>
    </row>
    <row r="2016" spans="1:2" ht="15.5">
      <c r="A2016" s="1190">
        <v>10.3</v>
      </c>
      <c r="B2016" s="1191">
        <v>0.52880000000000005</v>
      </c>
    </row>
    <row r="2017" spans="1:2" ht="15.5">
      <c r="A2017" s="1190">
        <v>10.4</v>
      </c>
      <c r="B2017" s="1191">
        <v>0.52869999999999995</v>
      </c>
    </row>
    <row r="2018" spans="1:2" ht="15.5">
      <c r="A2018" s="1190">
        <v>10.5</v>
      </c>
      <c r="B2018" s="1191">
        <v>0.52849999999999997</v>
      </c>
    </row>
    <row r="2019" spans="1:2" ht="15.5">
      <c r="A2019" s="1190">
        <v>10.6</v>
      </c>
      <c r="B2019" s="1191">
        <v>0.52839999999999998</v>
      </c>
    </row>
    <row r="2020" spans="1:2" ht="15.5">
      <c r="A2020" s="1190">
        <v>10.7</v>
      </c>
      <c r="B2020" s="1191">
        <v>0.5282</v>
      </c>
    </row>
    <row r="2021" spans="1:2" ht="15.5">
      <c r="A2021" s="1190">
        <v>10.8</v>
      </c>
      <c r="B2021" s="1191">
        <v>0.52810000000000001</v>
      </c>
    </row>
    <row r="2022" spans="1:2" ht="15.5">
      <c r="A2022" s="1190">
        <v>10.9</v>
      </c>
      <c r="B2022" s="1191">
        <v>0.52790000000000004</v>
      </c>
    </row>
    <row r="2023" spans="1:2" ht="15.5">
      <c r="A2023" s="1190">
        <v>11</v>
      </c>
      <c r="B2023" s="1191">
        <v>0.52780000000000005</v>
      </c>
    </row>
    <row r="2024" spans="1:2" ht="15.5">
      <c r="A2024" s="1190">
        <v>11.1</v>
      </c>
      <c r="B2024" s="1191">
        <v>0.52759999999999996</v>
      </c>
    </row>
    <row r="2025" spans="1:2" ht="15.5">
      <c r="A2025" s="1190">
        <v>11.2</v>
      </c>
      <c r="B2025" s="1191">
        <v>0.52749999999999997</v>
      </c>
    </row>
    <row r="2026" spans="1:2" ht="15.5">
      <c r="A2026" s="1190">
        <v>11.3</v>
      </c>
      <c r="B2026" s="1191">
        <v>0.52729999999999999</v>
      </c>
    </row>
    <row r="2027" spans="1:2" ht="15.5">
      <c r="A2027" s="1190">
        <v>11.4</v>
      </c>
      <c r="B2027" s="1191">
        <v>0.5272</v>
      </c>
    </row>
    <row r="2028" spans="1:2" ht="15.5">
      <c r="A2028" s="1190">
        <v>11.5</v>
      </c>
      <c r="B2028" s="1191">
        <v>0.52700000000000002</v>
      </c>
    </row>
    <row r="2029" spans="1:2" ht="15.5">
      <c r="A2029" s="1190">
        <v>11.6</v>
      </c>
      <c r="B2029" s="1191">
        <v>0.52680000000000005</v>
      </c>
    </row>
    <row r="2030" spans="1:2" ht="15.5">
      <c r="A2030" s="1190">
        <v>11.7</v>
      </c>
      <c r="B2030" s="1191">
        <v>0.52669999999999995</v>
      </c>
    </row>
    <row r="2031" spans="1:2" ht="15.5">
      <c r="A2031" s="1190">
        <v>11.8</v>
      </c>
      <c r="B2031" s="1191">
        <v>0.52649999999999997</v>
      </c>
    </row>
    <row r="2032" spans="1:2" ht="15.5">
      <c r="A2032" s="1190">
        <v>11.9</v>
      </c>
      <c r="B2032" s="1191">
        <v>0.52639999999999998</v>
      </c>
    </row>
    <row r="2033" spans="1:2" ht="15.5">
      <c r="A2033" s="1190">
        <v>12</v>
      </c>
      <c r="B2033" s="1191">
        <v>0.5262</v>
      </c>
    </row>
    <row r="2034" spans="1:2" ht="15.5">
      <c r="A2034" s="1190">
        <v>12.1</v>
      </c>
      <c r="B2034" s="1191">
        <v>0.52600000000000002</v>
      </c>
    </row>
    <row r="2035" spans="1:2" ht="15.5">
      <c r="A2035" s="1190">
        <v>12.2</v>
      </c>
      <c r="B2035" s="1191">
        <v>0.52590000000000003</v>
      </c>
    </row>
    <row r="2036" spans="1:2" ht="15.5">
      <c r="A2036" s="1190">
        <v>12.3</v>
      </c>
      <c r="B2036" s="1191">
        <v>0.52569999999999995</v>
      </c>
    </row>
    <row r="2037" spans="1:2" ht="15.5">
      <c r="A2037" s="1190">
        <v>12.4</v>
      </c>
      <c r="B2037" s="1191">
        <v>0.52559999999999996</v>
      </c>
    </row>
    <row r="2038" spans="1:2" ht="15.5">
      <c r="A2038" s="1190">
        <v>12.5</v>
      </c>
      <c r="B2038" s="1191">
        <v>0.52539999999999998</v>
      </c>
    </row>
    <row r="2039" spans="1:2" ht="15.5">
      <c r="A2039" s="1190">
        <v>12.6</v>
      </c>
      <c r="B2039" s="1191">
        <v>0.5252</v>
      </c>
    </row>
    <row r="2040" spans="1:2" ht="15.5">
      <c r="A2040" s="1190">
        <v>12.7</v>
      </c>
      <c r="B2040" s="1191">
        <v>0.52510000000000001</v>
      </c>
    </row>
    <row r="2041" spans="1:2" ht="15.5">
      <c r="A2041" s="1190">
        <v>12.8</v>
      </c>
      <c r="B2041" s="1191">
        <v>0.52490000000000003</v>
      </c>
    </row>
    <row r="2042" spans="1:2" ht="15.5">
      <c r="A2042" s="1190">
        <v>12.9</v>
      </c>
      <c r="B2042" s="1191">
        <v>0.52480000000000004</v>
      </c>
    </row>
    <row r="2043" spans="1:2" ht="15.5">
      <c r="A2043" s="1190">
        <v>13</v>
      </c>
      <c r="B2043" s="1191">
        <v>0.52459999999999996</v>
      </c>
    </row>
    <row r="2044" spans="1:2" ht="15.5">
      <c r="A2044" s="1190">
        <v>13.1</v>
      </c>
      <c r="B2044" s="1191">
        <v>0.52439999999999998</v>
      </c>
    </row>
    <row r="2045" spans="1:2" ht="15.5">
      <c r="A2045" s="1190">
        <v>13.2</v>
      </c>
      <c r="B2045" s="1191">
        <v>0.52429999999999999</v>
      </c>
    </row>
    <row r="2046" spans="1:2" ht="15.5">
      <c r="A2046" s="1190">
        <v>13.3</v>
      </c>
      <c r="B2046" s="1191">
        <v>0.52410000000000001</v>
      </c>
    </row>
    <row r="2047" spans="1:2" ht="15.5">
      <c r="A2047" s="1190">
        <v>13.4</v>
      </c>
      <c r="B2047" s="1191">
        <v>0.52400000000000002</v>
      </c>
    </row>
    <row r="2048" spans="1:2" ht="15.5">
      <c r="A2048" s="1190">
        <v>13.5</v>
      </c>
      <c r="B2048" s="1191">
        <v>0.52380000000000004</v>
      </c>
    </row>
    <row r="2049" spans="1:2" ht="15.5">
      <c r="A2049" s="1190">
        <v>13.6</v>
      </c>
      <c r="B2049" s="1191">
        <v>0.52359999999999995</v>
      </c>
    </row>
    <row r="2050" spans="1:2" ht="15.5">
      <c r="A2050" s="1190">
        <v>13.7</v>
      </c>
      <c r="B2050" s="1191">
        <v>0.52349999999999997</v>
      </c>
    </row>
    <row r="2051" spans="1:2" ht="15.5">
      <c r="A2051" s="1190">
        <v>13.8</v>
      </c>
      <c r="B2051" s="1191">
        <v>0.52329999999999999</v>
      </c>
    </row>
    <row r="2052" spans="1:2" ht="15.5">
      <c r="A2052" s="1190">
        <v>13.9</v>
      </c>
      <c r="B2052" s="1191">
        <v>0.5232</v>
      </c>
    </row>
    <row r="2053" spans="1:2" ht="15.5">
      <c r="A2053" s="1190">
        <v>14</v>
      </c>
      <c r="B2053" s="1191">
        <v>0.52300000000000002</v>
      </c>
    </row>
    <row r="2054" spans="1:2" ht="15.5">
      <c r="A2054" s="1190">
        <v>14.1</v>
      </c>
      <c r="B2054" s="1191">
        <v>0.52280000000000004</v>
      </c>
    </row>
    <row r="2055" spans="1:2" ht="15.5">
      <c r="A2055" s="1190">
        <v>14.2</v>
      </c>
      <c r="B2055" s="1191">
        <v>0.52259999999999995</v>
      </c>
    </row>
    <row r="2056" spans="1:2" ht="15.5">
      <c r="A2056" s="1190">
        <v>14.3</v>
      </c>
      <c r="B2056" s="1191">
        <v>0.52249999999999996</v>
      </c>
    </row>
    <row r="2057" spans="1:2" ht="15.5">
      <c r="A2057" s="1190">
        <v>14.4</v>
      </c>
      <c r="B2057" s="1191">
        <v>0.52229999999999999</v>
      </c>
    </row>
    <row r="2058" spans="1:2" ht="15.5">
      <c r="A2058" s="1190">
        <v>14.5</v>
      </c>
      <c r="B2058" s="1191">
        <v>0.52210000000000001</v>
      </c>
    </row>
    <row r="2059" spans="1:2" ht="15.5">
      <c r="A2059" s="1190">
        <v>14.6</v>
      </c>
      <c r="B2059" s="1191">
        <v>0.52190000000000003</v>
      </c>
    </row>
    <row r="2060" spans="1:2" ht="15.5">
      <c r="A2060" s="1190">
        <v>14.7</v>
      </c>
      <c r="B2060" s="1191">
        <v>0.52180000000000004</v>
      </c>
    </row>
    <row r="2061" spans="1:2" ht="15.5">
      <c r="A2061" s="1190">
        <v>14.8</v>
      </c>
      <c r="B2061" s="1191">
        <v>0.52159999999999995</v>
      </c>
    </row>
    <row r="2062" spans="1:2" ht="15.5">
      <c r="A2062" s="1190">
        <v>14.9</v>
      </c>
      <c r="B2062" s="1191">
        <v>0.52149999999999996</v>
      </c>
    </row>
    <row r="2063" spans="1:2" ht="15.5">
      <c r="A2063" s="1190">
        <v>15</v>
      </c>
      <c r="B2063" s="1191">
        <v>0.52129999999999999</v>
      </c>
    </row>
    <row r="2064" spans="1:2" ht="15.5">
      <c r="A2064" s="1190">
        <v>15.1</v>
      </c>
      <c r="B2064" s="1191">
        <v>0.52110000000000001</v>
      </c>
    </row>
    <row r="2065" spans="1:2" ht="15.5">
      <c r="A2065" s="1190">
        <v>15.2</v>
      </c>
      <c r="B2065" s="1191">
        <v>0.52100000000000002</v>
      </c>
    </row>
    <row r="2066" spans="1:2" ht="15.5">
      <c r="A2066" s="1190">
        <v>15.3</v>
      </c>
      <c r="B2066" s="1191">
        <v>0.52080000000000004</v>
      </c>
    </row>
    <row r="2067" spans="1:2" ht="15.5">
      <c r="A2067" s="1190">
        <v>15.4</v>
      </c>
      <c r="B2067" s="1191">
        <v>0.52070000000000005</v>
      </c>
    </row>
    <row r="2068" spans="1:2" ht="15.5">
      <c r="A2068" s="1190">
        <v>15.5</v>
      </c>
      <c r="B2068" s="1191">
        <v>0.52049999999999996</v>
      </c>
    </row>
    <row r="2069" spans="1:2" ht="15.5">
      <c r="A2069" s="1190">
        <v>15.6</v>
      </c>
      <c r="B2069" s="1191">
        <v>0.52029999999999998</v>
      </c>
    </row>
    <row r="2070" spans="1:2" ht="15.5">
      <c r="A2070" s="1190">
        <v>15.7</v>
      </c>
      <c r="B2070" s="1191">
        <v>0.5202</v>
      </c>
    </row>
    <row r="2071" spans="1:2" ht="15.5">
      <c r="A2071" s="1190">
        <v>15.8</v>
      </c>
      <c r="B2071" s="1191">
        <v>0.52</v>
      </c>
    </row>
    <row r="2072" spans="1:2" ht="15.5">
      <c r="A2072" s="1190">
        <v>15.9</v>
      </c>
      <c r="B2072" s="1191">
        <v>0.51990000000000003</v>
      </c>
    </row>
    <row r="2073" spans="1:2" ht="15.5">
      <c r="A2073" s="1190">
        <v>16</v>
      </c>
      <c r="B2073" s="1191">
        <v>0.51970000000000005</v>
      </c>
    </row>
    <row r="2074" spans="1:2" ht="15.5">
      <c r="A2074" s="1190">
        <v>16.100000000000001</v>
      </c>
      <c r="B2074" s="1191">
        <v>0.51949999999999996</v>
      </c>
    </row>
    <row r="2075" spans="1:2" ht="15.5">
      <c r="A2075" s="1190">
        <v>16.2</v>
      </c>
      <c r="B2075" s="1191">
        <v>0.51939999999999997</v>
      </c>
    </row>
    <row r="2076" spans="1:2" ht="15.5">
      <c r="A2076" s="1190">
        <v>16.3</v>
      </c>
      <c r="B2076" s="1191">
        <v>0.51919999999999999</v>
      </c>
    </row>
    <row r="2077" spans="1:2" ht="15.5">
      <c r="A2077" s="1190">
        <v>16.399999999999999</v>
      </c>
      <c r="B2077" s="1191">
        <v>0.51910000000000001</v>
      </c>
    </row>
    <row r="2078" spans="1:2" ht="15.5">
      <c r="A2078" s="1190">
        <v>16.5</v>
      </c>
      <c r="B2078" s="1191">
        <v>0.51890000000000003</v>
      </c>
    </row>
    <row r="2079" spans="1:2" ht="15.5">
      <c r="A2079" s="1190">
        <v>16.600000000000001</v>
      </c>
      <c r="B2079" s="1191">
        <v>0.51870000000000005</v>
      </c>
    </row>
    <row r="2080" spans="1:2" ht="15.5">
      <c r="A2080" s="1190">
        <v>16.7</v>
      </c>
      <c r="B2080" s="1191">
        <v>0.51859999999999995</v>
      </c>
    </row>
    <row r="2081" spans="1:2" ht="15.5">
      <c r="A2081" s="1190">
        <v>16.8</v>
      </c>
      <c r="B2081" s="1191">
        <v>0.51839999999999997</v>
      </c>
    </row>
    <row r="2082" spans="1:2" ht="15.5">
      <c r="A2082" s="1190">
        <v>16.899999999999999</v>
      </c>
      <c r="B2082" s="1191">
        <v>0.51829999999999998</v>
      </c>
    </row>
    <row r="2083" spans="1:2" ht="15.5">
      <c r="A2083" s="1190">
        <v>17</v>
      </c>
      <c r="B2083" s="1191">
        <v>0.5181</v>
      </c>
    </row>
    <row r="2084" spans="1:2" ht="15.5">
      <c r="A2084" s="1190">
        <v>17.100000000000001</v>
      </c>
      <c r="B2084" s="1191">
        <v>0.51790000000000003</v>
      </c>
    </row>
    <row r="2085" spans="1:2" ht="15.5">
      <c r="A2085" s="1190">
        <v>17.2</v>
      </c>
      <c r="B2085" s="1191">
        <v>0.51770000000000005</v>
      </c>
    </row>
    <row r="2086" spans="1:2" ht="15.5">
      <c r="A2086" s="1190">
        <v>17.3</v>
      </c>
      <c r="B2086" s="1191">
        <v>0.51759999999999995</v>
      </c>
    </row>
    <row r="2087" spans="1:2" ht="15.5">
      <c r="A2087" s="1190">
        <v>17.399999999999999</v>
      </c>
      <c r="B2087" s="1191">
        <v>0.51739999999999997</v>
      </c>
    </row>
    <row r="2088" spans="1:2" ht="15.5">
      <c r="A2088" s="1190">
        <v>17.5</v>
      </c>
      <c r="B2088" s="1191">
        <v>0.51719999999999999</v>
      </c>
    </row>
    <row r="2089" spans="1:2" ht="15.5">
      <c r="A2089" s="1190">
        <v>17.600000000000001</v>
      </c>
      <c r="B2089" s="1191">
        <v>0.51700000000000002</v>
      </c>
    </row>
    <row r="2090" spans="1:2" ht="15.5">
      <c r="A2090" s="1190">
        <v>17.7</v>
      </c>
      <c r="B2090" s="1191">
        <v>0.51690000000000003</v>
      </c>
    </row>
    <row r="2091" spans="1:2" ht="15.5">
      <c r="A2091" s="1190">
        <v>17.8</v>
      </c>
      <c r="B2091" s="1191">
        <v>0.51670000000000005</v>
      </c>
    </row>
    <row r="2092" spans="1:2" ht="15.5">
      <c r="A2092" s="1190">
        <v>17.899999999999999</v>
      </c>
      <c r="B2092" s="1191">
        <v>0.51659999999999995</v>
      </c>
    </row>
    <row r="2093" spans="1:2" ht="15.5">
      <c r="A2093" s="1190">
        <v>18</v>
      </c>
      <c r="B2093" s="1191">
        <v>0.51639999999999997</v>
      </c>
    </row>
    <row r="2094" spans="1:2" ht="15.5">
      <c r="A2094" s="1190">
        <v>18.100000000000001</v>
      </c>
      <c r="B2094" s="1191">
        <v>0.51619999999999999</v>
      </c>
    </row>
    <row r="2095" spans="1:2" ht="15.5">
      <c r="A2095" s="1190">
        <v>18.2</v>
      </c>
      <c r="B2095" s="1191">
        <v>0.5161</v>
      </c>
    </row>
    <row r="2096" spans="1:2" ht="15.5">
      <c r="A2096" s="1190">
        <v>18.3</v>
      </c>
      <c r="B2096" s="1191">
        <v>0.51590000000000003</v>
      </c>
    </row>
    <row r="2097" spans="1:2" ht="15.5">
      <c r="A2097" s="1190">
        <v>18.399999999999999</v>
      </c>
      <c r="B2097" s="1191">
        <v>0.51580000000000004</v>
      </c>
    </row>
    <row r="2098" spans="1:2" ht="15.5">
      <c r="A2098" s="1190">
        <v>18.5</v>
      </c>
      <c r="B2098" s="1191">
        <v>0.51559999999999995</v>
      </c>
    </row>
    <row r="2099" spans="1:2" ht="15.5">
      <c r="A2099" s="1190">
        <v>18.600000000000001</v>
      </c>
      <c r="B2099" s="1191">
        <v>0.51539999999999997</v>
      </c>
    </row>
    <row r="2100" spans="1:2" ht="15.5">
      <c r="A2100" s="1190">
        <v>18.7</v>
      </c>
      <c r="B2100" s="1191">
        <v>0.51519999999999999</v>
      </c>
    </row>
    <row r="2101" spans="1:2" ht="15.5">
      <c r="A2101" s="1190">
        <v>18.8</v>
      </c>
      <c r="B2101" s="1191">
        <v>0.5151</v>
      </c>
    </row>
    <row r="2102" spans="1:2" ht="15.5">
      <c r="A2102" s="1190">
        <v>18.899999999999999</v>
      </c>
      <c r="B2102" s="1191">
        <v>0.51490000000000002</v>
      </c>
    </row>
    <row r="2103" spans="1:2" ht="15.5">
      <c r="A2103" s="1190">
        <v>19</v>
      </c>
      <c r="B2103" s="1191">
        <v>0.51470000000000005</v>
      </c>
    </row>
    <row r="2104" spans="1:2" ht="15.5">
      <c r="A2104" s="1190">
        <v>19.100000000000001</v>
      </c>
      <c r="B2104" s="1191">
        <v>0.51449999999999996</v>
      </c>
    </row>
    <row r="2105" spans="1:2" ht="15.5">
      <c r="A2105" s="1190">
        <v>19.2</v>
      </c>
      <c r="B2105" s="1191">
        <v>0.51439999999999997</v>
      </c>
    </row>
    <row r="2106" spans="1:2" ht="15.5">
      <c r="A2106" s="1190">
        <v>19.3</v>
      </c>
      <c r="B2106" s="1191">
        <v>0.51419999999999999</v>
      </c>
    </row>
    <row r="2107" spans="1:2" ht="15.5">
      <c r="A2107" s="1190">
        <v>19.399999999999999</v>
      </c>
      <c r="B2107" s="1191">
        <v>0.5141</v>
      </c>
    </row>
    <row r="2108" spans="1:2" ht="15.5">
      <c r="A2108" s="1190">
        <v>19.5</v>
      </c>
      <c r="B2108" s="1191">
        <v>0.51390000000000002</v>
      </c>
    </row>
    <row r="2109" spans="1:2" ht="15.5">
      <c r="A2109" s="1190">
        <v>19.600000000000001</v>
      </c>
      <c r="B2109" s="1191">
        <v>0.51370000000000005</v>
      </c>
    </row>
    <row r="2110" spans="1:2" ht="15.5">
      <c r="A2110" s="1190">
        <v>19.7</v>
      </c>
      <c r="B2110" s="1191">
        <v>0.51359999999999995</v>
      </c>
    </row>
    <row r="2111" spans="1:2" ht="15.5">
      <c r="A2111" s="1190">
        <v>19.8</v>
      </c>
      <c r="B2111" s="1191">
        <v>0.51339999999999997</v>
      </c>
    </row>
    <row r="2112" spans="1:2" ht="15.5">
      <c r="A2112" s="1190">
        <v>19.899999999999999</v>
      </c>
      <c r="B2112" s="1191">
        <v>0.51329999999999998</v>
      </c>
    </row>
    <row r="2113" spans="1:2" ht="15.5">
      <c r="A2113" s="1190">
        <v>20</v>
      </c>
      <c r="B2113" s="1191">
        <v>0.5131</v>
      </c>
    </row>
    <row r="2114" spans="1:2" ht="15.5">
      <c r="A2114" s="1190">
        <v>20.100000000000001</v>
      </c>
      <c r="B2114" s="1191">
        <v>0.51290000000000002</v>
      </c>
    </row>
    <row r="2115" spans="1:2" ht="15.5">
      <c r="A2115" s="1190">
        <v>20.2</v>
      </c>
      <c r="B2115" s="1191">
        <v>0.51270000000000004</v>
      </c>
    </row>
    <row r="2116" spans="1:2" ht="15.5">
      <c r="A2116" s="1190">
        <v>20.3</v>
      </c>
      <c r="B2116" s="1191">
        <v>0.51259999999999994</v>
      </c>
    </row>
    <row r="2117" spans="1:2" ht="15.5">
      <c r="A2117" s="1190">
        <v>20.399999999999999</v>
      </c>
      <c r="B2117" s="1191">
        <v>0.51239999999999997</v>
      </c>
    </row>
    <row r="2118" spans="1:2" ht="15.5">
      <c r="A2118" s="1190">
        <v>20.5</v>
      </c>
      <c r="B2118" s="1191">
        <v>0.51219999999999999</v>
      </c>
    </row>
    <row r="2119" spans="1:2" ht="15.5">
      <c r="A2119" s="1190">
        <v>20.6</v>
      </c>
      <c r="B2119" s="1191">
        <v>0.51200000000000001</v>
      </c>
    </row>
    <row r="2120" spans="1:2" ht="15.5">
      <c r="A2120" s="1190">
        <v>20.7</v>
      </c>
      <c r="B2120" s="1191">
        <v>0.51190000000000002</v>
      </c>
    </row>
    <row r="2121" spans="1:2" ht="15.5">
      <c r="A2121" s="1190">
        <v>20.8</v>
      </c>
      <c r="B2121" s="1191">
        <v>0.51170000000000004</v>
      </c>
    </row>
    <row r="2122" spans="1:2" ht="15.5">
      <c r="A2122" s="1190">
        <v>20.9</v>
      </c>
      <c r="B2122" s="1191">
        <v>0.51160000000000005</v>
      </c>
    </row>
    <row r="2123" spans="1:2" ht="15.5">
      <c r="A2123" s="1190">
        <v>21</v>
      </c>
      <c r="B2123" s="1191">
        <v>0.51139999999999997</v>
      </c>
    </row>
    <row r="2124" spans="1:2" ht="15.5">
      <c r="A2124" s="1190">
        <v>21.1</v>
      </c>
      <c r="B2124" s="1191">
        <v>0.51119999999999999</v>
      </c>
    </row>
    <row r="2125" spans="1:2" ht="15.5">
      <c r="A2125" s="1190">
        <v>21.2</v>
      </c>
      <c r="B2125" s="1191">
        <v>0.51100000000000001</v>
      </c>
    </row>
    <row r="2126" spans="1:2" ht="15.5">
      <c r="A2126" s="1190">
        <v>21.3</v>
      </c>
      <c r="B2126" s="1191">
        <v>0.51090000000000002</v>
      </c>
    </row>
    <row r="2127" spans="1:2" ht="15.5">
      <c r="A2127" s="1190">
        <v>21.4</v>
      </c>
      <c r="B2127" s="1191">
        <v>0.51070000000000004</v>
      </c>
    </row>
    <row r="2128" spans="1:2" ht="15.5">
      <c r="A2128" s="1190">
        <v>21.5</v>
      </c>
      <c r="B2128" s="1191">
        <v>0.51049999999999995</v>
      </c>
    </row>
    <row r="2129" spans="1:2" ht="15.5">
      <c r="A2129" s="1190">
        <v>21.6</v>
      </c>
      <c r="B2129" s="1191">
        <v>0.51029999999999998</v>
      </c>
    </row>
    <row r="2130" spans="1:2" ht="15.5">
      <c r="A2130" s="1190">
        <v>21.7</v>
      </c>
      <c r="B2130" s="1191">
        <v>0.51019999999999999</v>
      </c>
    </row>
    <row r="2131" spans="1:2" ht="15.5">
      <c r="A2131" s="1190">
        <v>21.8</v>
      </c>
      <c r="B2131" s="1191">
        <v>0.51</v>
      </c>
    </row>
    <row r="2132" spans="1:2" ht="15.5">
      <c r="A2132" s="1190">
        <v>21.9</v>
      </c>
      <c r="B2132" s="1191">
        <v>0.50990000000000002</v>
      </c>
    </row>
    <row r="2133" spans="1:2" ht="15.5">
      <c r="A2133" s="1190">
        <v>22</v>
      </c>
      <c r="B2133" s="1191">
        <v>0.50970000000000004</v>
      </c>
    </row>
    <row r="2134" spans="1:2" ht="15.5">
      <c r="A2134" s="1190">
        <v>22.1</v>
      </c>
      <c r="B2134" s="1191">
        <v>0.50949999999999995</v>
      </c>
    </row>
    <row r="2135" spans="1:2" ht="15.5">
      <c r="A2135" s="1190">
        <v>22.2</v>
      </c>
      <c r="B2135" s="1191">
        <v>0.50929999999999997</v>
      </c>
    </row>
    <row r="2136" spans="1:2" ht="15.5">
      <c r="A2136" s="1190">
        <v>22.3</v>
      </c>
      <c r="B2136" s="1191">
        <v>0.50919999999999999</v>
      </c>
    </row>
    <row r="2137" spans="1:2" ht="15.5">
      <c r="A2137" s="1190">
        <v>22.4</v>
      </c>
      <c r="B2137" s="1191">
        <v>0.50900000000000001</v>
      </c>
    </row>
    <row r="2138" spans="1:2" ht="15.5">
      <c r="A2138" s="1190">
        <v>22.5</v>
      </c>
      <c r="B2138" s="1191">
        <v>0.50880000000000003</v>
      </c>
    </row>
    <row r="2139" spans="1:2" ht="15.5">
      <c r="A2139" s="1190">
        <v>22.6</v>
      </c>
      <c r="B2139" s="1191">
        <v>0.50860000000000005</v>
      </c>
    </row>
    <row r="2140" spans="1:2" ht="15.5">
      <c r="A2140" s="1190">
        <v>22.7</v>
      </c>
      <c r="B2140" s="1191">
        <v>0.50849999999999995</v>
      </c>
    </row>
    <row r="2141" spans="1:2" ht="15.5">
      <c r="A2141" s="1190">
        <v>22.8</v>
      </c>
      <c r="B2141" s="1191">
        <v>0.50829999999999997</v>
      </c>
    </row>
    <row r="2142" spans="1:2" ht="15.5">
      <c r="A2142" s="1190">
        <v>22.9</v>
      </c>
      <c r="B2142" s="1191">
        <v>0.50819999999999999</v>
      </c>
    </row>
    <row r="2143" spans="1:2" ht="15.5">
      <c r="A2143" s="1190">
        <v>23</v>
      </c>
      <c r="B2143" s="1191">
        <v>0.50800000000000001</v>
      </c>
    </row>
    <row r="2144" spans="1:2" ht="15.5">
      <c r="A2144" s="1190">
        <v>23.1</v>
      </c>
      <c r="B2144" s="1191">
        <v>0.50780000000000003</v>
      </c>
    </row>
    <row r="2145" spans="1:2" ht="15.5">
      <c r="A2145" s="1190">
        <v>23.2</v>
      </c>
      <c r="B2145" s="1191">
        <v>0.50760000000000005</v>
      </c>
    </row>
    <row r="2146" spans="1:2" ht="15.5">
      <c r="A2146" s="1190">
        <v>23.3</v>
      </c>
      <c r="B2146" s="1191">
        <v>0.50749999999999995</v>
      </c>
    </row>
    <row r="2147" spans="1:2" ht="15.5">
      <c r="A2147" s="1190">
        <v>23.4</v>
      </c>
      <c r="B2147" s="1191">
        <v>0.50729999999999997</v>
      </c>
    </row>
    <row r="2148" spans="1:2" ht="15.5">
      <c r="A2148" s="1190">
        <v>23.5</v>
      </c>
      <c r="B2148" s="1191">
        <v>0.5071</v>
      </c>
    </row>
    <row r="2149" spans="1:2" ht="15.5">
      <c r="A2149" s="1190">
        <v>23.6</v>
      </c>
      <c r="B2149" s="1191">
        <v>0.50690000000000002</v>
      </c>
    </row>
    <row r="2150" spans="1:2" ht="15.5">
      <c r="A2150" s="1190">
        <v>23.7</v>
      </c>
      <c r="B2150" s="1191">
        <v>0.50670000000000004</v>
      </c>
    </row>
    <row r="2151" spans="1:2" ht="15.5">
      <c r="A2151" s="1190">
        <v>23.8</v>
      </c>
      <c r="B2151" s="1191">
        <v>0.50660000000000005</v>
      </c>
    </row>
    <row r="2152" spans="1:2" ht="15.5">
      <c r="A2152" s="1190">
        <v>23.9</v>
      </c>
      <c r="B2152" s="1191">
        <v>0.50639999999999996</v>
      </c>
    </row>
    <row r="2153" spans="1:2" ht="15.5">
      <c r="A2153" s="1190">
        <v>24</v>
      </c>
      <c r="B2153" s="1191">
        <v>0.50619999999999998</v>
      </c>
    </row>
    <row r="2154" spans="1:2" ht="15.5">
      <c r="A2154" s="1190">
        <v>24.1</v>
      </c>
      <c r="B2154" s="1191">
        <v>0.50600000000000001</v>
      </c>
    </row>
    <row r="2155" spans="1:2" ht="15.5">
      <c r="A2155" s="1190">
        <v>24.2</v>
      </c>
      <c r="B2155" s="1191">
        <v>0.50590000000000002</v>
      </c>
    </row>
    <row r="2156" spans="1:2" ht="15.5">
      <c r="A2156" s="1190">
        <v>24.3</v>
      </c>
      <c r="B2156" s="1191">
        <v>0.50570000000000004</v>
      </c>
    </row>
    <row r="2157" spans="1:2" ht="15.5">
      <c r="A2157" s="1190">
        <v>24.4</v>
      </c>
      <c r="B2157" s="1191">
        <v>0.50560000000000005</v>
      </c>
    </row>
    <row r="2158" spans="1:2" ht="15.5">
      <c r="A2158" s="1190">
        <v>24.5</v>
      </c>
      <c r="B2158" s="1191">
        <v>0.50539999999999996</v>
      </c>
    </row>
    <row r="2159" spans="1:2" ht="15.5">
      <c r="A2159" s="1190">
        <v>24.6</v>
      </c>
      <c r="B2159" s="1191">
        <v>0.50519999999999998</v>
      </c>
    </row>
    <row r="2160" spans="1:2" ht="15.5">
      <c r="A2160" s="1190">
        <v>24.7</v>
      </c>
      <c r="B2160" s="1191">
        <v>0.505</v>
      </c>
    </row>
    <row r="2161" spans="1:2" ht="15.5">
      <c r="A2161" s="1190">
        <v>24.8</v>
      </c>
      <c r="B2161" s="1191">
        <v>0.50490000000000002</v>
      </c>
    </row>
    <row r="2162" spans="1:2" ht="15.5">
      <c r="A2162" s="1190">
        <v>24.9</v>
      </c>
      <c r="B2162" s="1191">
        <v>0.50470000000000004</v>
      </c>
    </row>
    <row r="2163" spans="1:2" ht="15.5">
      <c r="A2163" s="1190">
        <v>25</v>
      </c>
      <c r="B2163" s="1191">
        <v>0.50449999999999995</v>
      </c>
    </row>
    <row r="2164" spans="1:2" ht="15.5">
      <c r="A2164" s="1190">
        <v>25.1</v>
      </c>
      <c r="B2164" s="1191">
        <v>0.50429999999999997</v>
      </c>
    </row>
    <row r="2165" spans="1:2" ht="15.5">
      <c r="A2165" s="1190">
        <v>25.2</v>
      </c>
      <c r="B2165" s="1191">
        <v>0.50409999999999999</v>
      </c>
    </row>
    <row r="2166" spans="1:2" ht="15.5">
      <c r="A2166" s="1190">
        <v>25.3</v>
      </c>
      <c r="B2166" s="1191">
        <v>0.504</v>
      </c>
    </row>
    <row r="2167" spans="1:2" ht="15.5">
      <c r="A2167" s="1190">
        <v>25.4</v>
      </c>
      <c r="B2167" s="1191">
        <v>0.50380000000000003</v>
      </c>
    </row>
    <row r="2168" spans="1:2" ht="15.5">
      <c r="A2168" s="1190">
        <v>25.5</v>
      </c>
      <c r="B2168" s="1191">
        <v>0.50360000000000005</v>
      </c>
    </row>
    <row r="2169" spans="1:2" ht="15.5">
      <c r="A2169" s="1190">
        <v>25.6</v>
      </c>
      <c r="B2169" s="1191">
        <v>0.50339999999999996</v>
      </c>
    </row>
    <row r="2170" spans="1:2" ht="15.5">
      <c r="A2170" s="1190">
        <v>25.7</v>
      </c>
      <c r="B2170" s="1191">
        <v>0.50319999999999998</v>
      </c>
    </row>
    <row r="2171" spans="1:2" ht="15.5">
      <c r="A2171" s="1190">
        <v>25.8</v>
      </c>
      <c r="B2171" s="1191">
        <v>0.50309999999999999</v>
      </c>
    </row>
    <row r="2172" spans="1:2" ht="15.5">
      <c r="A2172" s="1190">
        <v>25.9</v>
      </c>
      <c r="B2172" s="1191">
        <v>0.50290000000000001</v>
      </c>
    </row>
    <row r="2173" spans="1:2" ht="15.5">
      <c r="A2173" s="1190">
        <v>26</v>
      </c>
      <c r="B2173" s="1191">
        <v>0.50270000000000004</v>
      </c>
    </row>
    <row r="2174" spans="1:2" ht="15.5">
      <c r="A2174" s="1190">
        <v>26.1</v>
      </c>
      <c r="B2174" s="1191">
        <v>0.50249999999999995</v>
      </c>
    </row>
    <row r="2175" spans="1:2" ht="15.5">
      <c r="A2175" s="1190">
        <v>26.2</v>
      </c>
      <c r="B2175" s="1191">
        <v>0.50239999999999996</v>
      </c>
    </row>
    <row r="2176" spans="1:2" ht="15.5">
      <c r="A2176" s="1190">
        <v>26.3</v>
      </c>
      <c r="B2176" s="1191">
        <v>0.50219999999999998</v>
      </c>
    </row>
    <row r="2177" spans="1:2" ht="15.5">
      <c r="A2177" s="1190">
        <v>26.4</v>
      </c>
      <c r="B2177" s="1191">
        <v>0.50209999999999999</v>
      </c>
    </row>
    <row r="2178" spans="1:2" ht="15.5">
      <c r="A2178" s="1190">
        <v>26.5</v>
      </c>
      <c r="B2178" s="1191">
        <v>0.50190000000000001</v>
      </c>
    </row>
    <row r="2179" spans="1:2" ht="15.5">
      <c r="A2179" s="1190">
        <v>26.6</v>
      </c>
      <c r="B2179" s="1191">
        <v>0.50170000000000003</v>
      </c>
    </row>
    <row r="2180" spans="1:2" ht="15.5">
      <c r="A2180" s="1190">
        <v>26.7</v>
      </c>
      <c r="B2180" s="1191">
        <v>0.50149999999999995</v>
      </c>
    </row>
    <row r="2181" spans="1:2" ht="15.5">
      <c r="A2181" s="1190">
        <v>26.8</v>
      </c>
      <c r="B2181" s="1191">
        <v>0.50139999999999996</v>
      </c>
    </row>
    <row r="2182" spans="1:2" ht="15.5">
      <c r="A2182" s="1190">
        <v>26.9</v>
      </c>
      <c r="B2182" s="1191">
        <v>0.50119999999999998</v>
      </c>
    </row>
    <row r="2183" spans="1:2" ht="15.5">
      <c r="A2183" s="1190">
        <v>27</v>
      </c>
      <c r="B2183" s="1191">
        <v>0.501</v>
      </c>
    </row>
    <row r="2184" spans="1:2" ht="15.5">
      <c r="A2184" s="1190">
        <v>27.1</v>
      </c>
      <c r="B2184" s="1191">
        <v>0.50080000000000002</v>
      </c>
    </row>
    <row r="2185" spans="1:2" ht="15.5">
      <c r="A2185" s="1190">
        <v>27.2</v>
      </c>
      <c r="B2185" s="1191">
        <v>0.50060000000000004</v>
      </c>
    </row>
    <row r="2186" spans="1:2" ht="15.5">
      <c r="A2186" s="1190">
        <v>27.3</v>
      </c>
      <c r="B2186" s="1191">
        <v>0.50049999999999994</v>
      </c>
    </row>
    <row r="2187" spans="1:2" ht="15.5">
      <c r="A2187" s="1190">
        <v>27.4</v>
      </c>
      <c r="B2187" s="1191">
        <v>0.50029999999999997</v>
      </c>
    </row>
    <row r="2188" spans="1:2" ht="15.5">
      <c r="A2188" s="1190">
        <v>27.5</v>
      </c>
      <c r="B2188" s="1191">
        <v>0.50009999999999999</v>
      </c>
    </row>
    <row r="2189" spans="1:2" ht="15.5">
      <c r="A2189" s="1190">
        <v>27.6</v>
      </c>
      <c r="B2189" s="1191">
        <v>0.49990000000000001</v>
      </c>
    </row>
    <row r="2190" spans="1:2" ht="15.5">
      <c r="A2190" s="1190">
        <v>27.7</v>
      </c>
      <c r="B2190" s="1191">
        <v>0.49969999999999998</v>
      </c>
    </row>
    <row r="2191" spans="1:2" ht="15.5">
      <c r="A2191" s="1190">
        <v>27.8</v>
      </c>
      <c r="B2191" s="1191">
        <v>0.49959999999999999</v>
      </c>
    </row>
    <row r="2192" spans="1:2" ht="15.5">
      <c r="A2192" s="1190">
        <v>27.9</v>
      </c>
      <c r="B2192" s="1191">
        <v>0.49940000000000001</v>
      </c>
    </row>
    <row r="2193" spans="1:2" ht="15.5">
      <c r="A2193" s="1190">
        <v>28</v>
      </c>
      <c r="B2193" s="1191">
        <v>0.49919999999999998</v>
      </c>
    </row>
    <row r="2194" spans="1:2" ht="15.5">
      <c r="A2194" s="1190">
        <v>28.1</v>
      </c>
      <c r="B2194" s="1191">
        <v>0.499</v>
      </c>
    </row>
    <row r="2195" spans="1:2" ht="15.5">
      <c r="A2195" s="1190">
        <v>28.2</v>
      </c>
      <c r="B2195" s="1191">
        <v>0.49880000000000002</v>
      </c>
    </row>
    <row r="2196" spans="1:2" ht="15.5">
      <c r="A2196" s="1190">
        <v>28.3</v>
      </c>
      <c r="B2196" s="1191">
        <v>0.49869999999999998</v>
      </c>
    </row>
    <row r="2197" spans="1:2" ht="15.5">
      <c r="A2197" s="1190">
        <v>28.4</v>
      </c>
      <c r="B2197" s="1191">
        <v>0.4985</v>
      </c>
    </row>
    <row r="2198" spans="1:2" ht="15.5">
      <c r="A2198" s="1190">
        <v>28.5</v>
      </c>
      <c r="B2198" s="1191">
        <v>0.49830000000000002</v>
      </c>
    </row>
    <row r="2199" spans="1:2" ht="15.5">
      <c r="A2199" s="1190">
        <v>28.6</v>
      </c>
      <c r="B2199" s="1191">
        <v>0.49809999999999999</v>
      </c>
    </row>
    <row r="2200" spans="1:2" ht="15.5">
      <c r="A2200" s="1190">
        <v>28.7</v>
      </c>
      <c r="B2200" s="1191">
        <v>0.49790000000000001</v>
      </c>
    </row>
    <row r="2201" spans="1:2" ht="15.5">
      <c r="A2201" s="1190">
        <v>28.8</v>
      </c>
      <c r="B2201" s="1191">
        <v>0.49780000000000002</v>
      </c>
    </row>
    <row r="2202" spans="1:2" ht="15.5">
      <c r="A2202" s="1190">
        <v>28.9</v>
      </c>
      <c r="B2202" s="1191">
        <v>0.49759999999999999</v>
      </c>
    </row>
    <row r="2203" spans="1:2" ht="15.5">
      <c r="A2203" s="1190">
        <v>29</v>
      </c>
      <c r="B2203" s="1191">
        <v>0.49740000000000001</v>
      </c>
    </row>
    <row r="2204" spans="1:2" ht="15.5">
      <c r="A2204" s="1190">
        <v>29.1</v>
      </c>
      <c r="B2204" s="1191">
        <v>0.49719999999999998</v>
      </c>
    </row>
    <row r="2205" spans="1:2" ht="15.5">
      <c r="A2205" s="1190">
        <v>29.2</v>
      </c>
      <c r="B2205" s="1191">
        <v>0.497</v>
      </c>
    </row>
    <row r="2206" spans="1:2" ht="15.5">
      <c r="A2206" s="1190">
        <v>29.3</v>
      </c>
      <c r="B2206" s="1191">
        <v>0.49690000000000001</v>
      </c>
    </row>
    <row r="2207" spans="1:2" ht="15.5">
      <c r="A2207" s="1190">
        <v>29.4</v>
      </c>
      <c r="B2207" s="1191">
        <v>0.49669999999999997</v>
      </c>
    </row>
    <row r="2208" spans="1:2" ht="15.5">
      <c r="A2208" s="1190">
        <v>29.5</v>
      </c>
      <c r="B2208" s="1191">
        <v>0.4965</v>
      </c>
    </row>
    <row r="2209" spans="1:2" ht="15.5">
      <c r="A2209" s="1190">
        <v>29.6</v>
      </c>
      <c r="B2209" s="1191">
        <v>0.49630000000000002</v>
      </c>
    </row>
    <row r="2210" spans="1:2" ht="15.5">
      <c r="A2210" s="1190">
        <v>29.7</v>
      </c>
      <c r="B2210" s="1191">
        <v>0.49609999999999999</v>
      </c>
    </row>
    <row r="2211" spans="1:2" ht="15.5">
      <c r="A2211" s="1190">
        <v>29.8</v>
      </c>
      <c r="B2211" s="1191">
        <v>0.496</v>
      </c>
    </row>
    <row r="2212" spans="1:2" ht="15.5">
      <c r="A2212" s="1190">
        <v>29.9</v>
      </c>
      <c r="B2212" s="1191">
        <v>0.49580000000000002</v>
      </c>
    </row>
    <row r="2213" spans="1:2" ht="15.5">
      <c r="A2213" s="1190">
        <v>30</v>
      </c>
      <c r="B2213" s="1191">
        <v>0.49559999999999998</v>
      </c>
    </row>
    <row r="2214" spans="1:2" ht="15.5">
      <c r="A2214" s="1190">
        <v>30.1</v>
      </c>
      <c r="B2214" s="1191">
        <v>0.49540000000000001</v>
      </c>
    </row>
    <row r="2215" spans="1:2" ht="15.5">
      <c r="A2215" s="1190">
        <v>30.2</v>
      </c>
      <c r="B2215" s="1191">
        <v>0.49519999999999997</v>
      </c>
    </row>
    <row r="2216" spans="1:2" ht="15.5">
      <c r="A2216" s="1190">
        <v>30.3</v>
      </c>
      <c r="B2216" s="1191">
        <v>0.49509999999999998</v>
      </c>
    </row>
    <row r="2217" spans="1:2" ht="15.5">
      <c r="A2217" s="1190">
        <v>30.4</v>
      </c>
      <c r="B2217" s="1191">
        <v>0.49490000000000001</v>
      </c>
    </row>
    <row r="2218" spans="1:2" ht="15.5">
      <c r="A2218" s="1190">
        <v>30.5</v>
      </c>
      <c r="B2218" s="1191">
        <v>0.49469999999999997</v>
      </c>
    </row>
    <row r="2219" spans="1:2" ht="15.5">
      <c r="A2219" s="1190">
        <v>30.6</v>
      </c>
      <c r="B2219" s="1191">
        <v>0.4945</v>
      </c>
    </row>
    <row r="2220" spans="1:2" ht="15.5">
      <c r="A2220" s="1190">
        <v>30.7</v>
      </c>
      <c r="B2220" s="1191">
        <v>0.49430000000000002</v>
      </c>
    </row>
    <row r="2221" spans="1:2" ht="15.5">
      <c r="A2221" s="1190">
        <v>30.8</v>
      </c>
      <c r="B2221" s="1191">
        <v>0.49419999999999997</v>
      </c>
    </row>
    <row r="2222" spans="1:2" ht="15.5">
      <c r="A2222" s="1190">
        <v>30.9</v>
      </c>
      <c r="B2222" s="1191">
        <v>0.49399999999999999</v>
      </c>
    </row>
    <row r="2223" spans="1:2" ht="15.5">
      <c r="A2223" s="1190">
        <v>31</v>
      </c>
      <c r="B2223" s="1191">
        <v>0.49380000000000002</v>
      </c>
    </row>
    <row r="2224" spans="1:2" ht="15.5">
      <c r="A2224" s="1190">
        <v>31.1</v>
      </c>
      <c r="B2224" s="1191">
        <v>0.49359999999999998</v>
      </c>
    </row>
    <row r="2225" spans="1:2" ht="15.5">
      <c r="A2225" s="1190">
        <v>31.2</v>
      </c>
      <c r="B2225" s="1191">
        <v>0.49340000000000001</v>
      </c>
    </row>
    <row r="2226" spans="1:2" ht="15.5">
      <c r="A2226" s="1190">
        <v>31.3</v>
      </c>
      <c r="B2226" s="1191">
        <v>0.49330000000000002</v>
      </c>
    </row>
    <row r="2227" spans="1:2" ht="15.5">
      <c r="A2227" s="1190">
        <v>31.4</v>
      </c>
      <c r="B2227" s="1191">
        <v>0.49309999999999998</v>
      </c>
    </row>
    <row r="2228" spans="1:2" ht="15.5">
      <c r="A2228" s="1190">
        <v>31.5</v>
      </c>
      <c r="B2228" s="1191">
        <v>0.4929</v>
      </c>
    </row>
    <row r="2229" spans="1:2" ht="15.5">
      <c r="A2229" s="1190">
        <v>31.6</v>
      </c>
      <c r="B2229" s="1191">
        <v>0.49270000000000003</v>
      </c>
    </row>
    <row r="2230" spans="1:2" ht="15.5">
      <c r="A2230" s="1190">
        <v>31.7</v>
      </c>
      <c r="B2230" s="1191">
        <v>0.49249999999999999</v>
      </c>
    </row>
    <row r="2231" spans="1:2" ht="15.5">
      <c r="A2231" s="1190">
        <v>31.8</v>
      </c>
      <c r="B2231" s="1191">
        <v>0.49230000000000002</v>
      </c>
    </row>
    <row r="2232" spans="1:2" ht="15.5">
      <c r="A2232" s="1190">
        <v>31.9</v>
      </c>
      <c r="B2232" s="1191">
        <v>0.49209999999999998</v>
      </c>
    </row>
    <row r="2233" spans="1:2" ht="15.5">
      <c r="A2233" s="1190">
        <v>32</v>
      </c>
      <c r="B2233" s="1191">
        <v>0.4919</v>
      </c>
    </row>
    <row r="2234" spans="1:2" ht="15.5">
      <c r="A2234" s="1190">
        <v>32.1</v>
      </c>
      <c r="B2234" s="1191">
        <v>0.49170000000000003</v>
      </c>
    </row>
    <row r="2235" spans="1:2" ht="15.5">
      <c r="A2235" s="1190">
        <v>32.200000000000003</v>
      </c>
      <c r="B2235" s="1191">
        <v>0.49149999999999999</v>
      </c>
    </row>
    <row r="2236" spans="1:2" ht="15.5">
      <c r="A2236" s="1190">
        <v>32.299999999999997</v>
      </c>
      <c r="B2236" s="1191">
        <v>0.4914</v>
      </c>
    </row>
    <row r="2237" spans="1:2" ht="15.5">
      <c r="A2237" s="1190">
        <v>32.4</v>
      </c>
      <c r="B2237" s="1191">
        <v>0.49120000000000003</v>
      </c>
    </row>
    <row r="2238" spans="1:2" ht="15.5">
      <c r="A2238" s="1190">
        <v>32.5</v>
      </c>
      <c r="B2238" s="1191">
        <v>0.49099999999999999</v>
      </c>
    </row>
    <row r="2239" spans="1:2" ht="15.5">
      <c r="A2239" s="1190">
        <v>32.6</v>
      </c>
      <c r="B2239" s="1191">
        <v>0.49080000000000001</v>
      </c>
    </row>
    <row r="2240" spans="1:2" ht="15.5">
      <c r="A2240" s="1190">
        <v>32.700000000000003</v>
      </c>
      <c r="B2240" s="1191">
        <v>0.49059999999999998</v>
      </c>
    </row>
    <row r="2241" spans="1:2" ht="15.5">
      <c r="A2241" s="1190">
        <v>32.799999999999997</v>
      </c>
      <c r="B2241" s="1191">
        <v>0.49049999999999999</v>
      </c>
    </row>
    <row r="2242" spans="1:2" ht="15.5">
      <c r="A2242" s="1190">
        <v>32.9</v>
      </c>
      <c r="B2242" s="1191">
        <v>0.49030000000000001</v>
      </c>
    </row>
    <row r="2243" spans="1:2" ht="15.5">
      <c r="A2243" s="1190">
        <v>33</v>
      </c>
      <c r="B2243" s="1191">
        <v>0.49009999999999998</v>
      </c>
    </row>
    <row r="2244" spans="1:2" ht="15.5">
      <c r="A2244" s="1190">
        <v>33.1</v>
      </c>
      <c r="B2244" s="1191">
        <v>0.4899</v>
      </c>
    </row>
    <row r="2245" spans="1:2" ht="15.5">
      <c r="A2245" s="1190">
        <v>33.200000000000003</v>
      </c>
      <c r="B2245" s="1191">
        <v>0.48970000000000002</v>
      </c>
    </row>
    <row r="2246" spans="1:2" ht="15.5">
      <c r="A2246" s="1190">
        <v>33.299999999999997</v>
      </c>
      <c r="B2246" s="1191">
        <v>0.48959999999999998</v>
      </c>
    </row>
    <row r="2247" spans="1:2" ht="15.5">
      <c r="A2247" s="1190">
        <v>33.4</v>
      </c>
      <c r="B2247" s="1191">
        <v>0.4894</v>
      </c>
    </row>
    <row r="2248" spans="1:2" ht="15.5">
      <c r="A2248" s="1190">
        <v>33.5</v>
      </c>
      <c r="B2248" s="1191">
        <v>0.48920000000000002</v>
      </c>
    </row>
    <row r="2249" spans="1:2" ht="15.5">
      <c r="A2249" s="1190">
        <v>33.6</v>
      </c>
      <c r="B2249" s="1191">
        <v>0.48899999999999999</v>
      </c>
    </row>
    <row r="2250" spans="1:2" ht="15.5">
      <c r="A2250" s="1190">
        <v>33.700000000000003</v>
      </c>
      <c r="B2250" s="1191">
        <v>0.48880000000000001</v>
      </c>
    </row>
    <row r="2251" spans="1:2" ht="15.5">
      <c r="A2251" s="1190">
        <v>33.799999999999997</v>
      </c>
      <c r="B2251" s="1191">
        <v>0.48859999999999998</v>
      </c>
    </row>
    <row r="2252" spans="1:2" ht="15.5">
      <c r="A2252" s="1190">
        <v>33.9</v>
      </c>
      <c r="B2252" s="1191">
        <v>0.4884</v>
      </c>
    </row>
    <row r="2253" spans="1:2" ht="15.5">
      <c r="A2253" s="1190">
        <v>34</v>
      </c>
      <c r="B2253" s="1191">
        <v>0.48820000000000002</v>
      </c>
    </row>
    <row r="2254" spans="1:2" ht="15.5">
      <c r="A2254" s="1190">
        <v>34.1</v>
      </c>
      <c r="B2254" s="1191">
        <v>0.48799999999999999</v>
      </c>
    </row>
    <row r="2255" spans="1:2" ht="15.5">
      <c r="A2255" s="1190">
        <v>34.200000000000003</v>
      </c>
      <c r="B2255" s="1191">
        <v>0.48780000000000001</v>
      </c>
    </row>
    <row r="2256" spans="1:2" ht="15.5">
      <c r="A2256" s="1190">
        <v>34.299999999999997</v>
      </c>
      <c r="B2256" s="1191">
        <v>0.48770000000000002</v>
      </c>
    </row>
    <row r="2257" spans="1:2" ht="15.5">
      <c r="A2257" s="1190">
        <v>34.4</v>
      </c>
      <c r="B2257" s="1191">
        <v>0.48749999999999999</v>
      </c>
    </row>
    <row r="2258" spans="1:2" ht="15.5">
      <c r="A2258" s="1190">
        <v>34.5</v>
      </c>
      <c r="B2258" s="1191">
        <v>0.48730000000000001</v>
      </c>
    </row>
    <row r="2259" spans="1:2" ht="15.5">
      <c r="A2259" s="1190">
        <v>34.6</v>
      </c>
      <c r="B2259" s="1191">
        <v>0.48709999999999998</v>
      </c>
    </row>
    <row r="2260" spans="1:2" ht="15.5">
      <c r="A2260" s="1190">
        <v>34.700000000000003</v>
      </c>
      <c r="B2260" s="1191">
        <v>0.4869</v>
      </c>
    </row>
    <row r="2261" spans="1:2" ht="15.5">
      <c r="A2261" s="1190">
        <v>34.799999999999997</v>
      </c>
      <c r="B2261" s="1191">
        <v>0.48670000000000002</v>
      </c>
    </row>
    <row r="2262" spans="1:2" ht="15.5">
      <c r="A2262" s="1190">
        <v>34.9</v>
      </c>
      <c r="B2262" s="1191">
        <v>0.48649999999999999</v>
      </c>
    </row>
    <row r="2263" spans="1:2" ht="15.5">
      <c r="A2263" s="1190">
        <v>35</v>
      </c>
      <c r="B2263" s="1191">
        <v>0.48630000000000001</v>
      </c>
    </row>
    <row r="2264" spans="1:2" ht="15.5">
      <c r="A2264" s="1190">
        <v>35.1</v>
      </c>
      <c r="B2264" s="1191">
        <v>0.48609999999999998</v>
      </c>
    </row>
    <row r="2265" spans="1:2" ht="15.5">
      <c r="A2265" s="1190">
        <v>35.200000000000003</v>
      </c>
      <c r="B2265" s="1191">
        <v>0.4859</v>
      </c>
    </row>
    <row r="2266" spans="1:2" ht="15.5">
      <c r="A2266" s="1190">
        <v>35.299999999999997</v>
      </c>
      <c r="B2266" s="1191">
        <v>0.48580000000000001</v>
      </c>
    </row>
    <row r="2267" spans="1:2" ht="15.5">
      <c r="A2267" s="1190">
        <v>35.4</v>
      </c>
      <c r="B2267" s="1191">
        <v>0.48559999999999998</v>
      </c>
    </row>
    <row r="2268" spans="1:2" ht="15.5">
      <c r="A2268" s="1190">
        <v>35.5</v>
      </c>
      <c r="B2268" s="1191">
        <v>0.4854</v>
      </c>
    </row>
    <row r="2269" spans="1:2" ht="15.5">
      <c r="A2269" s="1190">
        <v>35.6</v>
      </c>
      <c r="B2269" s="1191">
        <v>0.48520000000000002</v>
      </c>
    </row>
    <row r="2270" spans="1:2" ht="15.5">
      <c r="A2270" s="1190">
        <v>35.700000000000003</v>
      </c>
      <c r="B2270" s="1191">
        <v>0.48499999999999999</v>
      </c>
    </row>
    <row r="2271" spans="1:2" ht="15.5">
      <c r="A2271" s="1190">
        <v>35.799999999999997</v>
      </c>
      <c r="B2271" s="1191">
        <v>0.48480000000000001</v>
      </c>
    </row>
    <row r="2272" spans="1:2" ht="15.5">
      <c r="A2272" s="1190">
        <v>35.9</v>
      </c>
      <c r="B2272" s="1191">
        <v>0.48459999999999998</v>
      </c>
    </row>
    <row r="2273" spans="1:2" ht="15.5">
      <c r="A2273" s="1190">
        <v>36</v>
      </c>
      <c r="B2273" s="1191">
        <v>0.4844</v>
      </c>
    </row>
    <row r="2274" spans="1:2" ht="15.5">
      <c r="A2274" s="1190">
        <v>36.1</v>
      </c>
      <c r="B2274" s="1191">
        <v>0.48420000000000002</v>
      </c>
    </row>
    <row r="2275" spans="1:2" ht="15.5">
      <c r="A2275" s="1190">
        <v>36.200000000000003</v>
      </c>
      <c r="B2275" s="1191">
        <v>0.48399999999999999</v>
      </c>
    </row>
    <row r="2276" spans="1:2" ht="15.5">
      <c r="A2276" s="1190">
        <v>36.299999999999997</v>
      </c>
      <c r="B2276" s="1191">
        <v>0.4839</v>
      </c>
    </row>
    <row r="2277" spans="1:2" ht="15.5">
      <c r="A2277" s="1190">
        <v>36.4</v>
      </c>
      <c r="B2277" s="1191">
        <v>0.48370000000000002</v>
      </c>
    </row>
    <row r="2278" spans="1:2" ht="15.5">
      <c r="A2278" s="1190">
        <v>36.5</v>
      </c>
      <c r="B2278" s="1191">
        <v>0.48349999999999999</v>
      </c>
    </row>
    <row r="2279" spans="1:2" ht="15.5">
      <c r="A2279" s="1190">
        <v>36.6</v>
      </c>
      <c r="B2279" s="1191">
        <v>0.48330000000000001</v>
      </c>
    </row>
    <row r="2280" spans="1:2" ht="15.5">
      <c r="A2280" s="1190">
        <v>36.700000000000003</v>
      </c>
      <c r="B2280" s="1191">
        <v>0.48309999999999997</v>
      </c>
    </row>
    <row r="2281" spans="1:2" ht="15.5">
      <c r="A2281" s="1190">
        <v>36.799999999999997</v>
      </c>
      <c r="B2281" s="1191">
        <v>0.4829</v>
      </c>
    </row>
    <row r="2282" spans="1:2" ht="15.5">
      <c r="A2282" s="1190">
        <v>36.9</v>
      </c>
      <c r="B2282" s="1191">
        <v>0.48270000000000002</v>
      </c>
    </row>
    <row r="2283" spans="1:2" ht="15.5">
      <c r="A2283" s="1190">
        <v>37</v>
      </c>
      <c r="B2283" s="1191">
        <v>0.48249999999999998</v>
      </c>
    </row>
    <row r="2284" spans="1:2" ht="15.5">
      <c r="A2284" s="1190">
        <v>37.1</v>
      </c>
      <c r="B2284" s="1191">
        <v>0.48230000000000001</v>
      </c>
    </row>
    <row r="2285" spans="1:2" ht="15.5">
      <c r="A2285" s="1190">
        <v>37.200000000000003</v>
      </c>
      <c r="B2285" s="1191">
        <v>0.48209999999999997</v>
      </c>
    </row>
    <row r="2286" spans="1:2" ht="15.5">
      <c r="A2286" s="1190">
        <v>37.299999999999997</v>
      </c>
      <c r="B2286" s="1191">
        <v>0.48199999999999998</v>
      </c>
    </row>
    <row r="2287" spans="1:2" ht="15.5">
      <c r="A2287" s="1190">
        <v>37.4</v>
      </c>
      <c r="B2287" s="1191">
        <v>0.48180000000000001</v>
      </c>
    </row>
    <row r="2288" spans="1:2" ht="15.5">
      <c r="A2288" s="1190">
        <v>37.5</v>
      </c>
      <c r="B2288" s="1191">
        <v>0.48159999999999997</v>
      </c>
    </row>
    <row r="2289" spans="1:2" ht="15.5">
      <c r="A2289" s="1190">
        <v>37.6</v>
      </c>
      <c r="B2289" s="1191">
        <v>0.48139999999999999</v>
      </c>
    </row>
    <row r="2290" spans="1:2" ht="15.5">
      <c r="A2290" s="1190">
        <v>37.700000000000003</v>
      </c>
      <c r="B2290" s="1191">
        <v>0.48120000000000002</v>
      </c>
    </row>
    <row r="2291" spans="1:2" ht="15.5">
      <c r="A2291" s="1190">
        <v>37.799999999999997</v>
      </c>
      <c r="B2291" s="1191">
        <v>0.48099999999999998</v>
      </c>
    </row>
    <row r="2292" spans="1:2" ht="15.5">
      <c r="A2292" s="1190">
        <v>37.9</v>
      </c>
      <c r="B2292" s="1191">
        <v>0.48080000000000001</v>
      </c>
    </row>
    <row r="2293" spans="1:2" ht="15.5">
      <c r="A2293" s="1190">
        <v>38</v>
      </c>
      <c r="B2293" s="1191">
        <v>0.48060000000000003</v>
      </c>
    </row>
    <row r="2294" spans="1:2" ht="15.5">
      <c r="A2294" s="1190">
        <v>38.1</v>
      </c>
      <c r="B2294" s="1191">
        <v>0.48039999999999999</v>
      </c>
    </row>
    <row r="2295" spans="1:2" ht="15.5">
      <c r="A2295" s="1190">
        <v>38.200000000000003</v>
      </c>
      <c r="B2295" s="1191">
        <v>0.48020000000000002</v>
      </c>
    </row>
    <row r="2296" spans="1:2" ht="15.5">
      <c r="A2296" s="1190">
        <v>38.299999999999997</v>
      </c>
      <c r="B2296" s="1191">
        <v>0.48</v>
      </c>
    </row>
    <row r="2297" spans="1:2" ht="15.5">
      <c r="A2297" s="1190">
        <v>38.4</v>
      </c>
      <c r="B2297" s="1191">
        <v>0.4798</v>
      </c>
    </row>
    <row r="2298" spans="1:2" ht="15.5">
      <c r="A2298" s="1190">
        <v>38.5</v>
      </c>
      <c r="B2298" s="1191">
        <v>0.47960000000000003</v>
      </c>
    </row>
    <row r="2299" spans="1:2" ht="15.5">
      <c r="A2299" s="1190">
        <v>38.6</v>
      </c>
      <c r="B2299" s="1191">
        <v>0.47939999999999999</v>
      </c>
    </row>
    <row r="2300" spans="1:2" ht="15.5">
      <c r="A2300" s="1190">
        <v>38.700000000000003</v>
      </c>
      <c r="B2300" s="1191">
        <v>0.47920000000000001</v>
      </c>
    </row>
    <row r="2301" spans="1:2" ht="15.5">
      <c r="A2301" s="1190">
        <v>38.799999999999997</v>
      </c>
      <c r="B2301" s="1191">
        <v>0.47899999999999998</v>
      </c>
    </row>
    <row r="2302" spans="1:2" ht="15.5">
      <c r="A2302" s="1190">
        <v>38.9</v>
      </c>
      <c r="B2302" s="1191">
        <v>0.4788</v>
      </c>
    </row>
    <row r="2303" spans="1:2" ht="15.5">
      <c r="A2303" s="1190">
        <v>39</v>
      </c>
      <c r="B2303" s="1191">
        <v>0.47860000000000003</v>
      </c>
    </row>
    <row r="2304" spans="1:2" ht="15.5">
      <c r="A2304" s="1190">
        <v>39.1</v>
      </c>
      <c r="B2304" s="1191">
        <v>0.47839999999999999</v>
      </c>
    </row>
    <row r="2305" spans="1:2" ht="15.5">
      <c r="A2305" s="1190">
        <v>39.200000000000003</v>
      </c>
      <c r="B2305" s="1191">
        <v>0.47820000000000001</v>
      </c>
    </row>
    <row r="2306" spans="1:2" ht="15.5">
      <c r="A2306" s="1190">
        <v>39.299999999999997</v>
      </c>
      <c r="B2306" s="1191">
        <v>0.47810000000000002</v>
      </c>
    </row>
    <row r="2307" spans="1:2" ht="15.5">
      <c r="A2307" s="1190">
        <v>39.4</v>
      </c>
      <c r="B2307" s="1191">
        <v>0.47789999999999999</v>
      </c>
    </row>
    <row r="2308" spans="1:2" ht="15.5">
      <c r="A2308" s="1190">
        <v>39.5</v>
      </c>
      <c r="B2308" s="1191">
        <v>0.47770000000000001</v>
      </c>
    </row>
    <row r="2309" spans="1:2" ht="15.5">
      <c r="A2309" s="1190">
        <v>39.6</v>
      </c>
      <c r="B2309" s="1191">
        <v>0.47749999999999998</v>
      </c>
    </row>
    <row r="2310" spans="1:2" ht="15.5">
      <c r="A2310" s="1190">
        <v>39.700000000000003</v>
      </c>
      <c r="B2310" s="1191">
        <v>0.4773</v>
      </c>
    </row>
    <row r="2311" spans="1:2" ht="15.5">
      <c r="A2311" s="1190">
        <v>39.799999999999997</v>
      </c>
      <c r="B2311" s="1191">
        <v>0.47710000000000002</v>
      </c>
    </row>
    <row r="2312" spans="1:2" ht="15.5">
      <c r="A2312" s="1190">
        <v>39.9</v>
      </c>
      <c r="B2312" s="1191">
        <v>0.47689999999999999</v>
      </c>
    </row>
    <row r="2313" spans="1:2" ht="15.5">
      <c r="A2313" s="1190">
        <v>40</v>
      </c>
      <c r="B2313" s="1191">
        <v>0.47670000000000001</v>
      </c>
    </row>
    <row r="2314" spans="1:2" ht="15.5">
      <c r="A2314" s="1190">
        <v>40.1</v>
      </c>
      <c r="B2314" s="1191">
        <v>0.47649999999999998</v>
      </c>
    </row>
    <row r="2315" spans="1:2" ht="15.5">
      <c r="A2315" s="1190">
        <v>40.200000000000003</v>
      </c>
      <c r="B2315" s="1191">
        <v>0.4763</v>
      </c>
    </row>
    <row r="2316" spans="1:2" ht="15.5">
      <c r="A2316" s="1190">
        <v>40.299999999999997</v>
      </c>
      <c r="B2316" s="1191">
        <v>0.47610000000000002</v>
      </c>
    </row>
    <row r="2317" spans="1:2" ht="15.5">
      <c r="A2317" s="1190">
        <v>40.4</v>
      </c>
      <c r="B2317" s="1191">
        <v>0.47589999999999999</v>
      </c>
    </row>
    <row r="2318" spans="1:2" ht="15.5">
      <c r="A2318" s="1190">
        <v>40.5</v>
      </c>
      <c r="B2318" s="1191">
        <v>0.47570000000000001</v>
      </c>
    </row>
    <row r="2319" spans="1:2" ht="15.5">
      <c r="A2319" s="1190">
        <v>40.6</v>
      </c>
      <c r="B2319" s="1191">
        <v>0.47549999999999998</v>
      </c>
    </row>
    <row r="2320" spans="1:2" ht="15.5">
      <c r="A2320" s="1190">
        <v>40.700000000000003</v>
      </c>
      <c r="B2320" s="1191">
        <v>0.4753</v>
      </c>
    </row>
    <row r="2321" spans="1:2" ht="15.5">
      <c r="A2321" s="1190">
        <v>40.799999999999997</v>
      </c>
      <c r="B2321" s="1191">
        <v>0.47510000000000002</v>
      </c>
    </row>
    <row r="2322" spans="1:2" ht="15.5">
      <c r="A2322" s="1190">
        <v>40.9</v>
      </c>
      <c r="B2322" s="1191">
        <v>0.47489999999999999</v>
      </c>
    </row>
    <row r="2323" spans="1:2" ht="15.5">
      <c r="A2323" s="1190">
        <v>41</v>
      </c>
      <c r="B2323" s="1191">
        <v>0.47470000000000001</v>
      </c>
    </row>
    <row r="2324" spans="1:2" ht="15.5">
      <c r="A2324" s="1190">
        <v>41.1</v>
      </c>
      <c r="B2324" s="1191">
        <v>0.47449999999999998</v>
      </c>
    </row>
    <row r="2325" spans="1:2" ht="15.5">
      <c r="A2325" s="1190">
        <v>41.2</v>
      </c>
      <c r="B2325" s="1191">
        <v>0.4743</v>
      </c>
    </row>
    <row r="2326" spans="1:2" ht="15.5">
      <c r="A2326" s="1190">
        <v>41.3</v>
      </c>
      <c r="B2326" s="1191">
        <v>0.47410000000000002</v>
      </c>
    </row>
    <row r="2327" spans="1:2" ht="15.5">
      <c r="A2327" s="1190">
        <v>41.4</v>
      </c>
      <c r="B2327" s="1191">
        <v>0.47389999999999999</v>
      </c>
    </row>
    <row r="2328" spans="1:2" ht="15.5">
      <c r="A2328" s="1190">
        <v>41.5</v>
      </c>
      <c r="B2328" s="1191">
        <v>0.47370000000000001</v>
      </c>
    </row>
    <row r="2329" spans="1:2" ht="15.5">
      <c r="A2329" s="1190">
        <v>41.6</v>
      </c>
      <c r="B2329" s="1191">
        <v>0.47349999999999998</v>
      </c>
    </row>
    <row r="2330" spans="1:2" ht="15.5">
      <c r="A2330" s="1190">
        <v>41.7</v>
      </c>
      <c r="B2330" s="1191">
        <v>0.4733</v>
      </c>
    </row>
    <row r="2331" spans="1:2" ht="15.5">
      <c r="A2331" s="1190">
        <v>41.8</v>
      </c>
      <c r="B2331" s="1191">
        <v>0.47310000000000002</v>
      </c>
    </row>
    <row r="2332" spans="1:2" ht="15.5">
      <c r="A2332" s="1190">
        <v>41.9</v>
      </c>
      <c r="B2332" s="1191">
        <v>0.47289999999999999</v>
      </c>
    </row>
    <row r="2333" spans="1:2" ht="15.5">
      <c r="A2333" s="1190">
        <v>42</v>
      </c>
      <c r="B2333" s="1191">
        <v>0.47270000000000001</v>
      </c>
    </row>
    <row r="2334" spans="1:2" ht="15.5">
      <c r="A2334" s="1190">
        <v>42.1</v>
      </c>
      <c r="B2334" s="1191">
        <v>0.47249999999999998</v>
      </c>
    </row>
    <row r="2335" spans="1:2" ht="15.5">
      <c r="A2335" s="1190">
        <v>42.2</v>
      </c>
      <c r="B2335" s="1191">
        <v>0.4723</v>
      </c>
    </row>
    <row r="2336" spans="1:2" ht="15.5">
      <c r="A2336" s="1190">
        <v>42.3</v>
      </c>
      <c r="B2336" s="1191">
        <v>0.47210000000000002</v>
      </c>
    </row>
    <row r="2337" spans="1:2" ht="15.5">
      <c r="A2337" s="1190">
        <v>42.4</v>
      </c>
      <c r="B2337" s="1191">
        <v>0.47189999999999999</v>
      </c>
    </row>
    <row r="2338" spans="1:2" ht="15.5">
      <c r="A2338" s="1190">
        <v>42.5</v>
      </c>
      <c r="B2338" s="1191">
        <v>0.47170000000000001</v>
      </c>
    </row>
    <row r="2339" spans="1:2" ht="15.5">
      <c r="A2339" s="1190">
        <v>42.6</v>
      </c>
      <c r="B2339" s="1191">
        <v>0.47149999999999997</v>
      </c>
    </row>
    <row r="2340" spans="1:2" ht="15.5">
      <c r="A2340" s="1190">
        <v>42.7</v>
      </c>
      <c r="B2340" s="1191">
        <v>0.4713</v>
      </c>
    </row>
    <row r="2341" spans="1:2" ht="15.5">
      <c r="A2341" s="1190">
        <v>42.8</v>
      </c>
      <c r="B2341" s="1191">
        <v>0.47099999999999997</v>
      </c>
    </row>
    <row r="2342" spans="1:2" ht="15.5">
      <c r="A2342" s="1190">
        <v>42.9</v>
      </c>
      <c r="B2342" s="1191">
        <v>0.4708</v>
      </c>
    </row>
    <row r="2343" spans="1:2" ht="15.5">
      <c r="A2343" s="1190">
        <v>43</v>
      </c>
      <c r="B2343" s="1191">
        <v>0.47060000000000002</v>
      </c>
    </row>
    <row r="2344" spans="1:2" ht="15.5">
      <c r="A2344" s="1190">
        <v>43.1</v>
      </c>
      <c r="B2344" s="1191">
        <v>0.47039999999999998</v>
      </c>
    </row>
    <row r="2345" spans="1:2" ht="15.5">
      <c r="A2345" s="1190">
        <v>43.2</v>
      </c>
      <c r="B2345" s="1191">
        <v>0.47020000000000001</v>
      </c>
    </row>
    <row r="2346" spans="1:2" ht="15.5">
      <c r="A2346" s="1190">
        <v>43.3</v>
      </c>
      <c r="B2346" s="1191">
        <v>0.47</v>
      </c>
    </row>
    <row r="2347" spans="1:2" ht="15.5">
      <c r="A2347" s="1190">
        <v>43.4</v>
      </c>
      <c r="B2347" s="1191">
        <v>0.4698</v>
      </c>
    </row>
    <row r="2348" spans="1:2" ht="15.5">
      <c r="A2348" s="1190">
        <v>43.5</v>
      </c>
      <c r="B2348" s="1191">
        <v>0.46960000000000002</v>
      </c>
    </row>
    <row r="2349" spans="1:2" ht="15.5">
      <c r="A2349" s="1190">
        <v>43.6</v>
      </c>
      <c r="B2349" s="1191">
        <v>0.46939999999999998</v>
      </c>
    </row>
    <row r="2350" spans="1:2" ht="15.5">
      <c r="A2350" s="1190">
        <v>43.7</v>
      </c>
      <c r="B2350" s="1191">
        <v>0.46920000000000001</v>
      </c>
    </row>
    <row r="2351" spans="1:2" ht="15.5">
      <c r="A2351" s="1190">
        <v>43.8</v>
      </c>
      <c r="B2351" s="1191">
        <v>0.46899999999999997</v>
      </c>
    </row>
    <row r="2352" spans="1:2" ht="15.5">
      <c r="A2352" s="1190">
        <v>43.9</v>
      </c>
      <c r="B2352" s="1191">
        <v>0.46879999999999999</v>
      </c>
    </row>
    <row r="2353" spans="1:2" ht="15.5">
      <c r="A2353" s="1190">
        <v>44</v>
      </c>
      <c r="B2353" s="1191">
        <v>0.46860000000000002</v>
      </c>
    </row>
    <row r="2354" spans="1:2" ht="15.5">
      <c r="A2354" s="1190">
        <v>44.1</v>
      </c>
      <c r="B2354" s="1191">
        <v>0.46839999999999998</v>
      </c>
    </row>
    <row r="2355" spans="1:2" ht="15.5">
      <c r="A2355" s="1190">
        <v>44.2</v>
      </c>
      <c r="B2355" s="1191">
        <v>0.46820000000000001</v>
      </c>
    </row>
    <row r="2356" spans="1:2" ht="15.5">
      <c r="A2356" s="1190">
        <v>44.3</v>
      </c>
      <c r="B2356" s="1191">
        <v>0.46789999999999998</v>
      </c>
    </row>
    <row r="2357" spans="1:2" ht="15.5">
      <c r="A2357" s="1190">
        <v>44.4</v>
      </c>
      <c r="B2357" s="1191">
        <v>0.4677</v>
      </c>
    </row>
    <row r="2358" spans="1:2" ht="15.5">
      <c r="A2358" s="1190">
        <v>44.5</v>
      </c>
      <c r="B2358" s="1191">
        <v>0.46750000000000003</v>
      </c>
    </row>
    <row r="2359" spans="1:2" ht="15.5">
      <c r="A2359" s="1190">
        <v>44.6</v>
      </c>
      <c r="B2359" s="1191">
        <v>0.46729999999999999</v>
      </c>
    </row>
    <row r="2360" spans="1:2" ht="15.5">
      <c r="A2360" s="1190">
        <v>44.7</v>
      </c>
      <c r="B2360" s="1191">
        <v>0.46710000000000002</v>
      </c>
    </row>
    <row r="2361" spans="1:2" ht="15.5">
      <c r="A2361" s="1190">
        <v>44.8</v>
      </c>
      <c r="B2361" s="1191">
        <v>0.46689999999999998</v>
      </c>
    </row>
    <row r="2362" spans="1:2" ht="15.5">
      <c r="A2362" s="1190">
        <v>44.9</v>
      </c>
      <c r="B2362" s="1191">
        <v>0.4667</v>
      </c>
    </row>
    <row r="2363" spans="1:2" ht="15.5">
      <c r="A2363" s="1190">
        <v>45</v>
      </c>
      <c r="B2363" s="1191">
        <v>0.46650000000000003</v>
      </c>
    </row>
    <row r="2364" spans="1:2" ht="15.5">
      <c r="A2364" s="1182"/>
      <c r="B2364" s="1182"/>
    </row>
    <row r="2365" spans="1:2" ht="15.5">
      <c r="A2365" s="1182"/>
      <c r="B2365" s="1182"/>
    </row>
    <row r="2366" spans="1:2" ht="15">
      <c r="A2366" s="1673" t="s">
        <v>633</v>
      </c>
      <c r="B2366" s="1673"/>
    </row>
    <row r="2367" spans="1:2" ht="15.5">
      <c r="A2367" s="1182"/>
      <c r="B2367" s="1182"/>
    </row>
    <row r="2368" spans="1:2" ht="15.5">
      <c r="A2368" s="1190">
        <v>-17.5</v>
      </c>
      <c r="B2368" s="1191">
        <v>0.97870000000000001</v>
      </c>
    </row>
    <row r="2369" spans="1:2" ht="15.5">
      <c r="A2369" s="1190">
        <v>-17.399999999999999</v>
      </c>
      <c r="B2369" s="1191">
        <v>0.97850000000000004</v>
      </c>
    </row>
    <row r="2370" spans="1:2" ht="15.5">
      <c r="A2370" s="1190">
        <v>-17.3</v>
      </c>
      <c r="B2370" s="1191">
        <v>0.97829999999999995</v>
      </c>
    </row>
    <row r="2371" spans="1:2" ht="15.5">
      <c r="A2371" s="1190">
        <v>-17.2</v>
      </c>
      <c r="B2371" s="1191">
        <v>0.97819999999999996</v>
      </c>
    </row>
    <row r="2372" spans="1:2" ht="15.5">
      <c r="A2372" s="1190">
        <v>-17.100000000000001</v>
      </c>
      <c r="B2372" s="1191">
        <v>0.97799999999999998</v>
      </c>
    </row>
    <row r="2373" spans="1:2" ht="15.5">
      <c r="A2373" s="1190">
        <v>-17</v>
      </c>
      <c r="B2373" s="1191">
        <v>0.9778</v>
      </c>
    </row>
    <row r="2374" spans="1:2" ht="15.5">
      <c r="A2374" s="1190">
        <v>-16.899999999999999</v>
      </c>
      <c r="B2374" s="1191">
        <v>0.97760000000000002</v>
      </c>
    </row>
    <row r="2375" spans="1:2" ht="15.5">
      <c r="A2375" s="1190">
        <v>-16.8</v>
      </c>
      <c r="B2375" s="1191">
        <v>0.97740000000000005</v>
      </c>
    </row>
    <row r="2376" spans="1:2" ht="15.5">
      <c r="A2376" s="1190">
        <v>-16.7</v>
      </c>
      <c r="B2376" s="1191">
        <v>0.97729999999999995</v>
      </c>
    </row>
    <row r="2377" spans="1:2" ht="15.5">
      <c r="A2377" s="1190">
        <v>-16.600000000000001</v>
      </c>
      <c r="B2377" s="1191">
        <v>0.97709999999999997</v>
      </c>
    </row>
    <row r="2378" spans="1:2" ht="15.5">
      <c r="A2378" s="1190">
        <v>-16.5</v>
      </c>
      <c r="B2378" s="1191">
        <v>0.97689999999999999</v>
      </c>
    </row>
    <row r="2379" spans="1:2" ht="15.5">
      <c r="A2379" s="1190">
        <v>-16.399999999999999</v>
      </c>
      <c r="B2379" s="1191">
        <v>0.97670000000000001</v>
      </c>
    </row>
    <row r="2380" spans="1:2" ht="15.5">
      <c r="A2380" s="1190">
        <v>-16.3</v>
      </c>
      <c r="B2380" s="1191">
        <v>0.97650000000000003</v>
      </c>
    </row>
    <row r="2381" spans="1:2" ht="15.5">
      <c r="A2381" s="1190">
        <v>-16.2</v>
      </c>
      <c r="B2381" s="1191">
        <v>0.97640000000000005</v>
      </c>
    </row>
    <row r="2382" spans="1:2" ht="15.5">
      <c r="A2382" s="1190">
        <v>-16.100000000000001</v>
      </c>
      <c r="B2382" s="1191">
        <v>0.97619999999999996</v>
      </c>
    </row>
    <row r="2383" spans="1:2" ht="15.5">
      <c r="A2383" s="1190">
        <v>-16</v>
      </c>
      <c r="B2383" s="1191">
        <v>0.97599999999999998</v>
      </c>
    </row>
    <row r="2384" spans="1:2" ht="15.5">
      <c r="A2384" s="1190">
        <v>-15.9</v>
      </c>
      <c r="B2384" s="1191">
        <v>0.9758</v>
      </c>
    </row>
    <row r="2385" spans="1:2" ht="15.5">
      <c r="A2385" s="1190">
        <v>-15.8</v>
      </c>
      <c r="B2385" s="1191">
        <v>0.97560000000000002</v>
      </c>
    </row>
    <row r="2386" spans="1:2" ht="15.5">
      <c r="A2386" s="1190">
        <v>-15.7</v>
      </c>
      <c r="B2386" s="1191">
        <v>0.97550000000000003</v>
      </c>
    </row>
    <row r="2387" spans="1:2" ht="15.5">
      <c r="A2387" s="1190">
        <v>-15.6</v>
      </c>
      <c r="B2387" s="1191">
        <v>0.97529999999999994</v>
      </c>
    </row>
    <row r="2388" spans="1:2" ht="15.5">
      <c r="A2388" s="1190">
        <v>-15.5</v>
      </c>
      <c r="B2388" s="1191">
        <v>0.97509999999999997</v>
      </c>
    </row>
    <row r="2389" spans="1:2" ht="15.5">
      <c r="A2389" s="1190">
        <v>-15.4</v>
      </c>
      <c r="B2389" s="1191">
        <v>0.97489999999999999</v>
      </c>
    </row>
    <row r="2390" spans="1:2" ht="15.5">
      <c r="A2390" s="1190">
        <v>-15.3</v>
      </c>
      <c r="B2390" s="1191">
        <v>0.97470000000000001</v>
      </c>
    </row>
    <row r="2391" spans="1:2" ht="15.5">
      <c r="A2391" s="1190">
        <v>-15.2</v>
      </c>
      <c r="B2391" s="1191">
        <v>0.97450000000000003</v>
      </c>
    </row>
    <row r="2392" spans="1:2" ht="15.5">
      <c r="A2392" s="1190">
        <v>-15.1</v>
      </c>
      <c r="B2392" s="1191">
        <v>0.97430000000000005</v>
      </c>
    </row>
    <row r="2393" spans="1:2" ht="15.5">
      <c r="A2393" s="1190">
        <v>-15</v>
      </c>
      <c r="B2393" s="1191">
        <v>0.97409999999999997</v>
      </c>
    </row>
    <row r="2394" spans="1:2" ht="15.5">
      <c r="A2394" s="1190">
        <v>-14.9</v>
      </c>
      <c r="B2394" s="1191">
        <v>0.97389999999999999</v>
      </c>
    </row>
    <row r="2395" spans="1:2" ht="15.5">
      <c r="A2395" s="1190">
        <v>-14.8</v>
      </c>
      <c r="B2395" s="1191">
        <v>0.97370000000000001</v>
      </c>
    </row>
    <row r="2396" spans="1:2" ht="15.5">
      <c r="A2396" s="1190">
        <v>-14.7</v>
      </c>
      <c r="B2396" s="1191">
        <v>0.97360000000000002</v>
      </c>
    </row>
    <row r="2397" spans="1:2" ht="15.5">
      <c r="A2397" s="1190">
        <v>-14.6</v>
      </c>
      <c r="B2397" s="1191">
        <v>0.97340000000000004</v>
      </c>
    </row>
    <row r="2398" spans="1:2" ht="15.5">
      <c r="A2398" s="1190">
        <v>-14.5</v>
      </c>
      <c r="B2398" s="1191">
        <v>0.97319999999999995</v>
      </c>
    </row>
    <row r="2399" spans="1:2" ht="15.5">
      <c r="A2399" s="1190">
        <v>-14.4</v>
      </c>
      <c r="B2399" s="1191">
        <v>0.97299999999999998</v>
      </c>
    </row>
    <row r="2400" spans="1:2" ht="15.5">
      <c r="A2400" s="1190">
        <v>-14.3</v>
      </c>
      <c r="B2400" s="1191">
        <v>0.9728</v>
      </c>
    </row>
    <row r="2401" spans="1:2" ht="15.5">
      <c r="A2401" s="1190">
        <v>-14.2</v>
      </c>
      <c r="B2401" s="1191">
        <v>0.97270000000000001</v>
      </c>
    </row>
    <row r="2402" spans="1:2" ht="15.5">
      <c r="A2402" s="1190">
        <v>-14.1</v>
      </c>
      <c r="B2402" s="1191">
        <v>0.97250000000000003</v>
      </c>
    </row>
    <row r="2403" spans="1:2" ht="15.5">
      <c r="A2403" s="1190">
        <v>-14</v>
      </c>
      <c r="B2403" s="1191">
        <v>0.97230000000000005</v>
      </c>
    </row>
    <row r="2404" spans="1:2" ht="15.5">
      <c r="A2404" s="1190">
        <v>-13.9</v>
      </c>
      <c r="B2404" s="1191">
        <v>0.97209999999999996</v>
      </c>
    </row>
    <row r="2405" spans="1:2" ht="15.5">
      <c r="A2405" s="1190">
        <v>-13.8</v>
      </c>
      <c r="B2405" s="1191">
        <v>0.97189999999999999</v>
      </c>
    </row>
    <row r="2406" spans="1:2" ht="15.5">
      <c r="A2406" s="1190">
        <v>-13.7</v>
      </c>
      <c r="B2406" s="1191">
        <v>0.9718</v>
      </c>
    </row>
    <row r="2407" spans="1:2" ht="15.5">
      <c r="A2407" s="1190">
        <v>-13.6</v>
      </c>
      <c r="B2407" s="1191">
        <v>0.97160000000000002</v>
      </c>
    </row>
    <row r="2408" spans="1:2" ht="15.5">
      <c r="A2408" s="1190">
        <v>-13.5</v>
      </c>
      <c r="B2408" s="1191">
        <v>0.97140000000000004</v>
      </c>
    </row>
    <row r="2409" spans="1:2" ht="15.5">
      <c r="A2409" s="1190">
        <v>-13.4</v>
      </c>
      <c r="B2409" s="1191">
        <v>0.97119999999999995</v>
      </c>
    </row>
    <row r="2410" spans="1:2" ht="15.5">
      <c r="A2410" s="1190">
        <v>-13.3</v>
      </c>
      <c r="B2410" s="1191">
        <v>0.97099999999999997</v>
      </c>
    </row>
    <row r="2411" spans="1:2" ht="15.5">
      <c r="A2411" s="1190">
        <v>-13.2</v>
      </c>
      <c r="B2411" s="1191">
        <v>0.97089999999999999</v>
      </c>
    </row>
    <row r="2412" spans="1:2" ht="15.5">
      <c r="A2412" s="1190">
        <v>-13.1</v>
      </c>
      <c r="B2412" s="1191">
        <v>0.97070000000000001</v>
      </c>
    </row>
    <row r="2413" spans="1:2" ht="15.5">
      <c r="A2413" s="1190">
        <v>-13</v>
      </c>
      <c r="B2413" s="1191">
        <v>0.97050000000000003</v>
      </c>
    </row>
    <row r="2414" spans="1:2" ht="15.5">
      <c r="A2414" s="1190">
        <v>-12.9</v>
      </c>
      <c r="B2414" s="1191">
        <v>0.97030000000000005</v>
      </c>
    </row>
    <row r="2415" spans="1:2" ht="15.5">
      <c r="A2415" s="1190">
        <v>-12.8</v>
      </c>
      <c r="B2415" s="1191">
        <v>0.97009999999999996</v>
      </c>
    </row>
    <row r="2416" spans="1:2" ht="15.5">
      <c r="A2416" s="1190">
        <v>-12.7</v>
      </c>
      <c r="B2416" s="1191">
        <v>0.97</v>
      </c>
    </row>
    <row r="2417" spans="1:2" ht="15.5">
      <c r="A2417" s="1190">
        <v>-12.6</v>
      </c>
      <c r="B2417" s="1191">
        <v>0.9698</v>
      </c>
    </row>
    <row r="2418" spans="1:2" ht="15.5">
      <c r="A2418" s="1190">
        <v>-12.5</v>
      </c>
      <c r="B2418" s="1191">
        <v>0.96960000000000002</v>
      </c>
    </row>
    <row r="2419" spans="1:2" ht="15.5">
      <c r="A2419" s="1190">
        <v>-12.4</v>
      </c>
      <c r="B2419" s="1191">
        <v>0.96940000000000004</v>
      </c>
    </row>
    <row r="2420" spans="1:2" ht="15.5">
      <c r="A2420" s="1190">
        <v>-12.3</v>
      </c>
      <c r="B2420" s="1191">
        <v>0.96919999999999995</v>
      </c>
    </row>
    <row r="2421" spans="1:2" ht="15.5">
      <c r="A2421" s="1190">
        <v>-12.2</v>
      </c>
      <c r="B2421" s="1191">
        <v>0.96909999999999996</v>
      </c>
    </row>
    <row r="2422" spans="1:2" ht="15.5">
      <c r="A2422" s="1190">
        <v>-12.1</v>
      </c>
      <c r="B2422" s="1191">
        <v>0.96889999999999998</v>
      </c>
    </row>
    <row r="2423" spans="1:2" ht="15.5">
      <c r="A2423" s="1190">
        <v>-12</v>
      </c>
      <c r="B2423" s="1191">
        <v>0.96870000000000001</v>
      </c>
    </row>
    <row r="2424" spans="1:2" ht="15.5">
      <c r="A2424" s="1190">
        <v>-11.9</v>
      </c>
      <c r="B2424" s="1191">
        <v>0.96850000000000003</v>
      </c>
    </row>
    <row r="2425" spans="1:2" ht="15.5">
      <c r="A2425" s="1190">
        <v>-11.8</v>
      </c>
      <c r="B2425" s="1191">
        <v>0.96830000000000005</v>
      </c>
    </row>
    <row r="2426" spans="1:2" ht="15.5">
      <c r="A2426" s="1190">
        <v>-11.7</v>
      </c>
      <c r="B2426" s="1191">
        <v>0.96819999999999995</v>
      </c>
    </row>
    <row r="2427" spans="1:2" ht="15.5">
      <c r="A2427" s="1190">
        <v>-11.6</v>
      </c>
      <c r="B2427" s="1191">
        <v>0.96799999999999997</v>
      </c>
    </row>
    <row r="2428" spans="1:2" ht="15.5">
      <c r="A2428" s="1190">
        <v>-11.5</v>
      </c>
      <c r="B2428" s="1191">
        <v>0.96779999999999999</v>
      </c>
    </row>
    <row r="2429" spans="1:2" ht="15.5">
      <c r="A2429" s="1190">
        <v>-11.4</v>
      </c>
      <c r="B2429" s="1191">
        <v>0.96760000000000002</v>
      </c>
    </row>
    <row r="2430" spans="1:2" ht="15.5">
      <c r="A2430" s="1190">
        <v>-11.3</v>
      </c>
      <c r="B2430" s="1191">
        <v>0.96740000000000004</v>
      </c>
    </row>
    <row r="2431" spans="1:2" ht="15.5">
      <c r="A2431" s="1190">
        <v>-11.2</v>
      </c>
      <c r="B2431" s="1191">
        <v>0.96730000000000005</v>
      </c>
    </row>
    <row r="2432" spans="1:2" ht="15.5">
      <c r="A2432" s="1190">
        <v>-11.1</v>
      </c>
      <c r="B2432" s="1191">
        <v>0.96709999999999996</v>
      </c>
    </row>
    <row r="2433" spans="1:2" ht="15.5">
      <c r="A2433" s="1190">
        <v>-11</v>
      </c>
      <c r="B2433" s="1191">
        <v>0.96689999999999998</v>
      </c>
    </row>
    <row r="2434" spans="1:2" ht="15.5">
      <c r="A2434" s="1190">
        <v>-10.9</v>
      </c>
      <c r="B2434" s="1191">
        <v>0.9667</v>
      </c>
    </row>
    <row r="2435" spans="1:2" ht="15.5">
      <c r="A2435" s="1190">
        <v>-10.8</v>
      </c>
      <c r="B2435" s="1191">
        <v>0.96650000000000003</v>
      </c>
    </row>
    <row r="2436" spans="1:2" ht="15.5">
      <c r="A2436" s="1190">
        <v>-10.7</v>
      </c>
      <c r="B2436" s="1191">
        <v>0.96640000000000004</v>
      </c>
    </row>
    <row r="2437" spans="1:2" ht="15.5">
      <c r="A2437" s="1190">
        <v>-10.6</v>
      </c>
      <c r="B2437" s="1191">
        <v>0.96619999999999995</v>
      </c>
    </row>
    <row r="2438" spans="1:2" ht="15.5">
      <c r="A2438" s="1190">
        <v>-10.5</v>
      </c>
      <c r="B2438" s="1191">
        <v>0.96599999999999997</v>
      </c>
    </row>
    <row r="2439" spans="1:2" ht="15.5">
      <c r="A2439" s="1190">
        <v>-10.4</v>
      </c>
      <c r="B2439" s="1191">
        <v>0.96579999999999999</v>
      </c>
    </row>
    <row r="2440" spans="1:2" ht="15.5">
      <c r="A2440" s="1190">
        <v>-10.3</v>
      </c>
      <c r="B2440" s="1191">
        <v>0.96560000000000001</v>
      </c>
    </row>
    <row r="2441" spans="1:2" ht="15.5">
      <c r="A2441" s="1190">
        <v>-10.199999999999999</v>
      </c>
      <c r="B2441" s="1191">
        <v>0.96550000000000002</v>
      </c>
    </row>
    <row r="2442" spans="1:2" ht="15.5">
      <c r="A2442" s="1190">
        <v>-10.1</v>
      </c>
      <c r="B2442" s="1191">
        <v>0.96530000000000005</v>
      </c>
    </row>
    <row r="2443" spans="1:2" ht="15.5">
      <c r="A2443" s="1190">
        <v>-10</v>
      </c>
      <c r="B2443" s="1191">
        <v>0.96509999999999996</v>
      </c>
    </row>
    <row r="2444" spans="1:2" ht="15.5">
      <c r="A2444" s="1190">
        <v>-9.9</v>
      </c>
      <c r="B2444" s="1191">
        <v>0.96489999999999998</v>
      </c>
    </row>
    <row r="2445" spans="1:2" ht="15.5">
      <c r="A2445" s="1190">
        <v>-9.8000000000000007</v>
      </c>
      <c r="B2445" s="1191">
        <v>0.9647</v>
      </c>
    </row>
    <row r="2446" spans="1:2" ht="15.5">
      <c r="A2446" s="1190">
        <v>-9.6999999999999993</v>
      </c>
      <c r="B2446" s="1191">
        <v>0.96450000000000002</v>
      </c>
    </row>
    <row r="2447" spans="1:2" ht="15.5">
      <c r="A2447" s="1190">
        <v>-9.6</v>
      </c>
      <c r="B2447" s="1191">
        <v>0.96430000000000005</v>
      </c>
    </row>
    <row r="2448" spans="1:2" ht="15.5">
      <c r="A2448" s="1190">
        <v>-9.5</v>
      </c>
      <c r="B2448" s="1191">
        <v>0.96409999999999996</v>
      </c>
    </row>
    <row r="2449" spans="1:2" ht="15.5">
      <c r="A2449" s="1190">
        <v>-9.4</v>
      </c>
      <c r="B2449" s="1191">
        <v>0.96389999999999998</v>
      </c>
    </row>
    <row r="2450" spans="1:2" ht="15.5">
      <c r="A2450" s="1190">
        <v>-9.3000000000000007</v>
      </c>
      <c r="B2450" s="1191">
        <v>0.9637</v>
      </c>
    </row>
    <row r="2451" spans="1:2" ht="15.5">
      <c r="A2451" s="1190">
        <v>-9.1999999999999993</v>
      </c>
      <c r="B2451" s="1191">
        <v>0.96360000000000001</v>
      </c>
    </row>
    <row r="2452" spans="1:2" ht="15.5">
      <c r="A2452" s="1190">
        <v>-9.1</v>
      </c>
      <c r="B2452" s="1191">
        <v>0.96340000000000003</v>
      </c>
    </row>
    <row r="2453" spans="1:2" ht="15.5">
      <c r="A2453" s="1190">
        <v>-9</v>
      </c>
      <c r="B2453" s="1191">
        <v>0.96319999999999995</v>
      </c>
    </row>
    <row r="2454" spans="1:2" ht="15.5">
      <c r="A2454" s="1190">
        <v>-8.9</v>
      </c>
      <c r="B2454" s="1191">
        <v>0.96299999999999997</v>
      </c>
    </row>
    <row r="2455" spans="1:2" ht="15.5">
      <c r="A2455" s="1190">
        <v>-8.8000000000000007</v>
      </c>
      <c r="B2455" s="1191">
        <v>0.96279999999999999</v>
      </c>
    </row>
    <row r="2456" spans="1:2" ht="15.5">
      <c r="A2456" s="1190">
        <v>-8.6999999999999993</v>
      </c>
      <c r="B2456" s="1191">
        <v>0.9627</v>
      </c>
    </row>
    <row r="2457" spans="1:2" ht="15.5">
      <c r="A2457" s="1190">
        <v>-8.6</v>
      </c>
      <c r="B2457" s="1191">
        <v>0.96250000000000002</v>
      </c>
    </row>
    <row r="2458" spans="1:2" ht="15.5">
      <c r="A2458" s="1190">
        <v>-8.5</v>
      </c>
      <c r="B2458" s="1191">
        <v>0.96230000000000004</v>
      </c>
    </row>
    <row r="2459" spans="1:2" ht="15.5">
      <c r="A2459" s="1190">
        <v>-8.4</v>
      </c>
      <c r="B2459" s="1191">
        <v>0.96209999999999996</v>
      </c>
    </row>
    <row r="2460" spans="1:2" ht="15.5">
      <c r="A2460" s="1190">
        <v>-8.3000000000000007</v>
      </c>
      <c r="B2460" s="1191">
        <v>0.96189999999999998</v>
      </c>
    </row>
    <row r="2461" spans="1:2" ht="15.5">
      <c r="A2461" s="1190">
        <v>-8.1999999999999993</v>
      </c>
      <c r="B2461" s="1191">
        <v>0.96179999999999999</v>
      </c>
    </row>
    <row r="2462" spans="1:2" ht="15.5">
      <c r="A2462" s="1190">
        <v>-8.1</v>
      </c>
      <c r="B2462" s="1191">
        <v>0.96160000000000001</v>
      </c>
    </row>
    <row r="2463" spans="1:2" ht="15.5">
      <c r="A2463" s="1190">
        <v>-8</v>
      </c>
      <c r="B2463" s="1191">
        <v>0.96140000000000003</v>
      </c>
    </row>
    <row r="2464" spans="1:2" ht="15.5">
      <c r="A2464" s="1190">
        <v>-7.9</v>
      </c>
      <c r="B2464" s="1191">
        <v>0.96120000000000005</v>
      </c>
    </row>
    <row r="2465" spans="1:2" ht="15.5">
      <c r="A2465" s="1190">
        <v>-7.8</v>
      </c>
      <c r="B2465" s="1191">
        <v>0.96099999999999997</v>
      </c>
    </row>
    <row r="2466" spans="1:2" ht="15.5">
      <c r="A2466" s="1190">
        <v>-7.7</v>
      </c>
      <c r="B2466" s="1191">
        <v>0.96089999999999998</v>
      </c>
    </row>
    <row r="2467" spans="1:2" ht="15.5">
      <c r="A2467" s="1190">
        <v>-7.6</v>
      </c>
      <c r="B2467" s="1191">
        <v>0.9607</v>
      </c>
    </row>
    <row r="2468" spans="1:2" ht="15.5">
      <c r="A2468" s="1190">
        <v>-7.5</v>
      </c>
      <c r="B2468" s="1191">
        <v>0.96050000000000002</v>
      </c>
    </row>
    <row r="2469" spans="1:2" ht="15.5">
      <c r="A2469" s="1190">
        <v>-7.4</v>
      </c>
      <c r="B2469" s="1191">
        <v>0.96030000000000004</v>
      </c>
    </row>
    <row r="2470" spans="1:2" ht="15.5">
      <c r="A2470" s="1190">
        <v>-7.3</v>
      </c>
      <c r="B2470" s="1191">
        <v>0.96009999999999995</v>
      </c>
    </row>
    <row r="2471" spans="1:2" ht="15.5">
      <c r="A2471" s="1190">
        <v>-7.2</v>
      </c>
      <c r="B2471" s="1191">
        <v>0.96</v>
      </c>
    </row>
    <row r="2472" spans="1:2" ht="15.5">
      <c r="A2472" s="1190">
        <v>-7.1</v>
      </c>
      <c r="B2472" s="1191">
        <v>0.95979999999999999</v>
      </c>
    </row>
    <row r="2473" spans="1:2" ht="15.5">
      <c r="A2473" s="1190">
        <v>-7</v>
      </c>
      <c r="B2473" s="1191">
        <v>0.95960000000000001</v>
      </c>
    </row>
    <row r="2474" spans="1:2" ht="15.5">
      <c r="A2474" s="1190">
        <v>-6.9</v>
      </c>
      <c r="B2474" s="1191">
        <v>0.95940000000000003</v>
      </c>
    </row>
    <row r="2475" spans="1:2" ht="15.5">
      <c r="A2475" s="1190">
        <v>-6.8</v>
      </c>
      <c r="B2475" s="1191">
        <v>0.95920000000000005</v>
      </c>
    </row>
    <row r="2476" spans="1:2" ht="15.5">
      <c r="A2476" s="1190">
        <v>-6.7</v>
      </c>
      <c r="B2476" s="1191">
        <v>0.95909999999999995</v>
      </c>
    </row>
    <row r="2477" spans="1:2" ht="15.5">
      <c r="A2477" s="1190">
        <v>-6.6</v>
      </c>
      <c r="B2477" s="1191">
        <v>0.95889999999999997</v>
      </c>
    </row>
    <row r="2478" spans="1:2" ht="15.5">
      <c r="A2478" s="1190">
        <v>-6.5</v>
      </c>
      <c r="B2478" s="1191">
        <v>0.9587</v>
      </c>
    </row>
    <row r="2479" spans="1:2" ht="15.5">
      <c r="A2479" s="1190">
        <v>-6.4</v>
      </c>
      <c r="B2479" s="1191">
        <v>0.95850000000000002</v>
      </c>
    </row>
    <row r="2480" spans="1:2" ht="15.5">
      <c r="A2480" s="1190">
        <v>-6.3</v>
      </c>
      <c r="B2480" s="1191">
        <v>0.95830000000000004</v>
      </c>
    </row>
    <row r="2481" spans="1:2" ht="15.5">
      <c r="A2481" s="1190">
        <v>-6.2</v>
      </c>
      <c r="B2481" s="1191">
        <v>0.95820000000000005</v>
      </c>
    </row>
    <row r="2482" spans="1:2" ht="15.5">
      <c r="A2482" s="1190">
        <v>-6.1</v>
      </c>
      <c r="B2482" s="1191">
        <v>0.95799999999999996</v>
      </c>
    </row>
    <row r="2483" spans="1:2" ht="15.5">
      <c r="A2483" s="1190">
        <v>-6</v>
      </c>
      <c r="B2483" s="1191">
        <v>0.95779999999999998</v>
      </c>
    </row>
    <row r="2484" spans="1:2" ht="15.5">
      <c r="A2484" s="1190">
        <v>-5.9</v>
      </c>
      <c r="B2484" s="1191">
        <v>0.95760000000000001</v>
      </c>
    </row>
    <row r="2485" spans="1:2" ht="15.5">
      <c r="A2485" s="1190">
        <v>-5.8</v>
      </c>
      <c r="B2485" s="1191">
        <v>0.95740000000000003</v>
      </c>
    </row>
    <row r="2486" spans="1:2" ht="15.5">
      <c r="A2486" s="1190">
        <v>-5.7</v>
      </c>
      <c r="B2486" s="1191">
        <v>0.95730000000000004</v>
      </c>
    </row>
    <row r="2487" spans="1:2" ht="15.5">
      <c r="A2487" s="1190">
        <v>-5.6</v>
      </c>
      <c r="B2487" s="1191">
        <v>0.95709999999999995</v>
      </c>
    </row>
    <row r="2488" spans="1:2" ht="15.5">
      <c r="A2488" s="1190">
        <v>-5.5</v>
      </c>
      <c r="B2488" s="1191">
        <v>0.95689999999999997</v>
      </c>
    </row>
    <row r="2489" spans="1:2" ht="15.5">
      <c r="A2489" s="1190">
        <v>-5.4</v>
      </c>
      <c r="B2489" s="1191">
        <v>0.95669999999999999</v>
      </c>
    </row>
    <row r="2490" spans="1:2" ht="15.5">
      <c r="A2490" s="1190">
        <v>-5.3</v>
      </c>
      <c r="B2490" s="1191">
        <v>0.95650000000000002</v>
      </c>
    </row>
    <row r="2491" spans="1:2" ht="15.5">
      <c r="A2491" s="1190">
        <v>-5.2</v>
      </c>
      <c r="B2491" s="1191">
        <v>0.95640000000000003</v>
      </c>
    </row>
    <row r="2492" spans="1:2" ht="15.5">
      <c r="A2492" s="1190">
        <v>-5.0999999999999996</v>
      </c>
      <c r="B2492" s="1191">
        <v>0.95620000000000005</v>
      </c>
    </row>
    <row r="2493" spans="1:2" ht="15.5">
      <c r="A2493" s="1190">
        <v>-5</v>
      </c>
      <c r="B2493" s="1191">
        <v>0.95599999999999996</v>
      </c>
    </row>
    <row r="2494" spans="1:2" ht="15.5">
      <c r="A2494" s="1190">
        <v>-4.9000000000000004</v>
      </c>
      <c r="B2494" s="1191">
        <v>0.95579999999999998</v>
      </c>
    </row>
    <row r="2495" spans="1:2" ht="15.5">
      <c r="A2495" s="1190">
        <v>-4.8</v>
      </c>
      <c r="B2495" s="1191">
        <v>0.9556</v>
      </c>
    </row>
    <row r="2496" spans="1:2" ht="15.5">
      <c r="A2496" s="1190">
        <v>-4.7</v>
      </c>
      <c r="B2496" s="1191">
        <v>0.95540000000000003</v>
      </c>
    </row>
    <row r="2497" spans="1:2" ht="15.5">
      <c r="A2497" s="1190">
        <v>-4.5999999999999996</v>
      </c>
      <c r="B2497" s="1191">
        <v>0.95520000000000005</v>
      </c>
    </row>
    <row r="2498" spans="1:2" ht="15.5">
      <c r="A2498" s="1190">
        <v>-4.5</v>
      </c>
      <c r="B2498" s="1191">
        <v>0.95499999999999996</v>
      </c>
    </row>
    <row r="2499" spans="1:2" ht="15.5">
      <c r="A2499" s="1190">
        <v>-4.4000000000000004</v>
      </c>
      <c r="B2499" s="1191">
        <v>0.95479999999999998</v>
      </c>
    </row>
    <row r="2500" spans="1:2" ht="15.5">
      <c r="A2500" s="1190">
        <v>-4.3</v>
      </c>
      <c r="B2500" s="1191">
        <v>0.9546</v>
      </c>
    </row>
    <row r="2501" spans="1:2" ht="15.5">
      <c r="A2501" s="1190">
        <v>-4.2</v>
      </c>
      <c r="B2501" s="1191">
        <v>0.95450000000000002</v>
      </c>
    </row>
    <row r="2502" spans="1:2" ht="15.5">
      <c r="A2502" s="1190">
        <v>-4.0999999999999996</v>
      </c>
      <c r="B2502" s="1191">
        <v>0.95430000000000004</v>
      </c>
    </row>
    <row r="2503" spans="1:2" ht="15.5">
      <c r="A2503" s="1190">
        <v>-4</v>
      </c>
      <c r="B2503" s="1191">
        <v>0.95409999999999995</v>
      </c>
    </row>
    <row r="2504" spans="1:2" ht="15.5">
      <c r="A2504" s="1190">
        <v>-3.9</v>
      </c>
      <c r="B2504" s="1191">
        <v>0.95389999999999997</v>
      </c>
    </row>
    <row r="2505" spans="1:2" ht="15.5">
      <c r="A2505" s="1190">
        <v>-3.8</v>
      </c>
      <c r="B2505" s="1191">
        <v>0.95369999999999999</v>
      </c>
    </row>
    <row r="2506" spans="1:2" ht="15.5">
      <c r="A2506" s="1190">
        <v>-3.7</v>
      </c>
      <c r="B2506" s="1191">
        <v>0.9536</v>
      </c>
    </row>
    <row r="2507" spans="1:2" ht="15.5">
      <c r="A2507" s="1190">
        <v>-3.6</v>
      </c>
      <c r="B2507" s="1191">
        <v>0.95340000000000003</v>
      </c>
    </row>
    <row r="2508" spans="1:2" ht="15.5">
      <c r="A2508" s="1190">
        <v>-3.5</v>
      </c>
      <c r="B2508" s="1191">
        <v>0.95320000000000005</v>
      </c>
    </row>
    <row r="2509" spans="1:2" ht="15.5">
      <c r="A2509" s="1190">
        <v>-3.4</v>
      </c>
      <c r="B2509" s="1191">
        <v>0.95299999999999996</v>
      </c>
    </row>
    <row r="2510" spans="1:2" ht="15.5">
      <c r="A2510" s="1190">
        <v>-3.3</v>
      </c>
      <c r="B2510" s="1191">
        <v>0.95279999999999998</v>
      </c>
    </row>
    <row r="2511" spans="1:2" ht="15.5">
      <c r="A2511" s="1190">
        <v>-3.2</v>
      </c>
      <c r="B2511" s="1191">
        <v>0.95269999999999999</v>
      </c>
    </row>
    <row r="2512" spans="1:2" ht="15.5">
      <c r="A2512" s="1190">
        <v>-3.1</v>
      </c>
      <c r="B2512" s="1191">
        <v>0.95250000000000001</v>
      </c>
    </row>
    <row r="2513" spans="1:2" ht="15.5">
      <c r="A2513" s="1190">
        <v>-3</v>
      </c>
      <c r="B2513" s="1191">
        <v>0.95230000000000004</v>
      </c>
    </row>
    <row r="2514" spans="1:2" ht="15.5">
      <c r="A2514" s="1190">
        <v>-2.9</v>
      </c>
      <c r="B2514" s="1191">
        <v>0.95209999999999995</v>
      </c>
    </row>
    <row r="2515" spans="1:2" ht="15.5">
      <c r="A2515" s="1190">
        <v>-2.8</v>
      </c>
      <c r="B2515" s="1191">
        <v>0.95189999999999997</v>
      </c>
    </row>
    <row r="2516" spans="1:2" ht="15.5">
      <c r="A2516" s="1190">
        <v>-2.7</v>
      </c>
      <c r="B2516" s="1191">
        <v>0.95179999999999998</v>
      </c>
    </row>
    <row r="2517" spans="1:2" ht="15.5">
      <c r="A2517" s="1190">
        <v>-2.6</v>
      </c>
      <c r="B2517" s="1191">
        <v>0.9516</v>
      </c>
    </row>
    <row r="2518" spans="1:2" ht="15.5">
      <c r="A2518" s="1190">
        <v>-2.5</v>
      </c>
      <c r="B2518" s="1191">
        <v>0.95140000000000002</v>
      </c>
    </row>
    <row r="2519" spans="1:2" ht="15.5">
      <c r="A2519" s="1190">
        <v>-2.4</v>
      </c>
      <c r="B2519" s="1191">
        <v>0.95120000000000005</v>
      </c>
    </row>
    <row r="2520" spans="1:2" ht="15.5">
      <c r="A2520" s="1190">
        <v>-2.2999999999999998</v>
      </c>
      <c r="B2520" s="1191">
        <v>0.95099999999999996</v>
      </c>
    </row>
    <row r="2521" spans="1:2" ht="15.5">
      <c r="A2521" s="1190">
        <v>-2.2000000000000002</v>
      </c>
      <c r="B2521" s="1191">
        <v>0.95089999999999997</v>
      </c>
    </row>
    <row r="2522" spans="1:2" ht="15.5">
      <c r="A2522" s="1190">
        <v>-2.1</v>
      </c>
      <c r="B2522" s="1191">
        <v>0.95069999999999999</v>
      </c>
    </row>
    <row r="2523" spans="1:2" ht="15.5">
      <c r="A2523" s="1190">
        <v>-2</v>
      </c>
      <c r="B2523" s="1191">
        <v>0.95050000000000001</v>
      </c>
    </row>
    <row r="2524" spans="1:2" ht="15.5">
      <c r="A2524" s="1190">
        <v>-1.9</v>
      </c>
      <c r="B2524" s="1191">
        <v>0.95030000000000003</v>
      </c>
    </row>
    <row r="2525" spans="1:2" ht="15.5">
      <c r="A2525" s="1190">
        <v>-1.8</v>
      </c>
      <c r="B2525" s="1191">
        <v>0.95009999999999994</v>
      </c>
    </row>
    <row r="2526" spans="1:2" ht="15.5">
      <c r="A2526" s="1190">
        <v>-1.7</v>
      </c>
      <c r="B2526" s="1191">
        <v>0.95</v>
      </c>
    </row>
    <row r="2527" spans="1:2" ht="15.5">
      <c r="A2527" s="1190">
        <v>-1.6</v>
      </c>
      <c r="B2527" s="1191">
        <v>0.94979999999999998</v>
      </c>
    </row>
    <row r="2528" spans="1:2" ht="15.5">
      <c r="A2528" s="1190">
        <v>-1.5</v>
      </c>
      <c r="B2528" s="1191">
        <v>0.9496</v>
      </c>
    </row>
    <row r="2529" spans="1:2" ht="15.5">
      <c r="A2529" s="1190">
        <v>-1.4</v>
      </c>
      <c r="B2529" s="1191">
        <v>0.94940000000000002</v>
      </c>
    </row>
    <row r="2530" spans="1:2" ht="15.5">
      <c r="A2530" s="1190">
        <v>-1.3</v>
      </c>
      <c r="B2530" s="1191">
        <v>0.94920000000000004</v>
      </c>
    </row>
    <row r="2531" spans="1:2" ht="15.5">
      <c r="A2531" s="1190">
        <v>-1.2</v>
      </c>
      <c r="B2531" s="1191">
        <v>0.94910000000000005</v>
      </c>
    </row>
    <row r="2532" spans="1:2" ht="15.5">
      <c r="A2532" s="1190">
        <v>-1.1000000000000001</v>
      </c>
      <c r="B2532" s="1191">
        <v>0.94889999999999997</v>
      </c>
    </row>
    <row r="2533" spans="1:2" ht="15.5">
      <c r="A2533" s="1190">
        <v>-1</v>
      </c>
      <c r="B2533" s="1191">
        <v>0.94869999999999999</v>
      </c>
    </row>
    <row r="2534" spans="1:2" ht="15.5">
      <c r="A2534" s="1190">
        <v>-0.9</v>
      </c>
      <c r="B2534" s="1191">
        <v>0.94850000000000001</v>
      </c>
    </row>
    <row r="2535" spans="1:2" ht="15.5">
      <c r="A2535" s="1190">
        <v>-0.8</v>
      </c>
      <c r="B2535" s="1191">
        <v>0.94830000000000003</v>
      </c>
    </row>
    <row r="2536" spans="1:2" ht="15.5">
      <c r="A2536" s="1190">
        <v>-0.7</v>
      </c>
      <c r="B2536" s="1191">
        <v>0.94820000000000004</v>
      </c>
    </row>
    <row r="2537" spans="1:2" ht="15.5">
      <c r="A2537" s="1190">
        <v>-0.6</v>
      </c>
      <c r="B2537" s="1191">
        <v>0.94799999999999995</v>
      </c>
    </row>
    <row r="2538" spans="1:2" ht="15.5">
      <c r="A2538" s="1190">
        <v>-0.5</v>
      </c>
      <c r="B2538" s="1191">
        <v>0.94779999999999998</v>
      </c>
    </row>
    <row r="2539" spans="1:2" ht="15.5">
      <c r="A2539" s="1190">
        <v>-0.4</v>
      </c>
      <c r="B2539" s="1191">
        <v>0.9476</v>
      </c>
    </row>
    <row r="2540" spans="1:2" ht="15.5">
      <c r="A2540" s="1190">
        <v>-0.3</v>
      </c>
      <c r="B2540" s="1191">
        <v>0.94740000000000002</v>
      </c>
    </row>
    <row r="2541" spans="1:2" ht="15.5">
      <c r="A2541" s="1190">
        <v>-0.2</v>
      </c>
      <c r="B2541" s="1191">
        <v>0.94730000000000003</v>
      </c>
    </row>
    <row r="2542" spans="1:2" ht="15.5">
      <c r="A2542" s="1190">
        <v>-0.1</v>
      </c>
      <c r="B2542" s="1191">
        <v>0.94710000000000005</v>
      </c>
    </row>
    <row r="2543" spans="1:2" ht="15.5">
      <c r="A2543" s="1190">
        <v>0</v>
      </c>
      <c r="B2543" s="1191">
        <v>0.94689999999999996</v>
      </c>
    </row>
    <row r="2544" spans="1:2" ht="15.5">
      <c r="A2544" s="1190">
        <v>0.1</v>
      </c>
      <c r="B2544" s="1191">
        <v>0.94669999999999999</v>
      </c>
    </row>
    <row r="2545" spans="1:2" ht="15.5">
      <c r="A2545" s="1190">
        <v>0.2</v>
      </c>
      <c r="B2545" s="1191">
        <v>0.94650000000000001</v>
      </c>
    </row>
    <row r="2546" spans="1:2" ht="15.5">
      <c r="A2546" s="1190">
        <v>0.3</v>
      </c>
      <c r="B2546" s="1191">
        <v>0.94640000000000002</v>
      </c>
    </row>
    <row r="2547" spans="1:2" ht="15.5">
      <c r="A2547" s="1190">
        <v>0.4</v>
      </c>
      <c r="B2547" s="1191">
        <v>0.94620000000000004</v>
      </c>
    </row>
    <row r="2548" spans="1:2" ht="15.5">
      <c r="A2548" s="1190">
        <v>0.5</v>
      </c>
      <c r="B2548" s="1191">
        <v>0.94599999999999995</v>
      </c>
    </row>
    <row r="2549" spans="1:2" ht="15.5">
      <c r="A2549" s="1190">
        <v>0.6</v>
      </c>
      <c r="B2549" s="1191">
        <v>0.94579999999999997</v>
      </c>
    </row>
    <row r="2550" spans="1:2" ht="15.5">
      <c r="A2550" s="1190">
        <v>0.7</v>
      </c>
      <c r="B2550" s="1191">
        <v>0.9456</v>
      </c>
    </row>
    <row r="2551" spans="1:2" ht="15.5">
      <c r="A2551" s="1190">
        <v>0.8</v>
      </c>
      <c r="B2551" s="1191">
        <v>0.94540000000000002</v>
      </c>
    </row>
    <row r="2552" spans="1:2" ht="15.5">
      <c r="A2552" s="1190">
        <v>0.9</v>
      </c>
      <c r="B2552" s="1191">
        <v>0.94520000000000004</v>
      </c>
    </row>
    <row r="2553" spans="1:2" ht="15.5">
      <c r="A2553" s="1190">
        <v>1</v>
      </c>
      <c r="B2553" s="1191">
        <v>0.94499999999999995</v>
      </c>
    </row>
    <row r="2554" spans="1:2" ht="15.5">
      <c r="A2554" s="1190">
        <v>1.1000000000000001</v>
      </c>
      <c r="B2554" s="1191">
        <v>0.94479999999999997</v>
      </c>
    </row>
    <row r="2555" spans="1:2" ht="15.5">
      <c r="A2555" s="1190">
        <v>1.2</v>
      </c>
      <c r="B2555" s="1191">
        <v>0.9446</v>
      </c>
    </row>
    <row r="2556" spans="1:2" ht="15.5">
      <c r="A2556" s="1190">
        <v>1.3</v>
      </c>
      <c r="B2556" s="1191">
        <v>0.94450000000000001</v>
      </c>
    </row>
    <row r="2557" spans="1:2" ht="15.5">
      <c r="A2557" s="1190">
        <v>1.4</v>
      </c>
      <c r="B2557" s="1191">
        <v>0.94430000000000003</v>
      </c>
    </row>
    <row r="2558" spans="1:2" ht="15.5">
      <c r="A2558" s="1190">
        <v>1.5</v>
      </c>
      <c r="B2558" s="1191">
        <v>0.94410000000000005</v>
      </c>
    </row>
    <row r="2559" spans="1:2" ht="15.5">
      <c r="A2559" s="1190">
        <v>1.6</v>
      </c>
      <c r="B2559" s="1191">
        <v>0.94389999999999996</v>
      </c>
    </row>
    <row r="2560" spans="1:2" ht="15.5">
      <c r="A2560" s="1190">
        <v>1.7</v>
      </c>
      <c r="B2560" s="1191">
        <v>0.94369999999999998</v>
      </c>
    </row>
    <row r="2561" spans="1:2" ht="15.5">
      <c r="A2561" s="1190">
        <v>1.8</v>
      </c>
      <c r="B2561" s="1191">
        <v>0.94359999999999999</v>
      </c>
    </row>
    <row r="2562" spans="1:2" ht="15.5">
      <c r="A2562" s="1190">
        <v>1.9</v>
      </c>
      <c r="B2562" s="1191">
        <v>0.94340000000000002</v>
      </c>
    </row>
    <row r="2563" spans="1:2" ht="15.5">
      <c r="A2563" s="1190">
        <v>2</v>
      </c>
      <c r="B2563" s="1191">
        <v>0.94320000000000004</v>
      </c>
    </row>
    <row r="2564" spans="1:2" ht="15.5">
      <c r="A2564" s="1190">
        <v>2.1</v>
      </c>
      <c r="B2564" s="1191">
        <v>0.94299999999999995</v>
      </c>
    </row>
    <row r="2565" spans="1:2" ht="15.5">
      <c r="A2565" s="1190">
        <v>2.2000000000000002</v>
      </c>
      <c r="B2565" s="1191">
        <v>0.94279999999999997</v>
      </c>
    </row>
    <row r="2566" spans="1:2" ht="15.5">
      <c r="A2566" s="1190">
        <v>2.2999999999999998</v>
      </c>
      <c r="B2566" s="1191">
        <v>0.94269999999999998</v>
      </c>
    </row>
    <row r="2567" spans="1:2" ht="15.5">
      <c r="A2567" s="1190">
        <v>2.4</v>
      </c>
      <c r="B2567" s="1191">
        <v>0.9425</v>
      </c>
    </row>
    <row r="2568" spans="1:2" ht="15.5">
      <c r="A2568" s="1190">
        <v>2.5</v>
      </c>
      <c r="B2568" s="1191">
        <v>0.94230000000000003</v>
      </c>
    </row>
    <row r="2569" spans="1:2" ht="15.5">
      <c r="A2569" s="1190">
        <v>2.6</v>
      </c>
      <c r="B2569" s="1191">
        <v>0.94210000000000005</v>
      </c>
    </row>
    <row r="2570" spans="1:2" ht="15.5">
      <c r="A2570" s="1190">
        <v>2.7</v>
      </c>
      <c r="B2570" s="1191">
        <v>0.94189999999999996</v>
      </c>
    </row>
    <row r="2571" spans="1:2" ht="15.5">
      <c r="A2571" s="1190">
        <v>2.8</v>
      </c>
      <c r="B2571" s="1191">
        <v>0.94179999999999997</v>
      </c>
    </row>
    <row r="2572" spans="1:2" ht="15.5">
      <c r="A2572" s="1190">
        <v>2.9</v>
      </c>
      <c r="B2572" s="1191">
        <v>0.94159999999999999</v>
      </c>
    </row>
    <row r="2573" spans="1:2" ht="15.5">
      <c r="A2573" s="1190">
        <v>3</v>
      </c>
      <c r="B2573" s="1191">
        <v>0.94140000000000001</v>
      </c>
    </row>
    <row r="2574" spans="1:2" ht="15.5">
      <c r="A2574" s="1190">
        <v>3.1</v>
      </c>
      <c r="B2574" s="1191">
        <v>0.94120000000000004</v>
      </c>
    </row>
    <row r="2575" spans="1:2" ht="15.5">
      <c r="A2575" s="1190">
        <v>3.2</v>
      </c>
      <c r="B2575" s="1191">
        <v>0.94099999999999995</v>
      </c>
    </row>
    <row r="2576" spans="1:2" ht="15.5">
      <c r="A2576" s="1190">
        <v>3.3</v>
      </c>
      <c r="B2576" s="1191">
        <v>0.94089999999999996</v>
      </c>
    </row>
    <row r="2577" spans="1:2" ht="15.5">
      <c r="A2577" s="1190">
        <v>3.4</v>
      </c>
      <c r="B2577" s="1191">
        <v>0.94069999999999998</v>
      </c>
    </row>
    <row r="2578" spans="1:2" ht="15.5">
      <c r="A2578" s="1190">
        <v>3.5</v>
      </c>
      <c r="B2578" s="1191">
        <v>0.9405</v>
      </c>
    </row>
    <row r="2579" spans="1:2" ht="15.5">
      <c r="A2579" s="1190">
        <v>3.6</v>
      </c>
      <c r="B2579" s="1191">
        <v>0.94030000000000002</v>
      </c>
    </row>
    <row r="2580" spans="1:2" ht="15.5">
      <c r="A2580" s="1190">
        <v>3.7</v>
      </c>
      <c r="B2580" s="1191">
        <v>0.94010000000000005</v>
      </c>
    </row>
    <row r="2581" spans="1:2" ht="15.5">
      <c r="A2581" s="1190">
        <v>3.8</v>
      </c>
      <c r="B2581" s="1191">
        <v>0.94</v>
      </c>
    </row>
    <row r="2582" spans="1:2" ht="15.5">
      <c r="A2582" s="1190">
        <v>3.9</v>
      </c>
      <c r="B2582" s="1191">
        <v>0.93979999999999997</v>
      </c>
    </row>
    <row r="2583" spans="1:2" ht="15.5">
      <c r="A2583" s="1190">
        <v>4</v>
      </c>
      <c r="B2583" s="1191">
        <v>0.93959999999999999</v>
      </c>
    </row>
    <row r="2584" spans="1:2" ht="15.5">
      <c r="A2584" s="1190">
        <v>4.0999999999999996</v>
      </c>
      <c r="B2584" s="1191">
        <v>0.93940000000000001</v>
      </c>
    </row>
    <row r="2585" spans="1:2" ht="15.5">
      <c r="A2585" s="1190">
        <v>4.2</v>
      </c>
      <c r="B2585" s="1191">
        <v>0.93920000000000003</v>
      </c>
    </row>
    <row r="2586" spans="1:2" ht="15.5">
      <c r="A2586" s="1190">
        <v>4.3</v>
      </c>
      <c r="B2586" s="1191">
        <v>0.93910000000000005</v>
      </c>
    </row>
    <row r="2587" spans="1:2" ht="15.5">
      <c r="A2587" s="1190">
        <v>4.4000000000000004</v>
      </c>
      <c r="B2587" s="1191">
        <v>0.93889999999999996</v>
      </c>
    </row>
    <row r="2588" spans="1:2" ht="15.5">
      <c r="A2588" s="1190">
        <v>4.5</v>
      </c>
      <c r="B2588" s="1191">
        <v>0.93869999999999998</v>
      </c>
    </row>
    <row r="2589" spans="1:2" ht="15.5">
      <c r="A2589" s="1190">
        <v>4.5999999999999996</v>
      </c>
      <c r="B2589" s="1191">
        <v>0.9385</v>
      </c>
    </row>
    <row r="2590" spans="1:2" ht="15.5">
      <c r="A2590" s="1190">
        <v>4.7</v>
      </c>
      <c r="B2590" s="1191">
        <v>0.93830000000000002</v>
      </c>
    </row>
    <row r="2591" spans="1:2" ht="15.5">
      <c r="A2591" s="1190">
        <v>4.8</v>
      </c>
      <c r="B2591" s="1191">
        <v>0.93820000000000003</v>
      </c>
    </row>
    <row r="2592" spans="1:2" ht="15.5">
      <c r="A2592" s="1190">
        <v>4.9000000000000004</v>
      </c>
      <c r="B2592" s="1191">
        <v>0.93799999999999994</v>
      </c>
    </row>
    <row r="2593" spans="1:2" ht="15.5">
      <c r="A2593" s="1190">
        <v>5</v>
      </c>
      <c r="B2593" s="1191">
        <v>0.93779999999999997</v>
      </c>
    </row>
    <row r="2594" spans="1:2" ht="15.5">
      <c r="A2594" s="1190">
        <v>5.0999999999999996</v>
      </c>
      <c r="B2594" s="1191">
        <v>0.93759999999999999</v>
      </c>
    </row>
    <row r="2595" spans="1:2" ht="15.5">
      <c r="A2595" s="1190">
        <v>5.2</v>
      </c>
      <c r="B2595" s="1191">
        <v>0.93740000000000001</v>
      </c>
    </row>
    <row r="2596" spans="1:2" ht="15.5">
      <c r="A2596" s="1190">
        <v>5.3</v>
      </c>
      <c r="B2596" s="1191">
        <v>0.93730000000000002</v>
      </c>
    </row>
    <row r="2597" spans="1:2" ht="15.5">
      <c r="A2597" s="1190">
        <v>5.4</v>
      </c>
      <c r="B2597" s="1191">
        <v>0.93710000000000004</v>
      </c>
    </row>
    <row r="2598" spans="1:2" ht="15.5">
      <c r="A2598" s="1190">
        <v>5.5</v>
      </c>
      <c r="B2598" s="1191">
        <v>0.93689999999999996</v>
      </c>
    </row>
    <row r="2599" spans="1:2" ht="15.5">
      <c r="A2599" s="1190">
        <v>5.6</v>
      </c>
      <c r="B2599" s="1191">
        <v>0.93669999999999998</v>
      </c>
    </row>
    <row r="2600" spans="1:2" ht="15.5">
      <c r="A2600" s="1190">
        <v>5.7</v>
      </c>
      <c r="B2600" s="1191">
        <v>0.9365</v>
      </c>
    </row>
    <row r="2601" spans="1:2" ht="15.5">
      <c r="A2601" s="1190">
        <v>5.8</v>
      </c>
      <c r="B2601" s="1191">
        <v>0.93630000000000002</v>
      </c>
    </row>
    <row r="2602" spans="1:2" ht="15.5">
      <c r="A2602" s="1190">
        <v>5.9</v>
      </c>
      <c r="B2602" s="1191">
        <v>0.93610000000000004</v>
      </c>
    </row>
    <row r="2603" spans="1:2" ht="15.5">
      <c r="A2603" s="1190">
        <v>6</v>
      </c>
      <c r="B2603" s="1191">
        <v>0.93589999999999995</v>
      </c>
    </row>
    <row r="2604" spans="1:2" ht="15.5">
      <c r="A2604" s="1190">
        <v>6.1</v>
      </c>
      <c r="B2604" s="1191">
        <v>0.93569999999999998</v>
      </c>
    </row>
    <row r="2605" spans="1:2" ht="15.5">
      <c r="A2605" s="1190">
        <v>6.2</v>
      </c>
      <c r="B2605" s="1191">
        <v>0.9355</v>
      </c>
    </row>
    <row r="2606" spans="1:2" ht="15.5">
      <c r="A2606" s="1190">
        <v>6.3</v>
      </c>
      <c r="B2606" s="1191">
        <v>0.93540000000000001</v>
      </c>
    </row>
    <row r="2607" spans="1:2" ht="15.5">
      <c r="A2607" s="1190">
        <v>6.4</v>
      </c>
      <c r="B2607" s="1191">
        <v>0.93520000000000003</v>
      </c>
    </row>
    <row r="2608" spans="1:2" ht="15.5">
      <c r="A2608" s="1190">
        <v>6.5</v>
      </c>
      <c r="B2608" s="1191">
        <v>0.93500000000000005</v>
      </c>
    </row>
    <row r="2609" spans="1:2" ht="15.5">
      <c r="A2609" s="1190">
        <v>6.6</v>
      </c>
      <c r="B2609" s="1191">
        <v>0.93479999999999996</v>
      </c>
    </row>
    <row r="2610" spans="1:2" ht="15.5">
      <c r="A2610" s="1190">
        <v>6.7</v>
      </c>
      <c r="B2610" s="1191">
        <v>0.93459999999999999</v>
      </c>
    </row>
    <row r="2611" spans="1:2" ht="15.5">
      <c r="A2611" s="1190">
        <v>6.8</v>
      </c>
      <c r="B2611" s="1191">
        <v>0.9345</v>
      </c>
    </row>
    <row r="2612" spans="1:2" ht="15.5">
      <c r="A2612" s="1190">
        <v>6.9</v>
      </c>
      <c r="B2612" s="1191">
        <v>0.93430000000000002</v>
      </c>
    </row>
    <row r="2613" spans="1:2" ht="15.5">
      <c r="A2613" s="1190">
        <v>7</v>
      </c>
      <c r="B2613" s="1191">
        <v>0.93410000000000004</v>
      </c>
    </row>
    <row r="2614" spans="1:2" ht="15.5">
      <c r="A2614" s="1190">
        <v>7.1</v>
      </c>
      <c r="B2614" s="1191">
        <v>0.93389999999999995</v>
      </c>
    </row>
    <row r="2615" spans="1:2" ht="15.5">
      <c r="A2615" s="1190">
        <v>7.2</v>
      </c>
      <c r="B2615" s="1191">
        <v>0.93369999999999997</v>
      </c>
    </row>
    <row r="2616" spans="1:2" ht="15.5">
      <c r="A2616" s="1190">
        <v>7.3</v>
      </c>
      <c r="B2616" s="1191">
        <v>0.93359999999999999</v>
      </c>
    </row>
    <row r="2617" spans="1:2" ht="15.5">
      <c r="A2617" s="1190">
        <v>7.4</v>
      </c>
      <c r="B2617" s="1191">
        <v>0.93340000000000001</v>
      </c>
    </row>
    <row r="2618" spans="1:2" ht="15.5">
      <c r="A2618" s="1190">
        <v>7.5</v>
      </c>
      <c r="B2618" s="1191">
        <v>0.93320000000000003</v>
      </c>
    </row>
    <row r="2619" spans="1:2" ht="15.5">
      <c r="A2619" s="1190">
        <v>7.6</v>
      </c>
      <c r="B2619" s="1191">
        <v>0.93300000000000005</v>
      </c>
    </row>
    <row r="2620" spans="1:2" ht="15.5">
      <c r="A2620" s="1190">
        <v>7.7</v>
      </c>
      <c r="B2620" s="1191">
        <v>0.93279999999999996</v>
      </c>
    </row>
    <row r="2621" spans="1:2" ht="15.5">
      <c r="A2621" s="1190">
        <v>7.8</v>
      </c>
      <c r="B2621" s="1191">
        <v>0.93269999999999997</v>
      </c>
    </row>
    <row r="2622" spans="1:2" ht="15.5">
      <c r="A2622" s="1190">
        <v>7.9</v>
      </c>
      <c r="B2622" s="1191">
        <v>0.9325</v>
      </c>
    </row>
    <row r="2623" spans="1:2" ht="15.5">
      <c r="A2623" s="1190">
        <v>8</v>
      </c>
      <c r="B2623" s="1191">
        <v>0.93230000000000002</v>
      </c>
    </row>
    <row r="2624" spans="1:2" ht="15.5">
      <c r="A2624" s="1190">
        <v>8.1</v>
      </c>
      <c r="B2624" s="1191">
        <v>0.93210000000000004</v>
      </c>
    </row>
    <row r="2625" spans="1:2" ht="15.5">
      <c r="A2625" s="1190">
        <v>8.1999999999999993</v>
      </c>
      <c r="B2625" s="1191">
        <v>0.93189999999999995</v>
      </c>
    </row>
    <row r="2626" spans="1:2" ht="15.5">
      <c r="A2626" s="1190">
        <v>8.3000000000000007</v>
      </c>
      <c r="B2626" s="1191">
        <v>0.93179999999999996</v>
      </c>
    </row>
    <row r="2627" spans="1:2" ht="15.5">
      <c r="A2627" s="1190">
        <v>8.4</v>
      </c>
      <c r="B2627" s="1191">
        <v>0.93159999999999998</v>
      </c>
    </row>
    <row r="2628" spans="1:2" ht="15.5">
      <c r="A2628" s="1190">
        <v>8.5</v>
      </c>
      <c r="B2628" s="1191">
        <v>0.93140000000000001</v>
      </c>
    </row>
    <row r="2629" spans="1:2" ht="15.5">
      <c r="A2629" s="1190">
        <v>8.6</v>
      </c>
      <c r="B2629" s="1191">
        <v>0.93120000000000003</v>
      </c>
    </row>
    <row r="2630" spans="1:2" ht="15.5">
      <c r="A2630" s="1190">
        <v>8.6999999999999993</v>
      </c>
      <c r="B2630" s="1191">
        <v>0.93100000000000005</v>
      </c>
    </row>
    <row r="2631" spans="1:2" ht="15.5">
      <c r="A2631" s="1190">
        <v>8.8000000000000007</v>
      </c>
      <c r="B2631" s="1191">
        <v>0.93089999999999995</v>
      </c>
    </row>
    <row r="2632" spans="1:2" ht="15.5">
      <c r="A2632" s="1190">
        <v>8.9</v>
      </c>
      <c r="B2632" s="1191">
        <v>0.93069999999999997</v>
      </c>
    </row>
    <row r="2633" spans="1:2" ht="15.5">
      <c r="A2633" s="1190">
        <v>9</v>
      </c>
      <c r="B2633" s="1191">
        <v>0.93049999999999999</v>
      </c>
    </row>
    <row r="2634" spans="1:2" ht="15.5">
      <c r="A2634" s="1190">
        <v>9.1</v>
      </c>
      <c r="B2634" s="1191">
        <v>0.93030000000000002</v>
      </c>
    </row>
    <row r="2635" spans="1:2" ht="15.5">
      <c r="A2635" s="1190">
        <v>9.1999999999999993</v>
      </c>
      <c r="B2635" s="1191">
        <v>0.93010000000000004</v>
      </c>
    </row>
    <row r="2636" spans="1:2" ht="15.5">
      <c r="A2636" s="1190">
        <v>9.3000000000000007</v>
      </c>
      <c r="B2636" s="1191">
        <v>0.93</v>
      </c>
    </row>
    <row r="2637" spans="1:2" ht="15.5">
      <c r="A2637" s="1190">
        <v>9.4</v>
      </c>
      <c r="B2637" s="1191">
        <v>0.92979999999999996</v>
      </c>
    </row>
    <row r="2638" spans="1:2" ht="15.5">
      <c r="A2638" s="1190">
        <v>9.5</v>
      </c>
      <c r="B2638" s="1191">
        <v>0.92959999999999998</v>
      </c>
    </row>
    <row r="2639" spans="1:2" ht="15.5">
      <c r="A2639" s="1190">
        <v>9.6</v>
      </c>
      <c r="B2639" s="1191">
        <v>0.9294</v>
      </c>
    </row>
    <row r="2640" spans="1:2" ht="15.5">
      <c r="A2640" s="1190">
        <v>9.6999999999999993</v>
      </c>
      <c r="B2640" s="1191">
        <v>0.92920000000000003</v>
      </c>
    </row>
    <row r="2641" spans="1:2" ht="15.5">
      <c r="A2641" s="1190">
        <v>9.8000000000000007</v>
      </c>
      <c r="B2641" s="1191">
        <v>0.92910000000000004</v>
      </c>
    </row>
    <row r="2642" spans="1:2" ht="15.5">
      <c r="A2642" s="1190">
        <v>9.9</v>
      </c>
      <c r="B2642" s="1191">
        <v>0.92889999999999995</v>
      </c>
    </row>
    <row r="2643" spans="1:2" ht="15.5">
      <c r="A2643" s="1190">
        <v>10</v>
      </c>
      <c r="B2643" s="1191">
        <v>0.92869999999999997</v>
      </c>
    </row>
    <row r="2644" spans="1:2" ht="15.5">
      <c r="A2644" s="1190">
        <v>10.1</v>
      </c>
      <c r="B2644" s="1191">
        <v>0.92849999999999999</v>
      </c>
    </row>
    <row r="2645" spans="1:2" ht="15.5">
      <c r="A2645" s="1190">
        <v>10.199999999999999</v>
      </c>
      <c r="B2645" s="1191">
        <v>0.92830000000000001</v>
      </c>
    </row>
    <row r="2646" spans="1:2" ht="15.5">
      <c r="A2646" s="1190">
        <v>10.3</v>
      </c>
      <c r="B2646" s="1191">
        <v>0.92820000000000003</v>
      </c>
    </row>
    <row r="2647" spans="1:2" ht="15.5">
      <c r="A2647" s="1190">
        <v>10.4</v>
      </c>
      <c r="B2647" s="1191">
        <v>0.92800000000000005</v>
      </c>
    </row>
    <row r="2648" spans="1:2" ht="15.5">
      <c r="A2648" s="1190">
        <v>10.5</v>
      </c>
      <c r="B2648" s="1191">
        <v>0.92779999999999996</v>
      </c>
    </row>
    <row r="2649" spans="1:2" ht="15.5">
      <c r="A2649" s="1190">
        <v>10.6</v>
      </c>
      <c r="B2649" s="1191">
        <v>0.92759999999999998</v>
      </c>
    </row>
    <row r="2650" spans="1:2" ht="15.5">
      <c r="A2650" s="1190">
        <v>10.7</v>
      </c>
      <c r="B2650" s="1191">
        <v>0.9274</v>
      </c>
    </row>
    <row r="2651" spans="1:2" ht="15.5">
      <c r="A2651" s="1190">
        <v>10.8</v>
      </c>
      <c r="B2651" s="1191">
        <v>0.92720000000000002</v>
      </c>
    </row>
    <row r="2652" spans="1:2" ht="15.5">
      <c r="A2652" s="1190">
        <v>10.9</v>
      </c>
      <c r="B2652" s="1191">
        <v>0.92700000000000005</v>
      </c>
    </row>
    <row r="2653" spans="1:2" ht="15.5">
      <c r="A2653" s="1190">
        <v>11</v>
      </c>
      <c r="B2653" s="1191">
        <v>0.92679999999999996</v>
      </c>
    </row>
    <row r="2654" spans="1:2" ht="15.5">
      <c r="A2654" s="1190">
        <v>11.1</v>
      </c>
      <c r="B2654" s="1191">
        <v>0.92659999999999998</v>
      </c>
    </row>
    <row r="2655" spans="1:2" ht="15.5">
      <c r="A2655" s="1190">
        <v>11.2</v>
      </c>
      <c r="B2655" s="1191">
        <v>0.9264</v>
      </c>
    </row>
    <row r="2656" spans="1:2" ht="15.5">
      <c r="A2656" s="1190">
        <v>11.3</v>
      </c>
      <c r="B2656" s="1191">
        <v>0.92630000000000001</v>
      </c>
    </row>
    <row r="2657" spans="1:2" ht="15.5">
      <c r="A2657" s="1190">
        <v>11.4</v>
      </c>
      <c r="B2657" s="1191">
        <v>0.92610000000000003</v>
      </c>
    </row>
    <row r="2658" spans="1:2" ht="15.5">
      <c r="A2658" s="1190">
        <v>11.5</v>
      </c>
      <c r="B2658" s="1191">
        <v>0.92589999999999995</v>
      </c>
    </row>
    <row r="2659" spans="1:2" ht="15.5">
      <c r="A2659" s="1190">
        <v>11.6</v>
      </c>
      <c r="B2659" s="1191">
        <v>0.92569999999999997</v>
      </c>
    </row>
    <row r="2660" spans="1:2" ht="15.5">
      <c r="A2660" s="1190">
        <v>11.7</v>
      </c>
      <c r="B2660" s="1191">
        <v>0.92549999999999999</v>
      </c>
    </row>
    <row r="2661" spans="1:2" ht="15.5">
      <c r="A2661" s="1190">
        <v>11.8</v>
      </c>
      <c r="B2661" s="1191">
        <v>0.9254</v>
      </c>
    </row>
    <row r="2662" spans="1:2" ht="15.5">
      <c r="A2662" s="1190">
        <v>11.9</v>
      </c>
      <c r="B2662" s="1191">
        <v>0.92520000000000002</v>
      </c>
    </row>
    <row r="2663" spans="1:2" ht="15.5">
      <c r="A2663" s="1190">
        <v>12</v>
      </c>
      <c r="B2663" s="1191">
        <v>0.92500000000000004</v>
      </c>
    </row>
    <row r="2664" spans="1:2" ht="15.5">
      <c r="A2664" s="1190">
        <v>12.1</v>
      </c>
      <c r="B2664" s="1191">
        <v>0.92479999999999996</v>
      </c>
    </row>
    <row r="2665" spans="1:2" ht="15.5">
      <c r="A2665" s="1190">
        <v>12.2</v>
      </c>
      <c r="B2665" s="1191">
        <v>0.92459999999999998</v>
      </c>
    </row>
    <row r="2666" spans="1:2" ht="15.5">
      <c r="A2666" s="1190">
        <v>12.3</v>
      </c>
      <c r="B2666" s="1191">
        <v>0.92449999999999999</v>
      </c>
    </row>
    <row r="2667" spans="1:2" ht="15.5">
      <c r="A2667" s="1190">
        <v>12.4</v>
      </c>
      <c r="B2667" s="1191">
        <v>0.92430000000000001</v>
      </c>
    </row>
    <row r="2668" spans="1:2" ht="15.5">
      <c r="A2668" s="1190">
        <v>12.5</v>
      </c>
      <c r="B2668" s="1191">
        <v>0.92410000000000003</v>
      </c>
    </row>
    <row r="2669" spans="1:2" ht="15.5">
      <c r="A2669" s="1190">
        <v>12.6</v>
      </c>
      <c r="B2669" s="1191">
        <v>0.92390000000000005</v>
      </c>
    </row>
    <row r="2670" spans="1:2" ht="15.5">
      <c r="A2670" s="1190">
        <v>12.7</v>
      </c>
      <c r="B2670" s="1191">
        <v>0.92369999999999997</v>
      </c>
    </row>
    <row r="2671" spans="1:2" ht="15.5">
      <c r="A2671" s="1190">
        <v>12.8</v>
      </c>
      <c r="B2671" s="1191">
        <v>0.92359999999999998</v>
      </c>
    </row>
    <row r="2672" spans="1:2" ht="15.5">
      <c r="A2672" s="1190">
        <v>12.9</v>
      </c>
      <c r="B2672" s="1191">
        <v>0.9234</v>
      </c>
    </row>
    <row r="2673" spans="1:2" ht="15.5">
      <c r="A2673" s="1190">
        <v>13</v>
      </c>
      <c r="B2673" s="1191">
        <v>0.92320000000000002</v>
      </c>
    </row>
    <row r="2674" spans="1:2" ht="15.5">
      <c r="A2674" s="1190">
        <v>13.1</v>
      </c>
      <c r="B2674" s="1191">
        <v>0.92300000000000004</v>
      </c>
    </row>
    <row r="2675" spans="1:2" ht="15.5">
      <c r="A2675" s="1190">
        <v>13.2</v>
      </c>
      <c r="B2675" s="1191">
        <v>0.92279999999999995</v>
      </c>
    </row>
    <row r="2676" spans="1:2" ht="15.5">
      <c r="A2676" s="1190">
        <v>13.3</v>
      </c>
      <c r="B2676" s="1191">
        <v>0.92269999999999996</v>
      </c>
    </row>
    <row r="2677" spans="1:2" ht="15.5">
      <c r="A2677" s="1190">
        <v>13.4</v>
      </c>
      <c r="B2677" s="1191">
        <v>0.92249999999999999</v>
      </c>
    </row>
    <row r="2678" spans="1:2" ht="15.5">
      <c r="A2678" s="1190">
        <v>13.5</v>
      </c>
      <c r="B2678" s="1191">
        <v>0.92230000000000001</v>
      </c>
    </row>
    <row r="2679" spans="1:2" ht="15.5">
      <c r="A2679" s="1190">
        <v>13.6</v>
      </c>
      <c r="B2679" s="1191">
        <v>0.92210000000000003</v>
      </c>
    </row>
    <row r="2680" spans="1:2" ht="15.5">
      <c r="A2680" s="1190">
        <v>13.7</v>
      </c>
      <c r="B2680" s="1191">
        <v>0.92190000000000005</v>
      </c>
    </row>
    <row r="2681" spans="1:2" ht="15.5">
      <c r="A2681" s="1190">
        <v>13.8</v>
      </c>
      <c r="B2681" s="1191">
        <v>0.92179999999999995</v>
      </c>
    </row>
    <row r="2682" spans="1:2" ht="15.5">
      <c r="A2682" s="1190">
        <v>13.9</v>
      </c>
      <c r="B2682" s="1191">
        <v>0.92159999999999997</v>
      </c>
    </row>
    <row r="2683" spans="1:2" ht="15.5">
      <c r="A2683" s="1190">
        <v>14</v>
      </c>
      <c r="B2683" s="1191">
        <v>0.9214</v>
      </c>
    </row>
    <row r="2684" spans="1:2" ht="15.5">
      <c r="A2684" s="1190">
        <v>14.1</v>
      </c>
      <c r="B2684" s="1191">
        <v>0.92120000000000002</v>
      </c>
    </row>
    <row r="2685" spans="1:2" ht="15.5">
      <c r="A2685" s="1190">
        <v>14.2</v>
      </c>
      <c r="B2685" s="1191">
        <v>0.92100000000000004</v>
      </c>
    </row>
    <row r="2686" spans="1:2" ht="15.5">
      <c r="A2686" s="1190">
        <v>14.3</v>
      </c>
      <c r="B2686" s="1191">
        <v>0.92090000000000005</v>
      </c>
    </row>
    <row r="2687" spans="1:2" ht="15.5">
      <c r="A2687" s="1190">
        <v>14.4</v>
      </c>
      <c r="B2687" s="1191">
        <v>0.92069999999999996</v>
      </c>
    </row>
    <row r="2688" spans="1:2" ht="15.5">
      <c r="A2688" s="1190">
        <v>14.5</v>
      </c>
      <c r="B2688" s="1191">
        <v>0.92049999999999998</v>
      </c>
    </row>
    <row r="2689" spans="1:2" ht="15.5">
      <c r="A2689" s="1190">
        <v>14.6</v>
      </c>
      <c r="B2689" s="1191">
        <v>0.92030000000000001</v>
      </c>
    </row>
    <row r="2690" spans="1:2" ht="15.5">
      <c r="A2690" s="1190">
        <v>14.7</v>
      </c>
      <c r="B2690" s="1191">
        <v>0.92010000000000003</v>
      </c>
    </row>
    <row r="2691" spans="1:2" ht="15.5">
      <c r="A2691" s="1190">
        <v>14.8</v>
      </c>
      <c r="B2691" s="1191">
        <v>0.92</v>
      </c>
    </row>
    <row r="2692" spans="1:2" ht="15.5">
      <c r="A2692" s="1190">
        <v>14.9</v>
      </c>
      <c r="B2692" s="1191">
        <v>0.91979999999999995</v>
      </c>
    </row>
    <row r="2693" spans="1:2" ht="15.5">
      <c r="A2693" s="1190">
        <v>15</v>
      </c>
      <c r="B2693" s="1191">
        <v>0.91959999999999997</v>
      </c>
    </row>
    <row r="2694" spans="1:2" ht="15.5">
      <c r="A2694" s="1190">
        <v>15.1</v>
      </c>
      <c r="B2694" s="1191">
        <v>0.9194</v>
      </c>
    </row>
    <row r="2695" spans="1:2" ht="15.5">
      <c r="A2695" s="1190">
        <v>15.2</v>
      </c>
      <c r="B2695" s="1191">
        <v>0.91920000000000002</v>
      </c>
    </row>
    <row r="2696" spans="1:2" ht="15.5">
      <c r="A2696" s="1190">
        <v>15.3</v>
      </c>
      <c r="B2696" s="1191">
        <v>0.91910000000000003</v>
      </c>
    </row>
    <row r="2697" spans="1:2" ht="15.5">
      <c r="A2697" s="1190">
        <v>15.4</v>
      </c>
      <c r="B2697" s="1191">
        <v>0.91890000000000005</v>
      </c>
    </row>
    <row r="2698" spans="1:2" ht="15.5">
      <c r="A2698" s="1190">
        <v>15.5</v>
      </c>
      <c r="B2698" s="1191">
        <v>0.91869999999999996</v>
      </c>
    </row>
    <row r="2699" spans="1:2" ht="15.5">
      <c r="A2699" s="1190">
        <v>15.6</v>
      </c>
      <c r="B2699" s="1191">
        <v>0.91849999999999998</v>
      </c>
    </row>
    <row r="2700" spans="1:2" ht="15.5">
      <c r="A2700" s="1190">
        <v>15.7</v>
      </c>
      <c r="B2700" s="1191">
        <v>0.91830000000000001</v>
      </c>
    </row>
    <row r="2701" spans="1:2" ht="15.5">
      <c r="A2701" s="1190">
        <v>15.8</v>
      </c>
      <c r="B2701" s="1191">
        <v>0.91820000000000002</v>
      </c>
    </row>
    <row r="2702" spans="1:2" ht="15.5">
      <c r="A2702" s="1190">
        <v>15.9</v>
      </c>
      <c r="B2702" s="1191">
        <v>0.91800000000000004</v>
      </c>
    </row>
    <row r="2703" spans="1:2" ht="15.5">
      <c r="A2703" s="1190">
        <v>16</v>
      </c>
      <c r="B2703" s="1191">
        <v>0.91779999999999995</v>
      </c>
    </row>
    <row r="2704" spans="1:2" ht="15.5">
      <c r="A2704" s="1190">
        <v>16.100000000000001</v>
      </c>
      <c r="B2704" s="1191">
        <v>0.91759999999999997</v>
      </c>
    </row>
    <row r="2705" spans="1:2" ht="15.5">
      <c r="A2705" s="1190">
        <v>16.2</v>
      </c>
      <c r="B2705" s="1191">
        <v>0.91739999999999999</v>
      </c>
    </row>
    <row r="2706" spans="1:2" ht="15.5">
      <c r="A2706" s="1190">
        <v>16.3</v>
      </c>
      <c r="B2706" s="1191">
        <v>0.91720000000000002</v>
      </c>
    </row>
    <row r="2707" spans="1:2" ht="15.5">
      <c r="A2707" s="1190">
        <v>16.399999999999999</v>
      </c>
      <c r="B2707" s="1191">
        <v>0.91700000000000004</v>
      </c>
    </row>
    <row r="2708" spans="1:2" ht="15.5">
      <c r="A2708" s="1190">
        <v>16.5</v>
      </c>
      <c r="B2708" s="1191">
        <v>0.91679999999999995</v>
      </c>
    </row>
    <row r="2709" spans="1:2" ht="15.5">
      <c r="A2709" s="1190">
        <v>16.600000000000001</v>
      </c>
      <c r="B2709" s="1191">
        <v>0.91659999999999997</v>
      </c>
    </row>
    <row r="2710" spans="1:2" ht="15.5">
      <c r="A2710" s="1190">
        <v>16.7</v>
      </c>
      <c r="B2710" s="1191">
        <v>0.91639999999999999</v>
      </c>
    </row>
    <row r="2711" spans="1:2" ht="15.5">
      <c r="A2711" s="1190">
        <v>16.8</v>
      </c>
      <c r="B2711" s="1191">
        <v>0.9163</v>
      </c>
    </row>
    <row r="2712" spans="1:2" ht="15.5">
      <c r="A2712" s="1190">
        <v>16.899999999999999</v>
      </c>
      <c r="B2712" s="1191">
        <v>0.91610000000000003</v>
      </c>
    </row>
    <row r="2713" spans="1:2" ht="15.5">
      <c r="A2713" s="1190">
        <v>17</v>
      </c>
      <c r="B2713" s="1191">
        <v>0.91590000000000005</v>
      </c>
    </row>
    <row r="2714" spans="1:2" ht="15.5">
      <c r="A2714" s="1190">
        <v>17.100000000000001</v>
      </c>
      <c r="B2714" s="1191">
        <v>0.91569999999999996</v>
      </c>
    </row>
    <row r="2715" spans="1:2" ht="15.5">
      <c r="A2715" s="1190">
        <v>17.2</v>
      </c>
      <c r="B2715" s="1191">
        <v>0.91549999999999998</v>
      </c>
    </row>
    <row r="2716" spans="1:2" ht="15.5">
      <c r="A2716" s="1190">
        <v>17.3</v>
      </c>
      <c r="B2716" s="1191">
        <v>0.91539999999999999</v>
      </c>
    </row>
    <row r="2717" spans="1:2" ht="15.5">
      <c r="A2717" s="1190">
        <v>17.399999999999999</v>
      </c>
      <c r="B2717" s="1191">
        <v>0.91520000000000001</v>
      </c>
    </row>
    <row r="2718" spans="1:2" ht="15.5">
      <c r="A2718" s="1190">
        <v>17.5</v>
      </c>
      <c r="B2718" s="1191">
        <v>0.91500000000000004</v>
      </c>
    </row>
    <row r="2719" spans="1:2" ht="15.5">
      <c r="A2719" s="1190">
        <v>17.600000000000001</v>
      </c>
      <c r="B2719" s="1191">
        <v>0.91479999999999995</v>
      </c>
    </row>
    <row r="2720" spans="1:2" ht="15.5">
      <c r="A2720" s="1190">
        <v>17.7</v>
      </c>
      <c r="B2720" s="1191">
        <v>0.91459999999999997</v>
      </c>
    </row>
    <row r="2721" spans="1:2" ht="15.5">
      <c r="A2721" s="1190">
        <v>17.8</v>
      </c>
      <c r="B2721" s="1191">
        <v>0.91449999999999998</v>
      </c>
    </row>
    <row r="2722" spans="1:2" ht="15.5">
      <c r="A2722" s="1190">
        <v>17.899999999999999</v>
      </c>
      <c r="B2722" s="1191">
        <v>0.9143</v>
      </c>
    </row>
    <row r="2723" spans="1:2" ht="15.5">
      <c r="A2723" s="1190">
        <v>18</v>
      </c>
      <c r="B2723" s="1191">
        <v>0.91410000000000002</v>
      </c>
    </row>
    <row r="2724" spans="1:2" ht="15.5">
      <c r="A2724" s="1190">
        <v>18.100000000000001</v>
      </c>
      <c r="B2724" s="1191">
        <v>0.91390000000000005</v>
      </c>
    </row>
    <row r="2725" spans="1:2" ht="15.5">
      <c r="A2725" s="1190">
        <v>18.2</v>
      </c>
      <c r="B2725" s="1191">
        <v>0.91369999999999996</v>
      </c>
    </row>
    <row r="2726" spans="1:2" ht="15.5">
      <c r="A2726" s="1190">
        <v>18.3</v>
      </c>
      <c r="B2726" s="1191">
        <v>0.91359999999999997</v>
      </c>
    </row>
    <row r="2727" spans="1:2" ht="15.5">
      <c r="A2727" s="1190">
        <v>18.399999999999999</v>
      </c>
      <c r="B2727" s="1191">
        <v>0.91339999999999999</v>
      </c>
    </row>
    <row r="2728" spans="1:2" ht="15.5">
      <c r="A2728" s="1190">
        <v>18.5</v>
      </c>
      <c r="B2728" s="1191">
        <v>0.91320000000000001</v>
      </c>
    </row>
    <row r="2729" spans="1:2" ht="15.5">
      <c r="A2729" s="1190">
        <v>18.600000000000001</v>
      </c>
      <c r="B2729" s="1191">
        <v>0.91300000000000003</v>
      </c>
    </row>
    <row r="2730" spans="1:2" ht="15.5">
      <c r="A2730" s="1190">
        <v>18.7</v>
      </c>
      <c r="B2730" s="1191">
        <v>0.91279999999999994</v>
      </c>
    </row>
    <row r="2731" spans="1:2" ht="15.5">
      <c r="A2731" s="1190">
        <v>18.8</v>
      </c>
      <c r="B2731" s="1191">
        <v>0.91269999999999996</v>
      </c>
    </row>
    <row r="2732" spans="1:2" ht="15.5">
      <c r="A2732" s="1190">
        <v>18.899999999999999</v>
      </c>
      <c r="B2732" s="1191">
        <v>0.91249999999999998</v>
      </c>
    </row>
    <row r="2733" spans="1:2" ht="15.5">
      <c r="A2733" s="1190">
        <v>19</v>
      </c>
      <c r="B2733" s="1191">
        <v>0.9123</v>
      </c>
    </row>
    <row r="2734" spans="1:2" ht="15.5">
      <c r="A2734" s="1190">
        <v>19.100000000000001</v>
      </c>
      <c r="B2734" s="1191">
        <v>0.91210000000000002</v>
      </c>
    </row>
    <row r="2735" spans="1:2" ht="15.5">
      <c r="A2735" s="1190">
        <v>19.2</v>
      </c>
      <c r="B2735" s="1191">
        <v>0.91190000000000004</v>
      </c>
    </row>
    <row r="2736" spans="1:2" ht="15.5">
      <c r="A2736" s="1190">
        <v>19.3</v>
      </c>
      <c r="B2736" s="1191">
        <v>0.91180000000000005</v>
      </c>
    </row>
    <row r="2737" spans="1:2" ht="15.5">
      <c r="A2737" s="1190">
        <v>19.399999999999999</v>
      </c>
      <c r="B2737" s="1191">
        <v>0.91159999999999997</v>
      </c>
    </row>
    <row r="2738" spans="1:2" ht="15.5">
      <c r="A2738" s="1190">
        <v>19.5</v>
      </c>
      <c r="B2738" s="1191">
        <v>0.91139999999999999</v>
      </c>
    </row>
    <row r="2739" spans="1:2" ht="15.5">
      <c r="A2739" s="1190">
        <v>19.600000000000001</v>
      </c>
      <c r="B2739" s="1191">
        <v>0.91120000000000001</v>
      </c>
    </row>
    <row r="2740" spans="1:2" ht="15.5">
      <c r="A2740" s="1190">
        <v>19.7</v>
      </c>
      <c r="B2740" s="1191">
        <v>0.91100000000000003</v>
      </c>
    </row>
    <row r="2741" spans="1:2" ht="15.5">
      <c r="A2741" s="1190">
        <v>19.8</v>
      </c>
      <c r="B2741" s="1191">
        <v>0.91090000000000004</v>
      </c>
    </row>
    <row r="2742" spans="1:2" ht="15.5">
      <c r="A2742" s="1190">
        <v>19.899999999999999</v>
      </c>
      <c r="B2742" s="1191">
        <v>0.91069999999999995</v>
      </c>
    </row>
    <row r="2743" spans="1:2" ht="15.5">
      <c r="A2743" s="1190">
        <v>20</v>
      </c>
      <c r="B2743" s="1191">
        <v>0.91049999999999998</v>
      </c>
    </row>
    <row r="2744" spans="1:2" ht="15.5">
      <c r="A2744" s="1190">
        <v>20.100000000000001</v>
      </c>
      <c r="B2744" s="1191">
        <v>0.9103</v>
      </c>
    </row>
    <row r="2745" spans="1:2" ht="15.5">
      <c r="A2745" s="1190">
        <v>20.2</v>
      </c>
      <c r="B2745" s="1191">
        <v>0.91010000000000002</v>
      </c>
    </row>
    <row r="2746" spans="1:2" ht="15.5">
      <c r="A2746" s="1190">
        <v>20.3</v>
      </c>
      <c r="B2746" s="1191">
        <v>0.91</v>
      </c>
    </row>
    <row r="2747" spans="1:2" ht="15.5">
      <c r="A2747" s="1190">
        <v>20.399999999999999</v>
      </c>
      <c r="B2747" s="1191">
        <v>0.90980000000000005</v>
      </c>
    </row>
    <row r="2748" spans="1:2" ht="15.5">
      <c r="A2748" s="1190">
        <v>20.5</v>
      </c>
      <c r="B2748" s="1191">
        <v>0.90959999999999996</v>
      </c>
    </row>
    <row r="2749" spans="1:2" ht="15.5">
      <c r="A2749" s="1190">
        <v>20.6</v>
      </c>
      <c r="B2749" s="1191">
        <v>0.90939999999999999</v>
      </c>
    </row>
    <row r="2750" spans="1:2" ht="15.5">
      <c r="A2750" s="1190">
        <v>20.7</v>
      </c>
      <c r="B2750" s="1191">
        <v>0.90920000000000001</v>
      </c>
    </row>
    <row r="2751" spans="1:2" ht="15.5">
      <c r="A2751" s="1190">
        <v>20.8</v>
      </c>
      <c r="B2751" s="1191">
        <v>0.90910000000000002</v>
      </c>
    </row>
    <row r="2752" spans="1:2" ht="15.5">
      <c r="A2752" s="1190">
        <v>20.9</v>
      </c>
      <c r="B2752" s="1191">
        <v>0.90890000000000004</v>
      </c>
    </row>
    <row r="2753" spans="1:2" ht="15.5">
      <c r="A2753" s="1190">
        <v>21</v>
      </c>
      <c r="B2753" s="1191">
        <v>0.90869999999999995</v>
      </c>
    </row>
    <row r="2754" spans="1:2" ht="15.5">
      <c r="A2754" s="1190">
        <v>21.1</v>
      </c>
      <c r="B2754" s="1191">
        <v>0.90849999999999997</v>
      </c>
    </row>
    <row r="2755" spans="1:2" ht="15.5">
      <c r="A2755" s="1190">
        <v>21.2</v>
      </c>
      <c r="B2755" s="1191">
        <v>0.9083</v>
      </c>
    </row>
    <row r="2756" spans="1:2" ht="15.5">
      <c r="A2756" s="1190">
        <v>21.3</v>
      </c>
      <c r="B2756" s="1191">
        <v>0.90810000000000002</v>
      </c>
    </row>
    <row r="2757" spans="1:2" ht="15.5">
      <c r="A2757" s="1190">
        <v>21.4</v>
      </c>
      <c r="B2757" s="1191">
        <v>0.90790000000000004</v>
      </c>
    </row>
    <row r="2758" spans="1:2" ht="15.5">
      <c r="A2758" s="1190">
        <v>21.5</v>
      </c>
      <c r="B2758" s="1191">
        <v>0.90769999999999995</v>
      </c>
    </row>
    <row r="2759" spans="1:2" ht="15.5">
      <c r="A2759" s="1190">
        <v>21.6</v>
      </c>
      <c r="B2759" s="1191">
        <v>0.90749999999999997</v>
      </c>
    </row>
    <row r="2760" spans="1:2" ht="15.5">
      <c r="A2760" s="1190">
        <v>21.7</v>
      </c>
      <c r="B2760" s="1191">
        <v>0.9073</v>
      </c>
    </row>
    <row r="2761" spans="1:2" ht="15.5">
      <c r="A2761" s="1190">
        <v>21.8</v>
      </c>
      <c r="B2761" s="1191">
        <v>0.90720000000000001</v>
      </c>
    </row>
    <row r="2762" spans="1:2" ht="15.5">
      <c r="A2762" s="1190">
        <v>21.9</v>
      </c>
      <c r="B2762" s="1191">
        <v>0.90700000000000003</v>
      </c>
    </row>
    <row r="2763" spans="1:2" ht="15.5">
      <c r="A2763" s="1190">
        <v>22</v>
      </c>
      <c r="B2763" s="1191">
        <v>0.90680000000000005</v>
      </c>
    </row>
    <row r="2764" spans="1:2" ht="15.5">
      <c r="A2764" s="1190">
        <v>22.1</v>
      </c>
      <c r="B2764" s="1191">
        <v>0.90659999999999996</v>
      </c>
    </row>
    <row r="2765" spans="1:2" ht="15.5">
      <c r="A2765" s="1190">
        <v>22.2</v>
      </c>
      <c r="B2765" s="1191">
        <v>0.90639999999999998</v>
      </c>
    </row>
    <row r="2766" spans="1:2" ht="15.5">
      <c r="A2766" s="1190">
        <v>22.3</v>
      </c>
      <c r="B2766" s="1191">
        <v>0.90629999999999999</v>
      </c>
    </row>
    <row r="2767" spans="1:2" ht="15.5">
      <c r="A2767" s="1190">
        <v>22.4</v>
      </c>
      <c r="B2767" s="1191">
        <v>0.90610000000000002</v>
      </c>
    </row>
    <row r="2768" spans="1:2" ht="15.5">
      <c r="A2768" s="1190">
        <v>22.5</v>
      </c>
      <c r="B2768" s="1191">
        <v>0.90590000000000004</v>
      </c>
    </row>
    <row r="2769" spans="1:2" ht="15.5">
      <c r="A2769" s="1190">
        <v>22.6</v>
      </c>
      <c r="B2769" s="1191">
        <v>0.90569999999999995</v>
      </c>
    </row>
    <row r="2770" spans="1:2" ht="15.5">
      <c r="A2770" s="1190">
        <v>22.7</v>
      </c>
      <c r="B2770" s="1191">
        <v>0.90549999999999997</v>
      </c>
    </row>
    <row r="2771" spans="1:2" ht="15.5">
      <c r="A2771" s="1190">
        <v>22.8</v>
      </c>
      <c r="B2771" s="1191">
        <v>0.90539999999999998</v>
      </c>
    </row>
    <row r="2772" spans="1:2" ht="15.5">
      <c r="A2772" s="1190">
        <v>22.9</v>
      </c>
      <c r="B2772" s="1191">
        <v>0.9052</v>
      </c>
    </row>
    <row r="2773" spans="1:2" ht="15.5">
      <c r="A2773" s="1190">
        <v>23</v>
      </c>
      <c r="B2773" s="1191">
        <v>0.90500000000000003</v>
      </c>
    </row>
    <row r="2774" spans="1:2" ht="15.5">
      <c r="A2774" s="1190">
        <v>23.1</v>
      </c>
      <c r="B2774" s="1191">
        <v>0.90480000000000005</v>
      </c>
    </row>
    <row r="2775" spans="1:2" ht="15.5">
      <c r="A2775" s="1190">
        <v>23.2</v>
      </c>
      <c r="B2775" s="1191">
        <v>0.90459999999999996</v>
      </c>
    </row>
    <row r="2776" spans="1:2" ht="15.5">
      <c r="A2776" s="1190">
        <v>23.3</v>
      </c>
      <c r="B2776" s="1191">
        <v>0.90449999999999997</v>
      </c>
    </row>
    <row r="2777" spans="1:2" ht="15.5">
      <c r="A2777" s="1190">
        <v>23.4</v>
      </c>
      <c r="B2777" s="1191">
        <v>0.90429999999999999</v>
      </c>
    </row>
    <row r="2778" spans="1:2" ht="15.5">
      <c r="A2778" s="1190">
        <v>23.5</v>
      </c>
      <c r="B2778" s="1191">
        <v>0.90410000000000001</v>
      </c>
    </row>
    <row r="2779" spans="1:2" ht="15.5">
      <c r="A2779" s="1190">
        <v>23.6</v>
      </c>
      <c r="B2779" s="1191">
        <v>0.90390000000000004</v>
      </c>
    </row>
    <row r="2780" spans="1:2" ht="15.5">
      <c r="A2780" s="1190">
        <v>23.7</v>
      </c>
      <c r="B2780" s="1191">
        <v>0.90369999999999995</v>
      </c>
    </row>
    <row r="2781" spans="1:2" ht="15.5">
      <c r="A2781" s="1190">
        <v>23.8</v>
      </c>
      <c r="B2781" s="1191">
        <v>0.90359999999999996</v>
      </c>
    </row>
    <row r="2782" spans="1:2" ht="15.5">
      <c r="A2782" s="1190">
        <v>23.9</v>
      </c>
      <c r="B2782" s="1191">
        <v>0.90339999999999998</v>
      </c>
    </row>
    <row r="2783" spans="1:2" ht="15.5">
      <c r="A2783" s="1190">
        <v>24</v>
      </c>
      <c r="B2783" s="1191">
        <v>0.9032</v>
      </c>
    </row>
    <row r="2784" spans="1:2" ht="15.5">
      <c r="A2784" s="1190">
        <v>24.1</v>
      </c>
      <c r="B2784" s="1191">
        <v>0.90300000000000002</v>
      </c>
    </row>
    <row r="2785" spans="1:2" ht="15.5">
      <c r="A2785" s="1190">
        <v>24.2</v>
      </c>
      <c r="B2785" s="1191">
        <v>0.90280000000000005</v>
      </c>
    </row>
    <row r="2786" spans="1:2" ht="15.5">
      <c r="A2786" s="1190">
        <v>24.3</v>
      </c>
      <c r="B2786" s="1191">
        <v>0.90269999999999995</v>
      </c>
    </row>
    <row r="2787" spans="1:2" ht="15.5">
      <c r="A2787" s="1190">
        <v>24.4</v>
      </c>
      <c r="B2787" s="1191">
        <v>0.90249999999999997</v>
      </c>
    </row>
    <row r="2788" spans="1:2" ht="15.5">
      <c r="A2788" s="1190">
        <v>24.5</v>
      </c>
      <c r="B2788" s="1191">
        <v>0.90229999999999999</v>
      </c>
    </row>
    <row r="2789" spans="1:2" ht="15.5">
      <c r="A2789" s="1190">
        <v>24.6</v>
      </c>
      <c r="B2789" s="1191">
        <v>0.90210000000000001</v>
      </c>
    </row>
    <row r="2790" spans="1:2" ht="15.5">
      <c r="A2790" s="1190">
        <v>24.7</v>
      </c>
      <c r="B2790" s="1191">
        <v>0.90190000000000003</v>
      </c>
    </row>
    <row r="2791" spans="1:2" ht="15.5">
      <c r="A2791" s="1190">
        <v>24.8</v>
      </c>
      <c r="B2791" s="1191">
        <v>0.90180000000000005</v>
      </c>
    </row>
    <row r="2792" spans="1:2" ht="15.5">
      <c r="A2792" s="1190">
        <v>24.9</v>
      </c>
      <c r="B2792" s="1191">
        <v>0.90159999999999996</v>
      </c>
    </row>
    <row r="2793" spans="1:2" ht="15.5">
      <c r="A2793" s="1190">
        <v>25</v>
      </c>
      <c r="B2793" s="1191">
        <v>0.90139999999999998</v>
      </c>
    </row>
    <row r="2794" spans="1:2" ht="15.5">
      <c r="A2794" s="1190">
        <v>25.1</v>
      </c>
      <c r="B2794" s="1191">
        <v>0.9012</v>
      </c>
    </row>
    <row r="2795" spans="1:2" ht="15.5">
      <c r="A2795" s="1190">
        <v>25.2</v>
      </c>
      <c r="B2795" s="1191">
        <v>0.90100000000000002</v>
      </c>
    </row>
    <row r="2796" spans="1:2" ht="15.5">
      <c r="A2796" s="1190">
        <v>25.3</v>
      </c>
      <c r="B2796" s="1191">
        <v>0.90090000000000003</v>
      </c>
    </row>
    <row r="2797" spans="1:2" ht="15.5">
      <c r="A2797" s="1190">
        <v>25.4</v>
      </c>
      <c r="B2797" s="1191">
        <v>0.90069999999999995</v>
      </c>
    </row>
    <row r="2798" spans="1:2" ht="15.5">
      <c r="A2798" s="1190">
        <v>25.5</v>
      </c>
      <c r="B2798" s="1191">
        <v>0.90049999999999997</v>
      </c>
    </row>
    <row r="2799" spans="1:2" ht="15.5">
      <c r="A2799" s="1190">
        <v>25.6</v>
      </c>
      <c r="B2799" s="1191">
        <v>0.90029999999999999</v>
      </c>
    </row>
    <row r="2800" spans="1:2" ht="15.5">
      <c r="A2800" s="1190">
        <v>25.7</v>
      </c>
      <c r="B2800" s="1191">
        <v>0.90010000000000001</v>
      </c>
    </row>
    <row r="2801" spans="1:2" ht="15.5">
      <c r="A2801" s="1190">
        <v>25.8</v>
      </c>
      <c r="B2801" s="1191">
        <v>0.9</v>
      </c>
    </row>
    <row r="2802" spans="1:2" ht="15.5">
      <c r="A2802" s="1190">
        <v>25.9</v>
      </c>
      <c r="B2802" s="1191">
        <v>0.89980000000000004</v>
      </c>
    </row>
    <row r="2803" spans="1:2" ht="15.5">
      <c r="A2803" s="1190">
        <v>26</v>
      </c>
      <c r="B2803" s="1191">
        <v>0.89959999999999996</v>
      </c>
    </row>
    <row r="2804" spans="1:2" ht="15.5">
      <c r="A2804" s="1190">
        <v>26.1</v>
      </c>
      <c r="B2804" s="1191">
        <v>0.89939999999999998</v>
      </c>
    </row>
    <row r="2805" spans="1:2" ht="15.5">
      <c r="A2805" s="1190">
        <v>26.2</v>
      </c>
      <c r="B2805" s="1191">
        <v>0.8992</v>
      </c>
    </row>
    <row r="2806" spans="1:2" ht="15.5">
      <c r="A2806" s="1190">
        <v>26.3</v>
      </c>
      <c r="B2806" s="1191">
        <v>0.89910000000000001</v>
      </c>
    </row>
    <row r="2807" spans="1:2" ht="15.5">
      <c r="A2807" s="1190">
        <v>26.4</v>
      </c>
      <c r="B2807" s="1191">
        <v>0.89890000000000003</v>
      </c>
    </row>
    <row r="2808" spans="1:2" ht="15.5">
      <c r="A2808" s="1190">
        <v>26.5</v>
      </c>
      <c r="B2808" s="1191">
        <v>0.89870000000000005</v>
      </c>
    </row>
    <row r="2809" spans="1:2" ht="15.5">
      <c r="A2809" s="1190">
        <v>26.6</v>
      </c>
      <c r="B2809" s="1191">
        <v>0.89849999999999997</v>
      </c>
    </row>
    <row r="2810" spans="1:2" ht="15.5">
      <c r="A2810" s="1190">
        <v>26.7</v>
      </c>
      <c r="B2810" s="1191">
        <v>0.89829999999999999</v>
      </c>
    </row>
    <row r="2811" spans="1:2" ht="15.5">
      <c r="A2811" s="1190">
        <v>26.8</v>
      </c>
      <c r="B2811" s="1191">
        <v>0.89810000000000001</v>
      </c>
    </row>
    <row r="2812" spans="1:2" ht="15.5">
      <c r="A2812" s="1190">
        <v>26.9</v>
      </c>
      <c r="B2812" s="1191">
        <v>0.89790000000000003</v>
      </c>
    </row>
    <row r="2813" spans="1:2" ht="15.5">
      <c r="A2813" s="1190">
        <v>27</v>
      </c>
      <c r="B2813" s="1191">
        <v>0.89770000000000005</v>
      </c>
    </row>
    <row r="2814" spans="1:2" ht="15.5">
      <c r="A2814" s="1190">
        <v>27.1</v>
      </c>
      <c r="B2814" s="1191">
        <v>0.89749999999999996</v>
      </c>
    </row>
    <row r="2815" spans="1:2" ht="15.5">
      <c r="A2815" s="1190">
        <v>27.2</v>
      </c>
      <c r="B2815" s="1191">
        <v>0.89729999999999999</v>
      </c>
    </row>
    <row r="2816" spans="1:2" ht="15.5">
      <c r="A2816" s="1190">
        <v>27.3</v>
      </c>
      <c r="B2816" s="1191">
        <v>0.8972</v>
      </c>
    </row>
    <row r="2817" spans="1:2" ht="15.5">
      <c r="A2817" s="1190">
        <v>27.4</v>
      </c>
      <c r="B2817" s="1191">
        <v>0.89700000000000002</v>
      </c>
    </row>
    <row r="2818" spans="1:2" ht="15.5">
      <c r="A2818" s="1190">
        <v>27.5</v>
      </c>
      <c r="B2818" s="1191">
        <v>0.89680000000000004</v>
      </c>
    </row>
    <row r="2819" spans="1:2" ht="15.5">
      <c r="A2819" s="1190">
        <v>27.6</v>
      </c>
      <c r="B2819" s="1191">
        <v>0.89659999999999995</v>
      </c>
    </row>
    <row r="2820" spans="1:2" ht="15.5">
      <c r="A2820" s="1190">
        <v>27.7</v>
      </c>
      <c r="B2820" s="1191">
        <v>0.89639999999999997</v>
      </c>
    </row>
    <row r="2821" spans="1:2" ht="15.5">
      <c r="A2821" s="1190">
        <v>27.8</v>
      </c>
      <c r="B2821" s="1191">
        <v>0.89629999999999999</v>
      </c>
    </row>
    <row r="2822" spans="1:2" ht="15.5">
      <c r="A2822" s="1190">
        <v>27.9</v>
      </c>
      <c r="B2822" s="1191">
        <v>0.89610000000000001</v>
      </c>
    </row>
    <row r="2823" spans="1:2" ht="15.5">
      <c r="A2823" s="1190">
        <v>28</v>
      </c>
      <c r="B2823" s="1191">
        <v>0.89590000000000003</v>
      </c>
    </row>
    <row r="2824" spans="1:2" ht="15.5">
      <c r="A2824" s="1190">
        <v>28.1</v>
      </c>
      <c r="B2824" s="1191">
        <v>0.89570000000000005</v>
      </c>
    </row>
    <row r="2825" spans="1:2" ht="15.5">
      <c r="A2825" s="1190">
        <v>28.2</v>
      </c>
      <c r="B2825" s="1191">
        <v>0.89549999999999996</v>
      </c>
    </row>
    <row r="2826" spans="1:2" ht="15.5">
      <c r="A2826" s="1190">
        <v>28.3</v>
      </c>
      <c r="B2826" s="1191">
        <v>0.89539999999999997</v>
      </c>
    </row>
    <row r="2827" spans="1:2" ht="15.5">
      <c r="A2827" s="1190">
        <v>28.4</v>
      </c>
      <c r="B2827" s="1191">
        <v>0.8952</v>
      </c>
    </row>
    <row r="2828" spans="1:2" ht="15.5">
      <c r="A2828" s="1190">
        <v>28.5</v>
      </c>
      <c r="B2828" s="1191">
        <v>0.89500000000000002</v>
      </c>
    </row>
    <row r="2829" spans="1:2" ht="15.5">
      <c r="A2829" s="1190">
        <v>28.6</v>
      </c>
      <c r="B2829" s="1191">
        <v>0.89480000000000004</v>
      </c>
    </row>
    <row r="2830" spans="1:2" ht="15.5">
      <c r="A2830" s="1190">
        <v>28.7</v>
      </c>
      <c r="B2830" s="1191">
        <v>0.89459999999999995</v>
      </c>
    </row>
    <row r="2831" spans="1:2" ht="15.5">
      <c r="A2831" s="1190">
        <v>28.8</v>
      </c>
      <c r="B2831" s="1191">
        <v>0.89449999999999996</v>
      </c>
    </row>
    <row r="2832" spans="1:2" ht="15.5">
      <c r="A2832" s="1190">
        <v>28.9</v>
      </c>
      <c r="B2832" s="1191">
        <v>0.89429999999999998</v>
      </c>
    </row>
    <row r="2833" spans="1:2" ht="15.5">
      <c r="A2833" s="1190">
        <v>29</v>
      </c>
      <c r="B2833" s="1191">
        <v>0.89410000000000001</v>
      </c>
    </row>
    <row r="2834" spans="1:2" ht="15.5">
      <c r="A2834" s="1190">
        <v>29.1</v>
      </c>
      <c r="B2834" s="1191">
        <v>0.89390000000000003</v>
      </c>
    </row>
    <row r="2835" spans="1:2" ht="15.5">
      <c r="A2835" s="1190">
        <v>29.2</v>
      </c>
      <c r="B2835" s="1191">
        <v>0.89370000000000005</v>
      </c>
    </row>
    <row r="2836" spans="1:2" ht="15.5">
      <c r="A2836" s="1190">
        <v>29.3</v>
      </c>
      <c r="B2836" s="1191">
        <v>0.89359999999999995</v>
      </c>
    </row>
    <row r="2837" spans="1:2" ht="15.5">
      <c r="A2837" s="1190">
        <v>29.4</v>
      </c>
      <c r="B2837" s="1191">
        <v>0.89339999999999997</v>
      </c>
    </row>
    <row r="2838" spans="1:2" ht="15.5">
      <c r="A2838" s="1190">
        <v>29.5</v>
      </c>
      <c r="B2838" s="1191">
        <v>0.89319999999999999</v>
      </c>
    </row>
    <row r="2839" spans="1:2" ht="15.5">
      <c r="A2839" s="1190">
        <v>29.6</v>
      </c>
      <c r="B2839" s="1191">
        <v>0.89300000000000002</v>
      </c>
    </row>
    <row r="2840" spans="1:2" ht="15.5">
      <c r="A2840" s="1190">
        <v>29.7</v>
      </c>
      <c r="B2840" s="1191">
        <v>0.89280000000000004</v>
      </c>
    </row>
    <row r="2841" spans="1:2" ht="15.5">
      <c r="A2841" s="1190">
        <v>29.8</v>
      </c>
      <c r="B2841" s="1191">
        <v>0.89270000000000005</v>
      </c>
    </row>
    <row r="2842" spans="1:2" ht="15.5">
      <c r="A2842" s="1190">
        <v>29.9</v>
      </c>
      <c r="B2842" s="1191">
        <v>0.89249999999999996</v>
      </c>
    </row>
    <row r="2843" spans="1:2" ht="15.5">
      <c r="A2843" s="1190">
        <v>30</v>
      </c>
      <c r="B2843" s="1191">
        <v>0.89229999999999998</v>
      </c>
    </row>
    <row r="2844" spans="1:2" ht="15.5">
      <c r="A2844" s="1190">
        <v>30.1</v>
      </c>
      <c r="B2844" s="1191">
        <v>0.8921</v>
      </c>
    </row>
    <row r="2845" spans="1:2" ht="15.5">
      <c r="A2845" s="1190">
        <v>30.2</v>
      </c>
      <c r="B2845" s="1191">
        <v>0.89190000000000003</v>
      </c>
    </row>
    <row r="2846" spans="1:2" ht="15.5">
      <c r="A2846" s="1190">
        <v>30.3</v>
      </c>
      <c r="B2846" s="1191">
        <v>0.89180000000000004</v>
      </c>
    </row>
    <row r="2847" spans="1:2" ht="15.5">
      <c r="A2847" s="1190">
        <v>30.4</v>
      </c>
      <c r="B2847" s="1191">
        <v>0.89159999999999995</v>
      </c>
    </row>
    <row r="2848" spans="1:2" ht="15.5">
      <c r="A2848" s="1190">
        <v>30.5</v>
      </c>
      <c r="B2848" s="1191">
        <v>0.89139999999999997</v>
      </c>
    </row>
    <row r="2849" spans="1:2" ht="15.5">
      <c r="A2849" s="1190">
        <v>30.6</v>
      </c>
      <c r="B2849" s="1191">
        <v>0.89119999999999999</v>
      </c>
    </row>
    <row r="2850" spans="1:2" ht="15.5">
      <c r="A2850" s="1190">
        <v>30.7</v>
      </c>
      <c r="B2850" s="1191">
        <v>0.89100000000000001</v>
      </c>
    </row>
    <row r="2851" spans="1:2" ht="15.5">
      <c r="A2851" s="1190">
        <v>30.8</v>
      </c>
      <c r="B2851" s="1191">
        <v>0.89090000000000003</v>
      </c>
    </row>
    <row r="2852" spans="1:2" ht="15.5">
      <c r="A2852" s="1190">
        <v>30.9</v>
      </c>
      <c r="B2852" s="1191">
        <v>0.89070000000000005</v>
      </c>
    </row>
    <row r="2853" spans="1:2" ht="15.5">
      <c r="A2853" s="1190">
        <v>31</v>
      </c>
      <c r="B2853" s="1191">
        <v>0.89049999999999996</v>
      </c>
    </row>
    <row r="2854" spans="1:2" ht="15.5">
      <c r="A2854" s="1190">
        <v>31.1</v>
      </c>
      <c r="B2854" s="1191">
        <v>0.89029999999999998</v>
      </c>
    </row>
    <row r="2855" spans="1:2" ht="15.5">
      <c r="A2855" s="1190">
        <v>31.2</v>
      </c>
      <c r="B2855" s="1191">
        <v>0.8901</v>
      </c>
    </row>
    <row r="2856" spans="1:2" ht="15.5">
      <c r="A2856" s="1190">
        <v>31.3</v>
      </c>
      <c r="B2856" s="1191">
        <v>0.89</v>
      </c>
    </row>
    <row r="2857" spans="1:2" ht="15.5">
      <c r="A2857" s="1190">
        <v>31.4</v>
      </c>
      <c r="B2857" s="1191">
        <v>0.88980000000000004</v>
      </c>
    </row>
    <row r="2858" spans="1:2" ht="15.5">
      <c r="A2858" s="1190">
        <v>31.5</v>
      </c>
      <c r="B2858" s="1191">
        <v>0.88959999999999995</v>
      </c>
    </row>
    <row r="2859" spans="1:2" ht="15.5">
      <c r="A2859" s="1190">
        <v>31.6</v>
      </c>
      <c r="B2859" s="1191">
        <v>0.88939999999999997</v>
      </c>
    </row>
    <row r="2860" spans="1:2" ht="15.5">
      <c r="A2860" s="1190">
        <v>31.7</v>
      </c>
      <c r="B2860" s="1191">
        <v>0.88919999999999999</v>
      </c>
    </row>
    <row r="2861" spans="1:2" ht="15.5">
      <c r="A2861" s="1190">
        <v>31.8</v>
      </c>
      <c r="B2861" s="1191">
        <v>0.88900000000000001</v>
      </c>
    </row>
    <row r="2862" spans="1:2" ht="15.5">
      <c r="A2862" s="1190">
        <v>31.9</v>
      </c>
      <c r="B2862" s="1191">
        <v>0.88880000000000003</v>
      </c>
    </row>
    <row r="2863" spans="1:2" ht="15.5">
      <c r="A2863" s="1190">
        <v>32</v>
      </c>
      <c r="B2863" s="1191">
        <v>0.88859999999999995</v>
      </c>
    </row>
    <row r="2864" spans="1:2" ht="15.5">
      <c r="A2864" s="1190">
        <v>32.1</v>
      </c>
      <c r="B2864" s="1191">
        <v>0.88839999999999997</v>
      </c>
    </row>
    <row r="2865" spans="1:2" ht="15.5">
      <c r="A2865" s="1190">
        <v>32.200000000000003</v>
      </c>
      <c r="B2865" s="1191">
        <v>0.88819999999999999</v>
      </c>
    </row>
    <row r="2866" spans="1:2" ht="15.5">
      <c r="A2866" s="1190">
        <v>32.299999999999997</v>
      </c>
      <c r="B2866" s="1191">
        <v>0.8881</v>
      </c>
    </row>
    <row r="2867" spans="1:2" ht="15.5">
      <c r="A2867" s="1190">
        <v>32.4</v>
      </c>
      <c r="B2867" s="1191">
        <v>0.88790000000000002</v>
      </c>
    </row>
    <row r="2868" spans="1:2" ht="15.5">
      <c r="A2868" s="1190">
        <v>32.5</v>
      </c>
      <c r="B2868" s="1191">
        <v>0.88770000000000004</v>
      </c>
    </row>
    <row r="2869" spans="1:2" ht="15.5">
      <c r="A2869" s="1190">
        <v>32.6</v>
      </c>
      <c r="B2869" s="1191">
        <v>0.88749999999999996</v>
      </c>
    </row>
    <row r="2870" spans="1:2" ht="15.5">
      <c r="A2870" s="1190">
        <v>32.700000000000003</v>
      </c>
      <c r="B2870" s="1191">
        <v>0.88729999999999998</v>
      </c>
    </row>
    <row r="2871" spans="1:2" ht="15.5">
      <c r="A2871" s="1190">
        <v>32.799999999999997</v>
      </c>
      <c r="B2871" s="1191">
        <v>0.88719999999999999</v>
      </c>
    </row>
    <row r="2872" spans="1:2" ht="15.5">
      <c r="A2872" s="1190">
        <v>32.9</v>
      </c>
      <c r="B2872" s="1191">
        <v>0.88700000000000001</v>
      </c>
    </row>
    <row r="2873" spans="1:2" ht="15.5">
      <c r="A2873" s="1190">
        <v>33</v>
      </c>
      <c r="B2873" s="1191">
        <v>0.88680000000000003</v>
      </c>
    </row>
    <row r="2874" spans="1:2" ht="15.5">
      <c r="A2874" s="1190">
        <v>33.1</v>
      </c>
      <c r="B2874" s="1191">
        <v>0.88660000000000005</v>
      </c>
    </row>
    <row r="2875" spans="1:2" ht="15.5">
      <c r="A2875" s="1190">
        <v>33.200000000000003</v>
      </c>
      <c r="B2875" s="1191">
        <v>0.88639999999999997</v>
      </c>
    </row>
    <row r="2876" spans="1:2" ht="15.5">
      <c r="A2876" s="1190">
        <v>33.299999999999997</v>
      </c>
      <c r="B2876" s="1191">
        <v>0.88629999999999998</v>
      </c>
    </row>
    <row r="2877" spans="1:2" ht="15.5">
      <c r="A2877" s="1190">
        <v>33.4</v>
      </c>
      <c r="B2877" s="1191">
        <v>0.8861</v>
      </c>
    </row>
    <row r="2878" spans="1:2" ht="15.5">
      <c r="A2878" s="1190">
        <v>33.5</v>
      </c>
      <c r="B2878" s="1191">
        <v>0.88590000000000002</v>
      </c>
    </row>
    <row r="2879" spans="1:2" ht="15.5">
      <c r="A2879" s="1190">
        <v>33.6</v>
      </c>
      <c r="B2879" s="1191">
        <v>0.88570000000000004</v>
      </c>
    </row>
    <row r="2880" spans="1:2" ht="15.5">
      <c r="A2880" s="1190">
        <v>33.700000000000003</v>
      </c>
      <c r="B2880" s="1191">
        <v>0.88549999999999995</v>
      </c>
    </row>
    <row r="2881" spans="1:2" ht="15.5">
      <c r="A2881" s="1190">
        <v>33.799999999999997</v>
      </c>
      <c r="B2881" s="1191">
        <v>0.88539999999999996</v>
      </c>
    </row>
    <row r="2882" spans="1:2" ht="15.5">
      <c r="A2882" s="1190">
        <v>33.9</v>
      </c>
      <c r="B2882" s="1191">
        <v>0.88519999999999999</v>
      </c>
    </row>
    <row r="2883" spans="1:2" ht="15.5">
      <c r="A2883" s="1190">
        <v>34</v>
      </c>
      <c r="B2883" s="1191">
        <v>0.88500000000000001</v>
      </c>
    </row>
    <row r="2884" spans="1:2" ht="15.5">
      <c r="A2884" s="1190">
        <v>34.1</v>
      </c>
      <c r="B2884" s="1191">
        <v>0.88480000000000003</v>
      </c>
    </row>
    <row r="2885" spans="1:2" ht="15.5">
      <c r="A2885" s="1190">
        <v>34.200000000000003</v>
      </c>
      <c r="B2885" s="1191">
        <v>0.88460000000000005</v>
      </c>
    </row>
    <row r="2886" spans="1:2" ht="15.5">
      <c r="A2886" s="1190">
        <v>34.299999999999997</v>
      </c>
      <c r="B2886" s="1191">
        <v>0.88449999999999995</v>
      </c>
    </row>
    <row r="2887" spans="1:2" ht="15.5">
      <c r="A2887" s="1190">
        <v>34.4</v>
      </c>
      <c r="B2887" s="1191">
        <v>0.88429999999999997</v>
      </c>
    </row>
    <row r="2888" spans="1:2" ht="15.5">
      <c r="A2888" s="1190">
        <v>34.5</v>
      </c>
      <c r="B2888" s="1191">
        <v>0.8841</v>
      </c>
    </row>
    <row r="2889" spans="1:2" ht="15.5">
      <c r="A2889" s="1190">
        <v>34.6</v>
      </c>
      <c r="B2889" s="1191">
        <v>0.88390000000000002</v>
      </c>
    </row>
    <row r="2890" spans="1:2" ht="15.5">
      <c r="A2890" s="1190">
        <v>34.700000000000003</v>
      </c>
      <c r="B2890" s="1191">
        <v>0.88370000000000004</v>
      </c>
    </row>
    <row r="2891" spans="1:2" ht="15.5">
      <c r="A2891" s="1190">
        <v>34.799999999999997</v>
      </c>
      <c r="B2891" s="1191">
        <v>0.88360000000000005</v>
      </c>
    </row>
    <row r="2892" spans="1:2" ht="15.5">
      <c r="A2892" s="1190">
        <v>34.9</v>
      </c>
      <c r="B2892" s="1191">
        <v>0.88339999999999996</v>
      </c>
    </row>
    <row r="2893" spans="1:2" ht="15.5">
      <c r="A2893" s="1190">
        <v>35</v>
      </c>
      <c r="B2893" s="1191">
        <v>0.88319999999999999</v>
      </c>
    </row>
    <row r="2894" spans="1:2" ht="15.5">
      <c r="A2894" s="1190">
        <v>35.1</v>
      </c>
      <c r="B2894" s="1191">
        <v>0.88300000000000001</v>
      </c>
    </row>
    <row r="2895" spans="1:2" ht="15.5">
      <c r="A2895" s="1190">
        <v>35.200000000000003</v>
      </c>
      <c r="B2895" s="1191">
        <v>0.88280000000000003</v>
      </c>
    </row>
    <row r="2896" spans="1:2" ht="15.5">
      <c r="A2896" s="1190">
        <v>35.299999999999997</v>
      </c>
      <c r="B2896" s="1191">
        <v>0.88270000000000004</v>
      </c>
    </row>
    <row r="2897" spans="1:2" ht="15.5">
      <c r="A2897" s="1190">
        <v>35.4</v>
      </c>
      <c r="B2897" s="1191">
        <v>0.88249999999999995</v>
      </c>
    </row>
    <row r="2898" spans="1:2" ht="15.5">
      <c r="A2898" s="1190">
        <v>35.5</v>
      </c>
      <c r="B2898" s="1191">
        <v>0.88229999999999997</v>
      </c>
    </row>
    <row r="2899" spans="1:2" ht="15.5">
      <c r="A2899" s="1190">
        <v>35.6</v>
      </c>
      <c r="B2899" s="1191">
        <v>0.8821</v>
      </c>
    </row>
    <row r="2900" spans="1:2" ht="15.5">
      <c r="A2900" s="1190">
        <v>35.700000000000003</v>
      </c>
      <c r="B2900" s="1191">
        <v>0.88190000000000002</v>
      </c>
    </row>
    <row r="2901" spans="1:2" ht="15.5">
      <c r="A2901" s="1190">
        <v>35.799999999999997</v>
      </c>
      <c r="B2901" s="1191">
        <v>0.88180000000000003</v>
      </c>
    </row>
    <row r="2902" spans="1:2" ht="15.5">
      <c r="A2902" s="1190">
        <v>35.9</v>
      </c>
      <c r="B2902" s="1191">
        <v>0.88160000000000005</v>
      </c>
    </row>
    <row r="2903" spans="1:2" ht="15.5">
      <c r="A2903" s="1190">
        <v>36</v>
      </c>
      <c r="B2903" s="1191">
        <v>0.88139999999999996</v>
      </c>
    </row>
    <row r="2904" spans="1:2" ht="15.5">
      <c r="A2904" s="1190">
        <v>36.1</v>
      </c>
      <c r="B2904" s="1191">
        <v>0.88119999999999998</v>
      </c>
    </row>
    <row r="2905" spans="1:2" ht="15.5">
      <c r="A2905" s="1190">
        <v>36.200000000000003</v>
      </c>
      <c r="B2905" s="1191">
        <v>0.88100000000000001</v>
      </c>
    </row>
    <row r="2906" spans="1:2" ht="15.5">
      <c r="A2906" s="1190">
        <v>36.299999999999997</v>
      </c>
      <c r="B2906" s="1191">
        <v>0.88090000000000002</v>
      </c>
    </row>
    <row r="2907" spans="1:2" ht="15.5">
      <c r="A2907" s="1190">
        <v>36.4</v>
      </c>
      <c r="B2907" s="1191">
        <v>0.88070000000000004</v>
      </c>
    </row>
    <row r="2908" spans="1:2" ht="15.5">
      <c r="A2908" s="1190">
        <v>36.5</v>
      </c>
      <c r="B2908" s="1191">
        <v>0.88049999999999995</v>
      </c>
    </row>
    <row r="2909" spans="1:2" ht="15.5">
      <c r="A2909" s="1190">
        <v>36.6</v>
      </c>
      <c r="B2909" s="1191">
        <v>0.88029999999999997</v>
      </c>
    </row>
    <row r="2910" spans="1:2" ht="15.5">
      <c r="A2910" s="1190">
        <v>36.700000000000003</v>
      </c>
      <c r="B2910" s="1191">
        <v>0.88009999999999999</v>
      </c>
    </row>
    <row r="2911" spans="1:2" ht="15.5">
      <c r="A2911" s="1190">
        <v>36.799999999999997</v>
      </c>
      <c r="B2911" s="1191">
        <v>0.88</v>
      </c>
    </row>
    <row r="2912" spans="1:2" ht="15.5">
      <c r="A2912" s="1190">
        <v>36.9</v>
      </c>
      <c r="B2912" s="1191">
        <v>0.87980000000000003</v>
      </c>
    </row>
    <row r="2913" spans="1:2" ht="15.5">
      <c r="A2913" s="1190">
        <v>37</v>
      </c>
      <c r="B2913" s="1191">
        <v>0.87960000000000005</v>
      </c>
    </row>
    <row r="2914" spans="1:2" ht="15.5">
      <c r="A2914" s="1190">
        <v>37.1</v>
      </c>
      <c r="B2914" s="1191">
        <v>0.87939999999999996</v>
      </c>
    </row>
    <row r="2915" spans="1:2" ht="15.5">
      <c r="A2915" s="1190">
        <v>37.200000000000003</v>
      </c>
      <c r="B2915" s="1191">
        <v>0.87919999999999998</v>
      </c>
    </row>
    <row r="2916" spans="1:2" ht="15.5">
      <c r="A2916" s="1190">
        <v>37.299999999999997</v>
      </c>
      <c r="B2916" s="1191">
        <v>0.879</v>
      </c>
    </row>
    <row r="2917" spans="1:2" ht="15.5">
      <c r="A2917" s="1190">
        <v>37.4</v>
      </c>
      <c r="B2917" s="1191">
        <v>0.87880000000000003</v>
      </c>
    </row>
    <row r="2918" spans="1:2" ht="15.5">
      <c r="A2918" s="1190">
        <v>37.5</v>
      </c>
      <c r="B2918" s="1191">
        <v>0.87860000000000005</v>
      </c>
    </row>
    <row r="2919" spans="1:2" ht="15.5">
      <c r="A2919" s="1190">
        <v>37.6</v>
      </c>
      <c r="B2919" s="1191">
        <v>0.87839999999999996</v>
      </c>
    </row>
    <row r="2920" spans="1:2" ht="15.5">
      <c r="A2920" s="1190">
        <v>37.700000000000003</v>
      </c>
      <c r="B2920" s="1191">
        <v>0.87819999999999998</v>
      </c>
    </row>
    <row r="2921" spans="1:2" ht="15.5">
      <c r="A2921" s="1190">
        <v>37.799999999999997</v>
      </c>
      <c r="B2921" s="1191">
        <v>0.87809999999999999</v>
      </c>
    </row>
    <row r="2922" spans="1:2" ht="15.5">
      <c r="A2922" s="1190">
        <v>37.9</v>
      </c>
      <c r="B2922" s="1191">
        <v>0.87790000000000001</v>
      </c>
    </row>
    <row r="2923" spans="1:2" ht="15.5">
      <c r="A2923" s="1190">
        <v>38</v>
      </c>
      <c r="B2923" s="1191">
        <v>0.87770000000000004</v>
      </c>
    </row>
    <row r="2924" spans="1:2" ht="15.5">
      <c r="A2924" s="1190">
        <v>38.1</v>
      </c>
      <c r="B2924" s="1191">
        <v>0.87749999999999995</v>
      </c>
    </row>
    <row r="2925" spans="1:2" ht="15.5">
      <c r="A2925" s="1190">
        <v>38.200000000000003</v>
      </c>
      <c r="B2925" s="1191">
        <v>0.87729999999999997</v>
      </c>
    </row>
    <row r="2926" spans="1:2" ht="15.5">
      <c r="A2926" s="1190">
        <v>38.299999999999997</v>
      </c>
      <c r="B2926" s="1191">
        <v>0.87719999999999998</v>
      </c>
    </row>
    <row r="2927" spans="1:2" ht="15.5">
      <c r="A2927" s="1190">
        <v>38.4</v>
      </c>
      <c r="B2927" s="1191">
        <v>0.877</v>
      </c>
    </row>
    <row r="2928" spans="1:2" ht="15.5">
      <c r="A2928" s="1190">
        <v>38.5</v>
      </c>
      <c r="B2928" s="1191">
        <v>0.87680000000000002</v>
      </c>
    </row>
    <row r="2929" spans="1:2" ht="15.5">
      <c r="A2929" s="1190">
        <v>38.6</v>
      </c>
      <c r="B2929" s="1191">
        <v>0.87660000000000005</v>
      </c>
    </row>
    <row r="2930" spans="1:2" ht="15.5">
      <c r="A2930" s="1190">
        <v>38.700000000000003</v>
      </c>
      <c r="B2930" s="1191">
        <v>0.87639999999999996</v>
      </c>
    </row>
    <row r="2931" spans="1:2" ht="15.5">
      <c r="A2931" s="1190">
        <v>38.799999999999997</v>
      </c>
      <c r="B2931" s="1191">
        <v>0.87629999999999997</v>
      </c>
    </row>
    <row r="2932" spans="1:2" ht="15.5">
      <c r="A2932" s="1190">
        <v>38.9</v>
      </c>
      <c r="B2932" s="1191">
        <v>0.87609999999999999</v>
      </c>
    </row>
    <row r="2933" spans="1:2" ht="15.5">
      <c r="A2933" s="1190">
        <v>39</v>
      </c>
      <c r="B2933" s="1191">
        <v>0.87590000000000001</v>
      </c>
    </row>
    <row r="2934" spans="1:2" ht="15.5">
      <c r="A2934" s="1190">
        <v>39.1</v>
      </c>
      <c r="B2934" s="1191">
        <v>0.87570000000000003</v>
      </c>
    </row>
    <row r="2935" spans="1:2" ht="15.5">
      <c r="A2935" s="1190">
        <v>39.200000000000003</v>
      </c>
      <c r="B2935" s="1191">
        <v>0.87549999999999994</v>
      </c>
    </row>
    <row r="2936" spans="1:2" ht="15.5">
      <c r="A2936" s="1190">
        <v>39.299999999999997</v>
      </c>
      <c r="B2936" s="1191">
        <v>0.87539999999999996</v>
      </c>
    </row>
    <row r="2937" spans="1:2" ht="15.5">
      <c r="A2937" s="1190">
        <v>39.4</v>
      </c>
      <c r="B2937" s="1191">
        <v>0.87519999999999998</v>
      </c>
    </row>
    <row r="2938" spans="1:2" ht="15.5">
      <c r="A2938" s="1190">
        <v>39.5</v>
      </c>
      <c r="B2938" s="1191">
        <v>0.875</v>
      </c>
    </row>
    <row r="2939" spans="1:2" ht="15.5">
      <c r="A2939" s="1190">
        <v>39.6</v>
      </c>
      <c r="B2939" s="1191">
        <v>0.87480000000000002</v>
      </c>
    </row>
    <row r="2940" spans="1:2" ht="15.5">
      <c r="A2940" s="1190">
        <v>39.700000000000003</v>
      </c>
      <c r="B2940" s="1191">
        <v>0.87460000000000004</v>
      </c>
    </row>
    <row r="2941" spans="1:2" ht="15.5">
      <c r="A2941" s="1190">
        <v>39.799999999999997</v>
      </c>
      <c r="B2941" s="1191">
        <v>0.87450000000000006</v>
      </c>
    </row>
    <row r="2942" spans="1:2" ht="15.5">
      <c r="A2942" s="1190">
        <v>39.9</v>
      </c>
      <c r="B2942" s="1191">
        <v>0.87429999999999997</v>
      </c>
    </row>
    <row r="2943" spans="1:2" ht="15.5">
      <c r="A2943" s="1190">
        <v>40</v>
      </c>
      <c r="B2943" s="1191">
        <v>0.87409999999999999</v>
      </c>
    </row>
  </sheetData>
  <sheetProtection algorithmName="SHA-512" hashValue="tdt9d/FOXLgnkGI5Kw7Y98kaO50STahm0exR+sy79u5zVykvhX+xKxm2Xw2IIRLx0+Mf17jS8ReQ2WXJAwiObw==" saltValue="Qqwggu8CM+9Sr6lYWtOZpA==" spinCount="100000" sheet="1" objects="1" scenarios="1"/>
  <mergeCells count="5">
    <mergeCell ref="A1:B1"/>
    <mergeCell ref="A656:B656"/>
    <mergeCell ref="A904:B904"/>
    <mergeCell ref="A1411:B1411"/>
    <mergeCell ref="A2366:B236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D9F71-AB91-4707-AADF-B5B9F1FAF55D}">
  <sheetPr codeName="Feuil13"/>
  <dimension ref="A1:AX52"/>
  <sheetViews>
    <sheetView showRowColHeaders="0" topLeftCell="AK1" zoomScaleNormal="100" workbookViewId="0">
      <selection activeCell="AR16" sqref="AR16:AS16"/>
    </sheetView>
  </sheetViews>
  <sheetFormatPr baseColWidth="10" defaultColWidth="9.1796875" defaultRowHeight="12.5"/>
  <cols>
    <col min="1" max="10" width="2.453125" style="1046" customWidth="1"/>
    <col min="11" max="11" width="4" style="1046" customWidth="1"/>
    <col min="12" max="36" width="2.453125" style="1046" customWidth="1"/>
    <col min="37" max="37" width="9.81640625" style="1046" customWidth="1"/>
    <col min="38" max="38" width="11.36328125" style="1046" customWidth="1"/>
    <col min="39" max="39" width="8.7265625" style="1046" customWidth="1"/>
    <col min="40" max="40" width="9.81640625" style="1046" customWidth="1"/>
    <col min="41" max="41" width="8.7265625" style="1046" customWidth="1"/>
    <col min="42" max="42" width="11.36328125" style="1046" customWidth="1"/>
    <col min="43" max="43" width="7.1796875" style="1046" customWidth="1"/>
    <col min="44" max="256" width="11.453125" style="1046" customWidth="1"/>
    <col min="257" max="16384" width="9.1796875" style="1046"/>
  </cols>
  <sheetData>
    <row r="1" spans="1:48" ht="23">
      <c r="D1" s="1686" t="s">
        <v>564</v>
      </c>
      <c r="E1" s="1686"/>
      <c r="F1" s="1686"/>
      <c r="G1" s="1686"/>
      <c r="H1" s="1686"/>
      <c r="I1" s="1686"/>
      <c r="J1" s="1686"/>
      <c r="K1" s="1686"/>
      <c r="L1" s="1686"/>
      <c r="M1" s="1686"/>
      <c r="N1" s="1686"/>
      <c r="O1" s="1686"/>
      <c r="P1" s="1686"/>
      <c r="Q1" s="1686"/>
      <c r="R1" s="1686"/>
      <c r="S1" s="1686"/>
      <c r="T1" s="1686"/>
      <c r="U1" s="1686"/>
      <c r="V1" s="1686"/>
      <c r="W1" s="1686"/>
      <c r="X1" s="1686"/>
      <c r="Y1" s="1686"/>
      <c r="Z1" s="1686"/>
      <c r="AA1" s="1686"/>
      <c r="AB1" s="1686"/>
      <c r="AC1" s="1686"/>
      <c r="AD1" s="1686"/>
      <c r="AE1" s="1686"/>
      <c r="AF1" s="1686"/>
      <c r="AG1" s="1686"/>
      <c r="AH1" s="1686"/>
      <c r="AI1" s="1686"/>
      <c r="AJ1" s="1686"/>
      <c r="AK1" s="1686"/>
      <c r="AL1" s="1686"/>
      <c r="AP1" s="1047"/>
      <c r="AQ1" s="1047"/>
      <c r="AR1" s="1047"/>
      <c r="AS1" s="1047"/>
      <c r="AT1" s="1047"/>
      <c r="AU1" s="1047"/>
      <c r="AV1" s="1048"/>
    </row>
    <row r="2" spans="1:48">
      <c r="Z2" s="1049"/>
      <c r="AA2" s="1049"/>
      <c r="AB2" s="1049"/>
      <c r="AC2" s="1049"/>
      <c r="AD2" s="1049"/>
      <c r="AE2" s="1049"/>
      <c r="AF2" s="1049"/>
      <c r="AG2" s="1049"/>
      <c r="AH2" s="1049"/>
      <c r="AI2" s="1049"/>
      <c r="AJ2" s="1049"/>
      <c r="AP2" s="1047"/>
      <c r="AQ2" s="1047"/>
      <c r="AR2" s="1047"/>
      <c r="AS2" s="1047"/>
      <c r="AT2" s="1047"/>
      <c r="AU2" s="1047"/>
      <c r="AV2" s="1048"/>
    </row>
    <row r="3" spans="1:48">
      <c r="Z3" s="1049"/>
      <c r="AA3" s="1050"/>
      <c r="AB3" s="1049"/>
      <c r="AC3" s="1049"/>
      <c r="AD3" s="1049"/>
      <c r="AE3" s="1049"/>
      <c r="AF3" s="1049"/>
      <c r="AG3" s="1049"/>
      <c r="AH3" s="1049"/>
      <c r="AI3" s="1049"/>
      <c r="AJ3" s="1049"/>
      <c r="AK3" s="1049"/>
      <c r="AP3" s="1047"/>
      <c r="AQ3" s="1047"/>
      <c r="AR3" s="1047"/>
      <c r="AS3" s="1047"/>
      <c r="AT3" s="1047"/>
      <c r="AU3" s="1047"/>
      <c r="AV3" s="1048"/>
    </row>
    <row r="4" spans="1:48">
      <c r="Z4" s="1049"/>
      <c r="AA4" s="1049"/>
      <c r="AB4" s="1049"/>
      <c r="AC4" s="1049"/>
      <c r="AD4" s="1049"/>
      <c r="AE4" s="1049"/>
      <c r="AF4" s="1049"/>
      <c r="AG4" s="1049"/>
      <c r="AH4" s="1049"/>
      <c r="AI4" s="1049"/>
      <c r="AJ4" s="1049"/>
      <c r="AP4" s="1047"/>
      <c r="AQ4" s="1047"/>
      <c r="AR4" s="1047"/>
      <c r="AS4" s="1047"/>
      <c r="AT4" s="1047"/>
      <c r="AU4" s="1047"/>
      <c r="AV4" s="1048"/>
    </row>
    <row r="5" spans="1:48">
      <c r="Z5" s="1049"/>
      <c r="AA5" s="1049"/>
      <c r="AB5" s="1049"/>
      <c r="AC5" s="1049"/>
      <c r="AD5" s="1049"/>
      <c r="AE5" s="1049"/>
      <c r="AF5" s="1049"/>
      <c r="AG5" s="1049"/>
      <c r="AH5" s="1049"/>
      <c r="AI5" s="1049"/>
      <c r="AJ5" s="1049"/>
      <c r="AP5" s="1047"/>
      <c r="AQ5" s="1047"/>
      <c r="AR5" s="1047"/>
      <c r="AS5" s="1047"/>
      <c r="AT5" s="1047"/>
      <c r="AU5" s="1047"/>
      <c r="AV5" s="1048"/>
    </row>
    <row r="6" spans="1:48" ht="18.75" customHeight="1">
      <c r="A6" s="1051"/>
      <c r="AP6" s="1052"/>
      <c r="AQ6" s="1052"/>
      <c r="AR6" s="1052"/>
      <c r="AS6" s="1052"/>
      <c r="AT6" s="1052"/>
      <c r="AU6" s="1052"/>
      <c r="AV6" s="1048"/>
    </row>
    <row r="7" spans="1:48" ht="15" customHeight="1">
      <c r="A7" s="1053"/>
      <c r="B7" s="1687"/>
      <c r="C7" s="1687"/>
      <c r="D7" s="1687"/>
      <c r="E7" s="1687"/>
      <c r="F7" s="1687"/>
      <c r="G7" s="1687"/>
      <c r="H7" s="1687"/>
      <c r="I7" s="1687"/>
      <c r="J7" s="1687"/>
      <c r="K7" s="1687"/>
      <c r="L7" s="1687"/>
      <c r="M7" s="1687"/>
      <c r="N7" s="1687"/>
      <c r="O7" s="1687"/>
      <c r="P7" s="1687"/>
      <c r="Q7" s="1687"/>
      <c r="R7" s="1687"/>
      <c r="S7" s="1687"/>
      <c r="T7" s="1687"/>
      <c r="U7" s="1687"/>
      <c r="V7" s="1687"/>
      <c r="W7" s="1687"/>
      <c r="X7" s="1687"/>
      <c r="Y7" s="1687"/>
      <c r="Z7" s="1687"/>
      <c r="AA7" s="1687"/>
      <c r="AB7" s="1687"/>
      <c r="AC7" s="1687"/>
      <c r="AD7" s="1687"/>
      <c r="AE7" s="1687"/>
      <c r="AF7" s="1687"/>
      <c r="AG7" s="1687"/>
      <c r="AH7" s="1687"/>
      <c r="AI7" s="1687"/>
      <c r="AJ7" s="1687"/>
      <c r="AP7" s="1054"/>
      <c r="AQ7" s="1054"/>
      <c r="AR7" s="1054"/>
      <c r="AS7" s="1054"/>
      <c r="AT7" s="1054"/>
      <c r="AU7" s="1054"/>
    </row>
    <row r="8" spans="1:48" ht="2.25" customHeight="1" thickBot="1">
      <c r="AH8" s="1055"/>
      <c r="AI8" s="1055"/>
      <c r="AJ8" s="1055"/>
      <c r="AP8" s="1054"/>
      <c r="AQ8" s="1054"/>
      <c r="AR8" s="1054"/>
      <c r="AS8" s="1054"/>
      <c r="AT8" s="1054"/>
      <c r="AU8" s="1054"/>
      <c r="AV8" s="1056"/>
    </row>
    <row r="9" spans="1:48" ht="13.5" thickTop="1">
      <c r="B9" s="1057" t="s">
        <v>565</v>
      </c>
      <c r="C9" s="1058"/>
      <c r="D9" s="1058"/>
      <c r="E9" s="1688" t="s">
        <v>566</v>
      </c>
      <c r="F9" s="1689"/>
      <c r="G9" s="1689"/>
      <c r="H9" s="1689"/>
      <c r="I9" s="1689"/>
      <c r="J9" s="1689"/>
      <c r="K9" s="1690"/>
      <c r="L9" s="1059" t="s">
        <v>567</v>
      </c>
      <c r="M9" s="1058"/>
      <c r="N9" s="1059"/>
      <c r="O9" s="1691" t="s">
        <v>568</v>
      </c>
      <c r="P9" s="1691"/>
      <c r="Q9" s="1691"/>
      <c r="R9" s="1691"/>
      <c r="S9" s="1691"/>
      <c r="T9" s="1691"/>
      <c r="U9" s="1691"/>
      <c r="V9" s="1691"/>
      <c r="W9" s="1692"/>
      <c r="X9" s="1060" t="s">
        <v>569</v>
      </c>
      <c r="Y9" s="1059"/>
      <c r="Z9" s="1059"/>
      <c r="AA9" s="1693">
        <v>44494</v>
      </c>
      <c r="AB9" s="1693"/>
      <c r="AC9" s="1693"/>
      <c r="AD9" s="1693"/>
      <c r="AE9" s="1693"/>
      <c r="AF9" s="1693"/>
      <c r="AG9" s="1693"/>
      <c r="AH9" s="1693"/>
      <c r="AI9" s="1693"/>
      <c r="AJ9" s="1694"/>
      <c r="AP9" s="1054"/>
      <c r="AQ9" s="1054"/>
      <c r="AR9" s="1054"/>
      <c r="AS9" s="1054"/>
      <c r="AT9" s="1054"/>
      <c r="AU9" s="1054"/>
    </row>
    <row r="10" spans="1:48" ht="13.5" thickBot="1">
      <c r="B10" s="1061" t="s">
        <v>570</v>
      </c>
      <c r="C10" s="1055"/>
      <c r="D10" s="1055"/>
      <c r="E10" s="1674" t="s">
        <v>571</v>
      </c>
      <c r="F10" s="1674"/>
      <c r="G10" s="1674"/>
      <c r="H10" s="1674"/>
      <c r="I10" s="1674"/>
      <c r="J10" s="1674"/>
      <c r="K10" s="1675"/>
      <c r="L10" s="1062"/>
      <c r="M10" s="1055"/>
      <c r="N10" s="1063"/>
      <c r="O10" s="1064"/>
      <c r="P10" s="1064"/>
      <c r="Q10" s="1676"/>
      <c r="R10" s="1676"/>
      <c r="S10" s="1676"/>
      <c r="T10" s="1676"/>
      <c r="U10" s="1676"/>
      <c r="V10" s="1676"/>
      <c r="W10" s="1677"/>
      <c r="X10" s="1062"/>
      <c r="Y10" s="1063"/>
      <c r="Z10" s="1063"/>
      <c r="AA10" s="1064"/>
      <c r="AB10" s="1064"/>
      <c r="AC10" s="1678"/>
      <c r="AD10" s="1678"/>
      <c r="AE10" s="1678"/>
      <c r="AF10" s="1678"/>
      <c r="AG10" s="1678"/>
      <c r="AH10" s="1678"/>
      <c r="AI10" s="1678"/>
      <c r="AJ10" s="1679"/>
      <c r="AP10" s="1054"/>
      <c r="AQ10" s="1054"/>
      <c r="AR10" s="1054"/>
      <c r="AS10" s="1054"/>
      <c r="AT10" s="1054"/>
      <c r="AU10" s="1054"/>
      <c r="AV10" s="1056"/>
    </row>
    <row r="11" spans="1:48" ht="13.5" thickTop="1">
      <c r="B11" s="1680" t="s">
        <v>572</v>
      </c>
      <c r="C11" s="1681"/>
      <c r="D11" s="1681"/>
      <c r="E11" s="1681"/>
      <c r="F11" s="1681"/>
      <c r="G11" s="1682">
        <v>11.48</v>
      </c>
      <c r="H11" s="1682"/>
      <c r="I11" s="1682"/>
      <c r="J11" s="1065" t="s">
        <v>573</v>
      </c>
      <c r="K11" s="1066"/>
      <c r="L11" s="1067" t="s">
        <v>574</v>
      </c>
      <c r="M11" s="1065"/>
      <c r="N11" s="1065"/>
      <c r="O11" s="1683">
        <f>G12-G11</f>
        <v>0</v>
      </c>
      <c r="P11" s="1683"/>
      <c r="Q11" s="1067" t="s">
        <v>573</v>
      </c>
      <c r="R11" s="1065"/>
      <c r="S11" s="1065"/>
      <c r="T11" s="1065"/>
      <c r="U11" s="1065"/>
      <c r="V11" s="1065"/>
      <c r="W11" s="1066"/>
      <c r="X11" s="1068" t="s">
        <v>575</v>
      </c>
      <c r="Y11" s="1069"/>
      <c r="Z11" s="1069"/>
      <c r="AA11" s="1069"/>
      <c r="AB11" s="1069"/>
      <c r="AC11" s="1069"/>
      <c r="AD11" s="1069"/>
      <c r="AE11" s="1069"/>
      <c r="AF11" s="1069"/>
      <c r="AG11" s="1684">
        <v>1013</v>
      </c>
      <c r="AH11" s="1684"/>
      <c r="AI11" s="1684"/>
      <c r="AJ11" s="1685"/>
      <c r="AP11" s="1054"/>
      <c r="AQ11" s="1054"/>
      <c r="AR11" s="1054"/>
      <c r="AS11" s="1054"/>
      <c r="AT11" s="1054"/>
      <c r="AU11" s="1054"/>
      <c r="AV11" s="1056"/>
    </row>
    <row r="12" spans="1:48" ht="13.5" thickBot="1">
      <c r="B12" s="1698" t="s">
        <v>576</v>
      </c>
      <c r="C12" s="1699"/>
      <c r="D12" s="1699"/>
      <c r="E12" s="1699"/>
      <c r="F12" s="1699"/>
      <c r="G12" s="1700">
        <v>11.48</v>
      </c>
      <c r="H12" s="1700"/>
      <c r="I12" s="1700"/>
      <c r="J12" s="1070" t="s">
        <v>573</v>
      </c>
      <c r="K12" s="1071"/>
      <c r="L12" s="1072" t="s">
        <v>577</v>
      </c>
      <c r="M12" s="1070"/>
      <c r="N12" s="1070"/>
      <c r="O12" s="1701">
        <v>0</v>
      </c>
      <c r="P12" s="1701"/>
      <c r="Q12" s="1072"/>
      <c r="R12" s="1070"/>
      <c r="S12" s="1070"/>
      <c r="T12" s="1070"/>
      <c r="U12" s="1070"/>
      <c r="V12" s="1070"/>
      <c r="W12" s="1071"/>
      <c r="X12" s="1072"/>
      <c r="Y12" s="1072"/>
      <c r="Z12" s="1072"/>
      <c r="AA12" s="1072"/>
      <c r="AB12" s="1072"/>
      <c r="AC12" s="1072"/>
      <c r="AD12" s="1072"/>
      <c r="AE12" s="1072"/>
      <c r="AF12" s="1070"/>
      <c r="AG12" s="1070"/>
      <c r="AH12" s="1055"/>
      <c r="AI12" s="1055"/>
      <c r="AJ12" s="1073"/>
      <c r="AP12" s="1054"/>
      <c r="AQ12" s="1054"/>
      <c r="AR12" s="1054"/>
      <c r="AS12" s="1054"/>
      <c r="AT12" s="1054"/>
      <c r="AU12" s="1054"/>
      <c r="AV12" s="1056"/>
    </row>
    <row r="13" spans="1:48" ht="14" thickTop="1" thickBot="1">
      <c r="B13" s="1696" t="s">
        <v>578</v>
      </c>
      <c r="C13" s="1696"/>
      <c r="D13" s="1696"/>
      <c r="E13" s="1696"/>
      <c r="F13" s="1696"/>
      <c r="G13" s="1696"/>
      <c r="H13" s="1696"/>
      <c r="I13" s="1696"/>
      <c r="J13" s="1696"/>
      <c r="K13" s="1696"/>
      <c r="L13" s="1696"/>
      <c r="M13" s="1696"/>
      <c r="N13" s="1696"/>
      <c r="O13" s="1696"/>
      <c r="P13" s="1696"/>
      <c r="Q13" s="1696"/>
      <c r="R13" s="1696"/>
      <c r="S13" s="1696"/>
      <c r="T13" s="1696"/>
      <c r="U13" s="1696"/>
      <c r="V13" s="1696"/>
      <c r="W13" s="1696"/>
      <c r="X13" s="1696"/>
      <c r="Y13" s="1696"/>
      <c r="Z13" s="1696"/>
      <c r="AA13" s="1696"/>
      <c r="AB13" s="1696"/>
      <c r="AC13" s="1696"/>
      <c r="AD13" s="1696"/>
      <c r="AE13" s="1696"/>
      <c r="AF13" s="1696"/>
      <c r="AG13" s="1696"/>
      <c r="AH13" s="1696"/>
      <c r="AI13" s="1696"/>
      <c r="AJ13" s="1696"/>
    </row>
    <row r="14" spans="1:48" ht="14" thickTop="1" thickBot="1">
      <c r="B14" s="1074"/>
      <c r="C14" s="1058"/>
      <c r="D14" s="1058"/>
      <c r="E14" s="1058"/>
      <c r="F14" s="1058"/>
      <c r="G14" s="1058"/>
      <c r="H14" s="1058"/>
      <c r="I14" s="1058"/>
      <c r="J14" s="1058"/>
      <c r="K14" s="1058"/>
      <c r="L14" s="1075"/>
      <c r="M14" s="1695" t="s">
        <v>579</v>
      </c>
      <c r="N14" s="1696"/>
      <c r="O14" s="1696"/>
      <c r="P14" s="1696"/>
      <c r="Q14" s="1696"/>
      <c r="R14" s="1696"/>
      <c r="S14" s="1696"/>
      <c r="T14" s="1697"/>
      <c r="U14" s="1695" t="s">
        <v>580</v>
      </c>
      <c r="V14" s="1696"/>
      <c r="W14" s="1696"/>
      <c r="X14" s="1696"/>
      <c r="Y14" s="1696"/>
      <c r="Z14" s="1696"/>
      <c r="AA14" s="1696"/>
      <c r="AB14" s="1697"/>
      <c r="AC14" s="1695" t="s">
        <v>581</v>
      </c>
      <c r="AD14" s="1696"/>
      <c r="AE14" s="1696"/>
      <c r="AF14" s="1696"/>
      <c r="AG14" s="1696"/>
      <c r="AH14" s="1696"/>
      <c r="AI14" s="1696"/>
      <c r="AJ14" s="1696"/>
      <c r="AK14" s="1695" t="s">
        <v>582</v>
      </c>
      <c r="AL14" s="1696"/>
    </row>
    <row r="15" spans="1:48" ht="14" thickTop="1" thickBot="1">
      <c r="B15" s="1076"/>
      <c r="C15" s="1055"/>
      <c r="D15" s="1055"/>
      <c r="E15" s="1055"/>
      <c r="F15" s="1055"/>
      <c r="G15" s="1055"/>
      <c r="H15" s="1055"/>
      <c r="I15" s="1055"/>
      <c r="J15" s="1055"/>
      <c r="K15" s="1055"/>
      <c r="L15" s="1077"/>
      <c r="M15" s="1695" t="s">
        <v>583</v>
      </c>
      <c r="N15" s="1696"/>
      <c r="O15" s="1696"/>
      <c r="P15" s="1697"/>
      <c r="Q15" s="1695" t="s">
        <v>584</v>
      </c>
      <c r="R15" s="1696"/>
      <c r="S15" s="1696"/>
      <c r="T15" s="1697"/>
      <c r="U15" s="1695" t="s">
        <v>583</v>
      </c>
      <c r="V15" s="1696"/>
      <c r="W15" s="1696"/>
      <c r="X15" s="1697"/>
      <c r="Y15" s="1695" t="s">
        <v>584</v>
      </c>
      <c r="Z15" s="1696"/>
      <c r="AA15" s="1696"/>
      <c r="AB15" s="1697"/>
      <c r="AC15" s="1695" t="s">
        <v>583</v>
      </c>
      <c r="AD15" s="1696"/>
      <c r="AE15" s="1696"/>
      <c r="AF15" s="1697"/>
      <c r="AG15" s="1695" t="s">
        <v>584</v>
      </c>
      <c r="AH15" s="1696"/>
      <c r="AI15" s="1696"/>
      <c r="AJ15" s="1696"/>
      <c r="AK15" s="1078" t="s">
        <v>583</v>
      </c>
      <c r="AL15" s="1079" t="s">
        <v>584</v>
      </c>
    </row>
    <row r="16" spans="1:48" ht="17" thickTop="1">
      <c r="B16" s="1080" t="s">
        <v>585</v>
      </c>
      <c r="C16" s="1081"/>
      <c r="D16" s="1081"/>
      <c r="E16" s="1081"/>
      <c r="F16" s="1081"/>
      <c r="G16" s="1081"/>
      <c r="H16" s="1081"/>
      <c r="I16" s="1081"/>
      <c r="J16" s="1081"/>
      <c r="K16" s="1081"/>
      <c r="L16" s="1082"/>
      <c r="M16" s="1706">
        <v>40</v>
      </c>
      <c r="N16" s="1707"/>
      <c r="O16" s="1707"/>
      <c r="P16" s="1708"/>
      <c r="Q16" s="1706">
        <v>40</v>
      </c>
      <c r="R16" s="1707"/>
      <c r="S16" s="1707"/>
      <c r="T16" s="1708"/>
      <c r="U16" s="1706">
        <v>42</v>
      </c>
      <c r="V16" s="1707"/>
      <c r="W16" s="1707"/>
      <c r="X16" s="1708"/>
      <c r="Y16" s="1706">
        <v>42</v>
      </c>
      <c r="Z16" s="1707"/>
      <c r="AA16" s="1707"/>
      <c r="AB16" s="1708"/>
      <c r="AC16" s="1706">
        <v>43</v>
      </c>
      <c r="AD16" s="1707"/>
      <c r="AE16" s="1707"/>
      <c r="AF16" s="1708"/>
      <c r="AG16" s="1706">
        <v>43</v>
      </c>
      <c r="AH16" s="1707"/>
      <c r="AI16" s="1707"/>
      <c r="AJ16" s="1707"/>
      <c r="AK16" s="1083">
        <v>43</v>
      </c>
      <c r="AL16" s="1084">
        <v>43</v>
      </c>
      <c r="AP16" s="1702"/>
      <c r="AQ16" s="1702"/>
      <c r="AR16" s="1702"/>
      <c r="AS16" s="1702"/>
      <c r="AT16" s="1702"/>
      <c r="AU16" s="1702"/>
    </row>
    <row r="17" spans="2:50" ht="16.5">
      <c r="B17" s="1085" t="s">
        <v>586</v>
      </c>
      <c r="C17" s="1086"/>
      <c r="D17" s="1086"/>
      <c r="E17" s="1086"/>
      <c r="F17" s="1086"/>
      <c r="G17" s="1086"/>
      <c r="H17" s="1086"/>
      <c r="I17" s="1086"/>
      <c r="J17" s="1086"/>
      <c r="K17" s="1086"/>
      <c r="L17" s="1087"/>
      <c r="M17" s="1703">
        <v>-25.3</v>
      </c>
      <c r="N17" s="1704"/>
      <c r="O17" s="1704"/>
      <c r="P17" s="1705"/>
      <c r="Q17" s="1703">
        <v>-25.3</v>
      </c>
      <c r="R17" s="1704"/>
      <c r="S17" s="1704"/>
      <c r="T17" s="1705"/>
      <c r="U17" s="1703">
        <v>-25.9</v>
      </c>
      <c r="V17" s="1704"/>
      <c r="W17" s="1704"/>
      <c r="X17" s="1705"/>
      <c r="Y17" s="1703">
        <v>-25.9</v>
      </c>
      <c r="Z17" s="1704"/>
      <c r="AA17" s="1704"/>
      <c r="AB17" s="1705"/>
      <c r="AC17" s="1703">
        <v>-23.8</v>
      </c>
      <c r="AD17" s="1704"/>
      <c r="AE17" s="1704"/>
      <c r="AF17" s="1705"/>
      <c r="AG17" s="1703">
        <v>-23.8</v>
      </c>
      <c r="AH17" s="1704"/>
      <c r="AI17" s="1704"/>
      <c r="AJ17" s="1704"/>
      <c r="AK17" s="1088">
        <v>-21.7</v>
      </c>
      <c r="AL17" s="1089">
        <v>-21.7</v>
      </c>
      <c r="AP17" s="1090"/>
      <c r="AQ17" s="1090"/>
      <c r="AR17" s="1090"/>
      <c r="AS17" s="1090"/>
      <c r="AT17" s="1090"/>
      <c r="AU17" s="1090"/>
    </row>
    <row r="18" spans="2:50" ht="16.5">
      <c r="B18" s="1085" t="s">
        <v>587</v>
      </c>
      <c r="C18" s="1086"/>
      <c r="D18" s="1086"/>
      <c r="E18" s="1086"/>
      <c r="F18" s="1086"/>
      <c r="G18" s="1086"/>
      <c r="H18" s="1086"/>
      <c r="I18" s="1086"/>
      <c r="J18" s="1086"/>
      <c r="K18" s="1086"/>
      <c r="L18" s="1087"/>
      <c r="M18" s="1703">
        <v>-33.6</v>
      </c>
      <c r="N18" s="1704"/>
      <c r="O18" s="1704"/>
      <c r="P18" s="1705"/>
      <c r="Q18" s="1703">
        <v>-33.6</v>
      </c>
      <c r="R18" s="1704"/>
      <c r="S18" s="1704"/>
      <c r="T18" s="1705"/>
      <c r="U18" s="1703">
        <v>-33.299999999999997</v>
      </c>
      <c r="V18" s="1704"/>
      <c r="W18" s="1704"/>
      <c r="X18" s="1705"/>
      <c r="Y18" s="1703">
        <v>-33.299999999999997</v>
      </c>
      <c r="Z18" s="1704"/>
      <c r="AA18" s="1704"/>
      <c r="AB18" s="1705"/>
      <c r="AC18" s="1703">
        <v>-33.4</v>
      </c>
      <c r="AD18" s="1704"/>
      <c r="AE18" s="1704"/>
      <c r="AF18" s="1705"/>
      <c r="AG18" s="1703">
        <v>-33.4</v>
      </c>
      <c r="AH18" s="1704"/>
      <c r="AI18" s="1704"/>
      <c r="AJ18" s="1705"/>
      <c r="AK18" s="1088">
        <v>-33.299999999999997</v>
      </c>
      <c r="AL18" s="1089">
        <v>-33.299999999999997</v>
      </c>
      <c r="AP18" s="1091"/>
      <c r="AQ18" s="1091"/>
      <c r="AR18" s="1091"/>
      <c r="AS18" s="1091"/>
      <c r="AT18" s="1091"/>
      <c r="AU18" s="1091"/>
    </row>
    <row r="19" spans="2:50" ht="14">
      <c r="B19" s="1085" t="s">
        <v>588</v>
      </c>
      <c r="C19" s="1086"/>
      <c r="D19" s="1086"/>
      <c r="E19" s="1086"/>
      <c r="F19" s="1086"/>
      <c r="G19" s="1086"/>
      <c r="H19" s="1086"/>
      <c r="I19" s="1086"/>
      <c r="J19" s="1086"/>
      <c r="K19" s="1086"/>
      <c r="L19" s="1087"/>
      <c r="M19" s="1709">
        <v>16110</v>
      </c>
      <c r="N19" s="1710"/>
      <c r="O19" s="1710"/>
      <c r="P19" s="1711"/>
      <c r="Q19" s="1709">
        <v>16093</v>
      </c>
      <c r="R19" s="1710"/>
      <c r="S19" s="1710"/>
      <c r="T19" s="1711"/>
      <c r="U19" s="1709">
        <v>16075</v>
      </c>
      <c r="V19" s="1710"/>
      <c r="W19" s="1710"/>
      <c r="X19" s="1711"/>
      <c r="Y19" s="1709">
        <v>16070</v>
      </c>
      <c r="Z19" s="1710"/>
      <c r="AA19" s="1710"/>
      <c r="AB19" s="1711"/>
      <c r="AC19" s="1709">
        <v>15531</v>
      </c>
      <c r="AD19" s="1710"/>
      <c r="AE19" s="1710"/>
      <c r="AF19" s="1711"/>
      <c r="AG19" s="1709">
        <v>15548</v>
      </c>
      <c r="AH19" s="1710"/>
      <c r="AI19" s="1710"/>
      <c r="AJ19" s="1711"/>
      <c r="AK19" s="1092">
        <v>15641</v>
      </c>
      <c r="AL19" s="1092">
        <v>15673</v>
      </c>
      <c r="AP19" s="1093"/>
      <c r="AS19" s="1093"/>
      <c r="AT19" s="1093"/>
      <c r="AU19" s="1093"/>
    </row>
    <row r="20" spans="2:50" ht="14">
      <c r="B20" s="1085" t="s">
        <v>589</v>
      </c>
      <c r="C20" s="1086"/>
      <c r="D20" s="1086"/>
      <c r="E20" s="1086"/>
      <c r="F20" s="1086"/>
      <c r="G20" s="1086"/>
      <c r="H20" s="1086"/>
      <c r="I20" s="1086"/>
      <c r="J20" s="1086"/>
      <c r="K20" s="1086"/>
      <c r="L20" s="1087"/>
      <c r="M20" s="1715">
        <v>17.030999999999999</v>
      </c>
      <c r="N20" s="1716"/>
      <c r="O20" s="1716"/>
      <c r="P20" s="1717"/>
      <c r="Q20" s="1715">
        <v>17.030999999999999</v>
      </c>
      <c r="R20" s="1716"/>
      <c r="S20" s="1716"/>
      <c r="T20" s="1717"/>
      <c r="U20" s="1715">
        <v>17.030999999999999</v>
      </c>
      <c r="V20" s="1716"/>
      <c r="W20" s="1716"/>
      <c r="X20" s="1717"/>
      <c r="Y20" s="1715">
        <v>17.030999999999999</v>
      </c>
      <c r="Z20" s="1716"/>
      <c r="AA20" s="1716"/>
      <c r="AB20" s="1717"/>
      <c r="AC20" s="1715">
        <v>17.030999999999999</v>
      </c>
      <c r="AD20" s="1716"/>
      <c r="AE20" s="1716"/>
      <c r="AF20" s="1717"/>
      <c r="AG20" s="1715">
        <v>17.030999999999999</v>
      </c>
      <c r="AH20" s="1716"/>
      <c r="AI20" s="1716"/>
      <c r="AJ20" s="1716"/>
      <c r="AK20" s="1094">
        <v>17.030999999999999</v>
      </c>
      <c r="AL20" s="1095">
        <v>17.030999999999999</v>
      </c>
      <c r="AP20" s="1096"/>
      <c r="AS20" s="1096"/>
      <c r="AT20" s="1702"/>
      <c r="AU20" s="1702"/>
    </row>
    <row r="21" spans="2:50" ht="14">
      <c r="B21" s="1085" t="s">
        <v>590</v>
      </c>
      <c r="C21" s="1086"/>
      <c r="D21" s="1086"/>
      <c r="E21" s="1086"/>
      <c r="F21" s="1086"/>
      <c r="G21" s="1086"/>
      <c r="H21" s="1086"/>
      <c r="I21" s="1086"/>
      <c r="J21" s="1086"/>
      <c r="K21" s="1086"/>
      <c r="L21" s="1087"/>
      <c r="M21" s="1712">
        <v>0</v>
      </c>
      <c r="N21" s="1713"/>
      <c r="O21" s="1713"/>
      <c r="P21" s="1714"/>
      <c r="Q21" s="1712">
        <v>0</v>
      </c>
      <c r="R21" s="1713"/>
      <c r="S21" s="1713"/>
      <c r="T21" s="1714"/>
      <c r="U21" s="1712">
        <v>0</v>
      </c>
      <c r="V21" s="1713"/>
      <c r="W21" s="1713"/>
      <c r="X21" s="1714"/>
      <c r="Y21" s="1712">
        <v>0</v>
      </c>
      <c r="Z21" s="1713"/>
      <c r="AA21" s="1713"/>
      <c r="AB21" s="1714"/>
      <c r="AC21" s="1712">
        <v>0</v>
      </c>
      <c r="AD21" s="1713"/>
      <c r="AE21" s="1713"/>
      <c r="AF21" s="1714"/>
      <c r="AG21" s="1712">
        <v>0</v>
      </c>
      <c r="AH21" s="1713"/>
      <c r="AI21" s="1713"/>
      <c r="AJ21" s="1713"/>
      <c r="AK21" s="1097">
        <v>0</v>
      </c>
      <c r="AL21" s="1098">
        <v>0</v>
      </c>
    </row>
    <row r="22" spans="2:50" ht="14">
      <c r="B22" s="1085" t="s">
        <v>591</v>
      </c>
      <c r="C22" s="1086"/>
      <c r="D22" s="1086"/>
      <c r="E22" s="1086"/>
      <c r="F22" s="1086"/>
      <c r="G22" s="1086"/>
      <c r="H22" s="1086"/>
      <c r="I22" s="1086"/>
      <c r="J22" s="1086"/>
      <c r="K22" s="1086"/>
      <c r="L22" s="1087"/>
      <c r="M22" s="1712">
        <v>0</v>
      </c>
      <c r="N22" s="1713"/>
      <c r="O22" s="1713"/>
      <c r="P22" s="1714"/>
      <c r="Q22" s="1712">
        <v>0</v>
      </c>
      <c r="R22" s="1713"/>
      <c r="S22" s="1713"/>
      <c r="T22" s="1714"/>
      <c r="U22" s="1712">
        <v>0</v>
      </c>
      <c r="V22" s="1713"/>
      <c r="W22" s="1713"/>
      <c r="X22" s="1714"/>
      <c r="Y22" s="1712">
        <v>0</v>
      </c>
      <c r="Z22" s="1713"/>
      <c r="AA22" s="1713"/>
      <c r="AB22" s="1714"/>
      <c r="AC22" s="1712">
        <v>0</v>
      </c>
      <c r="AD22" s="1713"/>
      <c r="AE22" s="1713"/>
      <c r="AF22" s="1714"/>
      <c r="AG22" s="1712">
        <v>0</v>
      </c>
      <c r="AH22" s="1713"/>
      <c r="AI22" s="1713"/>
      <c r="AJ22" s="1713"/>
      <c r="AK22" s="1097">
        <v>0</v>
      </c>
      <c r="AL22" s="1098">
        <v>0</v>
      </c>
    </row>
    <row r="23" spans="2:50" ht="14">
      <c r="B23" s="1085" t="s">
        <v>592</v>
      </c>
      <c r="C23" s="1086"/>
      <c r="D23" s="1086"/>
      <c r="E23" s="1086"/>
      <c r="F23" s="1086"/>
      <c r="G23" s="1086"/>
      <c r="H23" s="1086"/>
      <c r="I23" s="1086"/>
      <c r="J23" s="1086"/>
      <c r="K23" s="1086"/>
      <c r="L23" s="1087"/>
      <c r="M23" s="1712">
        <v>0</v>
      </c>
      <c r="N23" s="1713"/>
      <c r="O23" s="1713"/>
      <c r="P23" s="1714"/>
      <c r="Q23" s="1712">
        <v>0</v>
      </c>
      <c r="R23" s="1713"/>
      <c r="S23" s="1713"/>
      <c r="T23" s="1714"/>
      <c r="U23" s="1712">
        <v>0</v>
      </c>
      <c r="V23" s="1713"/>
      <c r="W23" s="1713"/>
      <c r="X23" s="1714"/>
      <c r="Y23" s="1712">
        <v>0</v>
      </c>
      <c r="Z23" s="1713"/>
      <c r="AA23" s="1713"/>
      <c r="AB23" s="1714"/>
      <c r="AC23" s="1712">
        <v>0</v>
      </c>
      <c r="AD23" s="1713"/>
      <c r="AE23" s="1713"/>
      <c r="AF23" s="1714"/>
      <c r="AG23" s="1712">
        <v>0</v>
      </c>
      <c r="AH23" s="1713"/>
      <c r="AI23" s="1713"/>
      <c r="AJ23" s="1714"/>
      <c r="AK23" s="1097">
        <v>0</v>
      </c>
      <c r="AL23" s="1098">
        <v>0</v>
      </c>
    </row>
    <row r="24" spans="2:50" ht="14">
      <c r="B24" s="1085" t="s">
        <v>593</v>
      </c>
      <c r="C24" s="1086"/>
      <c r="D24" s="1086"/>
      <c r="E24" s="1086"/>
      <c r="F24" s="1086"/>
      <c r="G24" s="1086"/>
      <c r="H24" s="1086"/>
      <c r="I24" s="1086"/>
      <c r="J24" s="1086"/>
      <c r="K24" s="1086"/>
      <c r="L24" s="1087"/>
      <c r="M24" s="1712">
        <v>0</v>
      </c>
      <c r="N24" s="1713"/>
      <c r="O24" s="1713"/>
      <c r="P24" s="1714"/>
      <c r="Q24" s="1712">
        <v>0</v>
      </c>
      <c r="R24" s="1713"/>
      <c r="S24" s="1713"/>
      <c r="T24" s="1714"/>
      <c r="U24" s="1712">
        <v>0</v>
      </c>
      <c r="V24" s="1713"/>
      <c r="W24" s="1713"/>
      <c r="X24" s="1714"/>
      <c r="Y24" s="1712">
        <v>0</v>
      </c>
      <c r="Z24" s="1713"/>
      <c r="AA24" s="1713"/>
      <c r="AB24" s="1714"/>
      <c r="AC24" s="1712">
        <v>0</v>
      </c>
      <c r="AD24" s="1713"/>
      <c r="AE24" s="1713"/>
      <c r="AF24" s="1714"/>
      <c r="AG24" s="1712">
        <v>0</v>
      </c>
      <c r="AH24" s="1713"/>
      <c r="AI24" s="1713"/>
      <c r="AJ24" s="1713"/>
      <c r="AK24" s="1097">
        <v>0</v>
      </c>
      <c r="AL24" s="1098">
        <v>0</v>
      </c>
      <c r="AO24" s="1099"/>
      <c r="AP24" s="1099"/>
      <c r="AQ24" s="1099"/>
      <c r="AW24" s="1046">
        <v>14730</v>
      </c>
      <c r="AX24" s="1046">
        <v>4799.2479999999996</v>
      </c>
    </row>
    <row r="25" spans="2:50" ht="14">
      <c r="B25" s="1085" t="s">
        <v>594</v>
      </c>
      <c r="C25" s="1086"/>
      <c r="D25" s="1086"/>
      <c r="E25" s="1086"/>
      <c r="F25" s="1086"/>
      <c r="G25" s="1086"/>
      <c r="H25" s="1086"/>
      <c r="I25" s="1086"/>
      <c r="J25" s="1086"/>
      <c r="K25" s="1086"/>
      <c r="L25" s="1087"/>
      <c r="M25" s="1718">
        <f>SUM(M21:P24)</f>
        <v>0</v>
      </c>
      <c r="N25" s="1719"/>
      <c r="O25" s="1719"/>
      <c r="P25" s="1720"/>
      <c r="Q25" s="1718">
        <f>SUM(Q21:T24)</f>
        <v>0</v>
      </c>
      <c r="R25" s="1719"/>
      <c r="S25" s="1719"/>
      <c r="T25" s="1720"/>
      <c r="U25" s="1718">
        <f>SUM(U21:X24)</f>
        <v>0</v>
      </c>
      <c r="V25" s="1719"/>
      <c r="W25" s="1719"/>
      <c r="X25" s="1720"/>
      <c r="Y25" s="1718">
        <f>SUM(Y21:AB24)</f>
        <v>0</v>
      </c>
      <c r="Z25" s="1719"/>
      <c r="AA25" s="1719"/>
      <c r="AB25" s="1720"/>
      <c r="AC25" s="1718">
        <f>SUM(AC21:AF24)</f>
        <v>0</v>
      </c>
      <c r="AD25" s="1719"/>
      <c r="AE25" s="1719"/>
      <c r="AF25" s="1720"/>
      <c r="AG25" s="1718">
        <f>SUM(AG21:AJ24)</f>
        <v>0</v>
      </c>
      <c r="AH25" s="1719"/>
      <c r="AI25" s="1719"/>
      <c r="AJ25" s="1720"/>
      <c r="AK25" s="1100">
        <f>+SUM(AK21:AK24)</f>
        <v>0</v>
      </c>
      <c r="AL25" s="1101">
        <f>SUM(AL21:AL24)</f>
        <v>0</v>
      </c>
      <c r="AO25" s="1099"/>
      <c r="AP25" s="1099"/>
      <c r="AQ25" s="1099"/>
      <c r="AW25" s="1046">
        <v>14740</v>
      </c>
      <c r="AX25" s="1046">
        <v>4801.518</v>
      </c>
    </row>
    <row r="26" spans="2:50" ht="14">
      <c r="B26" s="1085" t="s">
        <v>595</v>
      </c>
      <c r="C26" s="1086"/>
      <c r="D26" s="1086"/>
      <c r="E26" s="1086"/>
      <c r="F26" s="1086"/>
      <c r="G26" s="1086"/>
      <c r="H26" s="1086"/>
      <c r="I26" s="1086"/>
      <c r="J26" s="1086"/>
      <c r="K26" s="1086"/>
      <c r="L26" s="1087"/>
      <c r="M26" s="1724">
        <f>M19+M25</f>
        <v>16110</v>
      </c>
      <c r="N26" s="1725"/>
      <c r="O26" s="1725"/>
      <c r="P26" s="1726"/>
      <c r="Q26" s="1724">
        <f>Q19+Q25</f>
        <v>16093</v>
      </c>
      <c r="R26" s="1725"/>
      <c r="S26" s="1725"/>
      <c r="T26" s="1726"/>
      <c r="U26" s="1724">
        <f>U19+U25</f>
        <v>16075</v>
      </c>
      <c r="V26" s="1725"/>
      <c r="W26" s="1725"/>
      <c r="X26" s="1726"/>
      <c r="Y26" s="1724">
        <f>Y19+Y25</f>
        <v>16070</v>
      </c>
      <c r="Z26" s="1725"/>
      <c r="AA26" s="1725"/>
      <c r="AB26" s="1726"/>
      <c r="AC26" s="1724">
        <f>AC19+AC25</f>
        <v>15531</v>
      </c>
      <c r="AD26" s="1725"/>
      <c r="AE26" s="1725"/>
      <c r="AF26" s="1726"/>
      <c r="AG26" s="1724">
        <f>AG19+AG25</f>
        <v>15548</v>
      </c>
      <c r="AH26" s="1725"/>
      <c r="AI26" s="1725"/>
      <c r="AJ26" s="1725"/>
      <c r="AK26" s="1102">
        <f>AK19+AK25</f>
        <v>15641</v>
      </c>
      <c r="AL26" s="1103">
        <f>AL19+AL25</f>
        <v>15673</v>
      </c>
      <c r="AW26" s="1104">
        <v>14737</v>
      </c>
      <c r="AX26" s="1104">
        <f>(((AX25-AX24)/(AW25-AW24))*(AW26-AW24))+AX24</f>
        <v>4800.8369999999995</v>
      </c>
    </row>
    <row r="27" spans="2:50" ht="14">
      <c r="B27" s="1085" t="s">
        <v>597</v>
      </c>
      <c r="C27" s="1086"/>
      <c r="D27" s="1086"/>
      <c r="E27" s="1086"/>
      <c r="F27" s="1086"/>
      <c r="G27" s="1086"/>
      <c r="H27" s="1086"/>
      <c r="I27" s="1086"/>
      <c r="J27" s="1086"/>
      <c r="K27" s="1086"/>
      <c r="L27" s="1087"/>
      <c r="M27" s="1721">
        <v>6371.66</v>
      </c>
      <c r="N27" s="1722"/>
      <c r="O27" s="1722"/>
      <c r="P27" s="1723"/>
      <c r="Q27" s="1721">
        <v>6367.7</v>
      </c>
      <c r="R27" s="1722"/>
      <c r="S27" s="1722"/>
      <c r="T27" s="1723"/>
      <c r="U27" s="1721">
        <v>7323.58</v>
      </c>
      <c r="V27" s="1722"/>
      <c r="W27" s="1722"/>
      <c r="X27" s="1723"/>
      <c r="Y27" s="1721">
        <v>7327.19</v>
      </c>
      <c r="Z27" s="1722"/>
      <c r="AA27" s="1722"/>
      <c r="AB27" s="1723"/>
      <c r="AC27" s="1721">
        <v>7122.08</v>
      </c>
      <c r="AD27" s="1722"/>
      <c r="AE27" s="1722"/>
      <c r="AF27" s="1723"/>
      <c r="AG27" s="1721">
        <v>7136.14</v>
      </c>
      <c r="AH27" s="1722"/>
      <c r="AI27" s="1722"/>
      <c r="AJ27" s="1722"/>
      <c r="AK27" s="1105">
        <v>6865.71</v>
      </c>
      <c r="AL27" s="1106">
        <v>6886.99</v>
      </c>
      <c r="AR27" s="1107"/>
      <c r="AS27" s="1108"/>
      <c r="AT27" s="1109" t="s">
        <v>596</v>
      </c>
    </row>
    <row r="28" spans="2:50" ht="14">
      <c r="B28" s="1085" t="s">
        <v>599</v>
      </c>
      <c r="C28" s="1086"/>
      <c r="D28" s="1086"/>
      <c r="E28" s="1086"/>
      <c r="F28" s="1086"/>
      <c r="G28" s="1086"/>
      <c r="H28" s="1086"/>
      <c r="I28" s="1086"/>
      <c r="J28" s="1086"/>
      <c r="K28" s="1086"/>
      <c r="L28" s="1087"/>
      <c r="M28" s="1730">
        <v>0.99829000000000001</v>
      </c>
      <c r="N28" s="1731"/>
      <c r="O28" s="1731"/>
      <c r="P28" s="1732"/>
      <c r="Q28" s="1730">
        <v>0.99829000000000001</v>
      </c>
      <c r="R28" s="1731"/>
      <c r="S28" s="1731"/>
      <c r="T28" s="1732"/>
      <c r="U28" s="1730">
        <v>0.99829000000000001</v>
      </c>
      <c r="V28" s="1731"/>
      <c r="W28" s="1731"/>
      <c r="X28" s="1732"/>
      <c r="Y28" s="1730">
        <v>0.99829000000000001</v>
      </c>
      <c r="Z28" s="1731"/>
      <c r="AA28" s="1731"/>
      <c r="AB28" s="1732"/>
      <c r="AC28" s="1730">
        <v>0.99829000000000001</v>
      </c>
      <c r="AD28" s="1731"/>
      <c r="AE28" s="1731"/>
      <c r="AF28" s="1732"/>
      <c r="AG28" s="1730">
        <v>0.99829000000000001</v>
      </c>
      <c r="AH28" s="1731"/>
      <c r="AI28" s="1731"/>
      <c r="AJ28" s="1732"/>
      <c r="AK28" s="1110">
        <v>0.99829000000000001</v>
      </c>
      <c r="AL28" s="1111">
        <v>0.99829000000000001</v>
      </c>
      <c r="AR28" s="1112" t="s">
        <v>598</v>
      </c>
      <c r="AS28" s="1113">
        <v>-33.5</v>
      </c>
      <c r="AT28" s="1114">
        <v>0.99829000000000001</v>
      </c>
    </row>
    <row r="29" spans="2:50" ht="14">
      <c r="B29" s="1085" t="s">
        <v>601</v>
      </c>
      <c r="C29" s="1086"/>
      <c r="D29" s="1086"/>
      <c r="E29" s="1086"/>
      <c r="F29" s="1086"/>
      <c r="G29" s="1086"/>
      <c r="H29" s="1086"/>
      <c r="I29" s="1086"/>
      <c r="J29" s="1086"/>
      <c r="K29" s="1086"/>
      <c r="L29" s="1087"/>
      <c r="M29" s="1727">
        <f>M27*M28</f>
        <v>6360.7644614000001</v>
      </c>
      <c r="N29" s="1728"/>
      <c r="O29" s="1728"/>
      <c r="P29" s="1729"/>
      <c r="Q29" s="1727">
        <f>Q27*Q28</f>
        <v>6356.8112329999994</v>
      </c>
      <c r="R29" s="1728"/>
      <c r="S29" s="1728"/>
      <c r="T29" s="1729"/>
      <c r="U29" s="1727">
        <f>U27*U28</f>
        <v>7311.0566781999996</v>
      </c>
      <c r="V29" s="1728"/>
      <c r="W29" s="1728"/>
      <c r="X29" s="1729"/>
      <c r="Y29" s="1727">
        <f>Y27*Y28</f>
        <v>7314.6605050999997</v>
      </c>
      <c r="Z29" s="1728"/>
      <c r="AA29" s="1728"/>
      <c r="AB29" s="1729"/>
      <c r="AC29" s="1727">
        <f>AC27*AC28</f>
        <v>7109.9012432</v>
      </c>
      <c r="AD29" s="1728"/>
      <c r="AE29" s="1728"/>
      <c r="AF29" s="1729"/>
      <c r="AG29" s="1727">
        <f>AG27*AG28</f>
        <v>7123.9372006000003</v>
      </c>
      <c r="AH29" s="1728"/>
      <c r="AI29" s="1728"/>
      <c r="AJ29" s="1728"/>
      <c r="AK29" s="1115">
        <f>AK27*AK28</f>
        <v>6853.9696359</v>
      </c>
      <c r="AL29" s="1116">
        <f>AL27*AL28</f>
        <v>6875.2132470999995</v>
      </c>
      <c r="AR29" s="1112" t="s">
        <v>600</v>
      </c>
      <c r="AS29" s="1117">
        <v>-33</v>
      </c>
      <c r="AT29" s="1118">
        <v>0.99829999999999997</v>
      </c>
      <c r="AU29" s="1119"/>
      <c r="AV29" s="1119"/>
    </row>
    <row r="30" spans="2:50" ht="14">
      <c r="B30" s="1085" t="s">
        <v>602</v>
      </c>
      <c r="C30" s="1086"/>
      <c r="D30" s="1086"/>
      <c r="E30" s="1086"/>
      <c r="F30" s="1086"/>
      <c r="G30" s="1086"/>
      <c r="H30" s="1086"/>
      <c r="I30" s="1086"/>
      <c r="J30" s="1086"/>
      <c r="K30" s="1086"/>
      <c r="L30" s="1087"/>
      <c r="M30" s="1733">
        <v>0.68189999999999995</v>
      </c>
      <c r="N30" s="1734"/>
      <c r="O30" s="1734"/>
      <c r="P30" s="1735"/>
      <c r="Q30" s="1733">
        <v>0.68189999999999995</v>
      </c>
      <c r="R30" s="1734"/>
      <c r="S30" s="1734"/>
      <c r="T30" s="1735"/>
      <c r="U30" s="1733">
        <v>0.68179999999999996</v>
      </c>
      <c r="V30" s="1734"/>
      <c r="W30" s="1734"/>
      <c r="X30" s="1735"/>
      <c r="Y30" s="1733">
        <v>0.68179999999999996</v>
      </c>
      <c r="Z30" s="1734"/>
      <c r="AA30" s="1734"/>
      <c r="AB30" s="1735"/>
      <c r="AC30" s="1733">
        <v>0.68189999999999995</v>
      </c>
      <c r="AD30" s="1734"/>
      <c r="AE30" s="1734"/>
      <c r="AF30" s="1735"/>
      <c r="AG30" s="1733">
        <v>0.68189999999999995</v>
      </c>
      <c r="AH30" s="1734"/>
      <c r="AI30" s="1734"/>
      <c r="AJ30" s="1735"/>
      <c r="AK30" s="1120">
        <v>0.68179999999999996</v>
      </c>
      <c r="AL30" s="1121">
        <v>0.68179999999999996</v>
      </c>
      <c r="AR30" s="1122"/>
      <c r="AT30" s="1123"/>
    </row>
    <row r="31" spans="2:50" ht="14">
      <c r="B31" s="1085" t="s">
        <v>604</v>
      </c>
      <c r="C31" s="1086"/>
      <c r="D31" s="1086"/>
      <c r="E31" s="1086"/>
      <c r="F31" s="1086"/>
      <c r="G31" s="1086"/>
      <c r="H31" s="1086"/>
      <c r="I31" s="1086"/>
      <c r="J31" s="1086"/>
      <c r="K31" s="1086"/>
      <c r="L31" s="1087"/>
      <c r="M31" s="1727">
        <f>M29*M30</f>
        <v>4337.4052862286599</v>
      </c>
      <c r="N31" s="1728"/>
      <c r="O31" s="1728"/>
      <c r="P31" s="1729"/>
      <c r="Q31" s="1727">
        <f>Q29*Q30</f>
        <v>4334.7095797826996</v>
      </c>
      <c r="R31" s="1728"/>
      <c r="S31" s="1728"/>
      <c r="T31" s="1729"/>
      <c r="U31" s="1727">
        <f>U29*U30</f>
        <v>4984.6784431967599</v>
      </c>
      <c r="V31" s="1728"/>
      <c r="W31" s="1728"/>
      <c r="X31" s="1729"/>
      <c r="Y31" s="1727">
        <f>Y29*Y30</f>
        <v>4987.1355323771795</v>
      </c>
      <c r="Z31" s="1728"/>
      <c r="AA31" s="1728"/>
      <c r="AB31" s="1729"/>
      <c r="AC31" s="1727">
        <f>AC29*AC30</f>
        <v>4848.24165773808</v>
      </c>
      <c r="AD31" s="1728"/>
      <c r="AE31" s="1728"/>
      <c r="AF31" s="1729"/>
      <c r="AG31" s="1727">
        <f>AG29*AG30</f>
        <v>4857.8127770891397</v>
      </c>
      <c r="AH31" s="1728"/>
      <c r="AI31" s="1728"/>
      <c r="AJ31" s="1728"/>
      <c r="AK31" s="1115">
        <f>AK29*AK30</f>
        <v>4673.0364977566196</v>
      </c>
      <c r="AL31" s="1116">
        <f>AL29*AL30</f>
        <v>4687.5203918727793</v>
      </c>
      <c r="AR31" s="1124" t="s">
        <v>603</v>
      </c>
      <c r="AS31" s="1065">
        <v>-33.4</v>
      </c>
      <c r="AT31" s="1125">
        <f>+AT29+(AS31-AS29)*(AT29-AT28)/(AS29-AS28)</f>
        <v>0.99829199999999996</v>
      </c>
    </row>
    <row r="32" spans="2:50" ht="14">
      <c r="B32" s="1085" t="s">
        <v>605</v>
      </c>
      <c r="C32" s="1086"/>
      <c r="D32" s="1086"/>
      <c r="E32" s="1086"/>
      <c r="F32" s="1086"/>
      <c r="G32" s="1086"/>
      <c r="H32" s="1086"/>
      <c r="I32" s="1086"/>
      <c r="J32" s="1086"/>
      <c r="K32" s="1086"/>
      <c r="L32" s="1087"/>
      <c r="M32" s="1736">
        <v>6897.64</v>
      </c>
      <c r="N32" s="1737"/>
      <c r="O32" s="1737"/>
      <c r="P32" s="1738"/>
      <c r="Q32" s="1736">
        <v>6900.3</v>
      </c>
      <c r="R32" s="1737"/>
      <c r="S32" s="1737"/>
      <c r="T32" s="1738"/>
      <c r="U32" s="1736">
        <v>7841.21</v>
      </c>
      <c r="V32" s="1737"/>
      <c r="W32" s="1737"/>
      <c r="X32" s="1738"/>
      <c r="Y32" s="1736">
        <v>7846.74</v>
      </c>
      <c r="Z32" s="1737"/>
      <c r="AA32" s="1737"/>
      <c r="AB32" s="1738"/>
      <c r="AC32" s="1736">
        <v>7836.17</v>
      </c>
      <c r="AD32" s="1737"/>
      <c r="AE32" s="1737"/>
      <c r="AF32" s="1738"/>
      <c r="AG32" s="1736">
        <v>7844.8</v>
      </c>
      <c r="AH32" s="1737"/>
      <c r="AI32" s="1737"/>
      <c r="AJ32" s="1737"/>
      <c r="AK32" s="1126">
        <v>7540.18</v>
      </c>
      <c r="AL32" s="1127">
        <v>7548.69</v>
      </c>
    </row>
    <row r="33" spans="2:47" ht="14">
      <c r="B33" s="1085" t="s">
        <v>606</v>
      </c>
      <c r="C33" s="1086"/>
      <c r="D33" s="1086"/>
      <c r="E33" s="1086"/>
      <c r="F33" s="1086"/>
      <c r="G33" s="1086"/>
      <c r="H33" s="1086"/>
      <c r="I33" s="1086"/>
      <c r="J33" s="1086"/>
      <c r="K33" s="1086"/>
      <c r="L33" s="1087"/>
      <c r="M33" s="1730">
        <v>0.99853999999999998</v>
      </c>
      <c r="N33" s="1731"/>
      <c r="O33" s="1731"/>
      <c r="P33" s="1732"/>
      <c r="Q33" s="1730">
        <v>0.99853999999999998</v>
      </c>
      <c r="R33" s="1731"/>
      <c r="S33" s="1731"/>
      <c r="T33" s="1732"/>
      <c r="U33" s="1730">
        <v>0.99851000000000001</v>
      </c>
      <c r="V33" s="1731"/>
      <c r="W33" s="1731"/>
      <c r="X33" s="1732"/>
      <c r="Y33" s="1730">
        <v>0.99851000000000001</v>
      </c>
      <c r="Z33" s="1731"/>
      <c r="AA33" s="1731"/>
      <c r="AB33" s="1732"/>
      <c r="AC33" s="1730">
        <v>0.99858000000000002</v>
      </c>
      <c r="AD33" s="1731"/>
      <c r="AE33" s="1731"/>
      <c r="AF33" s="1732"/>
      <c r="AG33" s="1730">
        <v>0.99858000000000002</v>
      </c>
      <c r="AH33" s="1731"/>
      <c r="AI33" s="1731"/>
      <c r="AJ33" s="1732"/>
      <c r="AK33" s="1110">
        <v>0.99865000000000004</v>
      </c>
      <c r="AL33" s="1111">
        <v>0.99865000000000004</v>
      </c>
    </row>
    <row r="34" spans="2:47" ht="14">
      <c r="B34" s="1085" t="s">
        <v>607</v>
      </c>
      <c r="C34" s="1086"/>
      <c r="D34" s="1086"/>
      <c r="E34" s="1086"/>
      <c r="F34" s="1086"/>
      <c r="G34" s="1086"/>
      <c r="H34" s="1086"/>
      <c r="I34" s="1086"/>
      <c r="J34" s="1086"/>
      <c r="K34" s="1086"/>
      <c r="L34" s="1087"/>
      <c r="M34" s="1739">
        <f>M32-M27</f>
        <v>525.98000000000047</v>
      </c>
      <c r="N34" s="1742"/>
      <c r="O34" s="1742"/>
      <c r="P34" s="1743"/>
      <c r="Q34" s="1739">
        <f>Q32-Q27</f>
        <v>532.60000000000036</v>
      </c>
      <c r="R34" s="1742"/>
      <c r="S34" s="1742"/>
      <c r="T34" s="1743"/>
      <c r="U34" s="1739">
        <f>U32-U27</f>
        <v>517.63000000000011</v>
      </c>
      <c r="V34" s="1740"/>
      <c r="W34" s="1740"/>
      <c r="X34" s="1741"/>
      <c r="Y34" s="1739">
        <f>Y32-Y27</f>
        <v>519.55000000000018</v>
      </c>
      <c r="Z34" s="1740"/>
      <c r="AA34" s="1740"/>
      <c r="AB34" s="1741"/>
      <c r="AC34" s="1739">
        <f>AC32-AC27</f>
        <v>714.09000000000015</v>
      </c>
      <c r="AD34" s="1740"/>
      <c r="AE34" s="1740"/>
      <c r="AF34" s="1741"/>
      <c r="AG34" s="1744">
        <f>AG32-AG27</f>
        <v>708.65999999999985</v>
      </c>
      <c r="AH34" s="1742"/>
      <c r="AI34" s="1742"/>
      <c r="AJ34" s="1742"/>
      <c r="AK34" s="1128">
        <f>AK32-AK27</f>
        <v>674.47000000000025</v>
      </c>
      <c r="AL34" s="1129">
        <f>AL32-AL27</f>
        <v>661.69999999999982</v>
      </c>
      <c r="AR34" s="1107"/>
      <c r="AS34" s="1108"/>
      <c r="AT34" s="1109" t="s">
        <v>596</v>
      </c>
    </row>
    <row r="35" spans="2:47" ht="14">
      <c r="B35" s="1085" t="s">
        <v>608</v>
      </c>
      <c r="C35" s="1086"/>
      <c r="D35" s="1086"/>
      <c r="E35" s="1086"/>
      <c r="F35" s="1086"/>
      <c r="G35" s="1086"/>
      <c r="H35" s="1086"/>
      <c r="I35" s="1086"/>
      <c r="J35" s="1086"/>
      <c r="K35" s="1086"/>
      <c r="L35" s="1087"/>
      <c r="M35" s="1739">
        <f>M34*M33</f>
        <v>525.21206920000043</v>
      </c>
      <c r="N35" s="1740"/>
      <c r="O35" s="1740"/>
      <c r="P35" s="1741"/>
      <c r="Q35" s="1739">
        <f>Q34*Q33</f>
        <v>531.82240400000035</v>
      </c>
      <c r="R35" s="1740"/>
      <c r="S35" s="1740"/>
      <c r="T35" s="1741"/>
      <c r="U35" s="1739">
        <f>U34*U33</f>
        <v>516.85873130000016</v>
      </c>
      <c r="V35" s="1740"/>
      <c r="W35" s="1740"/>
      <c r="X35" s="1741"/>
      <c r="Y35" s="1739">
        <f>Y34*Y33</f>
        <v>518.77587050000022</v>
      </c>
      <c r="Z35" s="1740"/>
      <c r="AA35" s="1740"/>
      <c r="AB35" s="1741"/>
      <c r="AC35" s="1739">
        <f>AC34*AC33</f>
        <v>713.0759922000002</v>
      </c>
      <c r="AD35" s="1740"/>
      <c r="AE35" s="1740"/>
      <c r="AF35" s="1741"/>
      <c r="AG35" s="1739">
        <f>AG34*AG33</f>
        <v>707.65370279999991</v>
      </c>
      <c r="AH35" s="1740"/>
      <c r="AI35" s="1740"/>
      <c r="AJ35" s="1740"/>
      <c r="AK35" s="1128">
        <f>AK34*AK33</f>
        <v>673.55946550000033</v>
      </c>
      <c r="AL35" s="1130">
        <f>AL34*AL33</f>
        <v>660.80670499999985</v>
      </c>
      <c r="AR35" s="1112" t="s">
        <v>598</v>
      </c>
      <c r="AS35" s="1117">
        <v>-28</v>
      </c>
      <c r="AT35" s="1131">
        <v>0.99851699999999999</v>
      </c>
    </row>
    <row r="36" spans="2:47" ht="14">
      <c r="B36" s="1085" t="s">
        <v>609</v>
      </c>
      <c r="C36" s="1086"/>
      <c r="D36" s="1086"/>
      <c r="E36" s="1086"/>
      <c r="F36" s="1086"/>
      <c r="G36" s="1086"/>
      <c r="H36" s="1086"/>
      <c r="I36" s="1086"/>
      <c r="J36" s="1086"/>
      <c r="K36" s="1086"/>
      <c r="L36" s="1087"/>
      <c r="M36" s="1745">
        <f>((273.15/(273.15+M17))*((1013.25+M16)/1013.25)*(M20/22.414))/1000</f>
        <v>8.7045819500336811E-4</v>
      </c>
      <c r="N36" s="1746"/>
      <c r="O36" s="1746"/>
      <c r="P36" s="1747"/>
      <c r="Q36" s="1745">
        <f>((273.15/(273.15+Q17))*((1013.25+Q16)/1013.25)*(Q20/22.414))/1000</f>
        <v>8.7045819500336811E-4</v>
      </c>
      <c r="R36" s="1746"/>
      <c r="S36" s="1746"/>
      <c r="T36" s="1747"/>
      <c r="U36" s="1745">
        <f>((273.15/(273.15+U17))*((1013.25+U16)/1013.25)*(U20/22.414))/1000</f>
        <v>8.7422744093302543E-4</v>
      </c>
      <c r="V36" s="1746"/>
      <c r="W36" s="1746"/>
      <c r="X36" s="1747"/>
      <c r="Y36" s="1745">
        <f>((273.15/(273.15+Y17))*((1013.25+Y16)/1013.25)*(Y20/22.414))/1000</f>
        <v>8.7422744093302543E-4</v>
      </c>
      <c r="Z36" s="1746"/>
      <c r="AA36" s="1746"/>
      <c r="AB36" s="1747"/>
      <c r="AC36" s="1745">
        <f>((273.15/(273.15+AC17))*((1013.25+AC16)/1013.25)*(AC20/22.414))/1000</f>
        <v>8.6768626565166831E-4</v>
      </c>
      <c r="AD36" s="1746"/>
      <c r="AE36" s="1746"/>
      <c r="AF36" s="1747"/>
      <c r="AG36" s="1745">
        <f>((273.15/(273.15+AG17))*((1013.25+AG16)/1013.25)*(AG20/22.414))/1000</f>
        <v>8.6768626565166831E-4</v>
      </c>
      <c r="AH36" s="1746"/>
      <c r="AI36" s="1746"/>
      <c r="AJ36" s="1747"/>
      <c r="AK36" s="1132">
        <f>(273.15/(273.15+AK17))*((1013.25+AK16)/1013.25)*(AK20/22.414)/1000</f>
        <v>8.604397309216283E-4</v>
      </c>
      <c r="AL36" s="1133">
        <f>(273.15/(273.15+AL17))*((1013.25+AL16)/1013.25)*(AL20/22.414)/1000</f>
        <v>8.604397309216283E-4</v>
      </c>
      <c r="AR36" s="1112" t="s">
        <v>600</v>
      </c>
      <c r="AS36" s="1117">
        <v>-27</v>
      </c>
      <c r="AT36" s="1131">
        <v>0.998552</v>
      </c>
    </row>
    <row r="37" spans="2:47" ht="14">
      <c r="B37" s="1085" t="s">
        <v>610</v>
      </c>
      <c r="C37" s="1086"/>
      <c r="D37" s="1086"/>
      <c r="E37" s="1086"/>
      <c r="F37" s="1086"/>
      <c r="G37" s="1086"/>
      <c r="H37" s="1086"/>
      <c r="I37" s="1086"/>
      <c r="J37" s="1086"/>
      <c r="K37" s="1086"/>
      <c r="L37" s="1087"/>
      <c r="M37" s="1727">
        <f>M35*M36</f>
        <v>0.45717514974981643</v>
      </c>
      <c r="N37" s="1728"/>
      <c r="O37" s="1728"/>
      <c r="P37" s="1729"/>
      <c r="Q37" s="1727">
        <f>Q35*Q36</f>
        <v>0.46292916984819232</v>
      </c>
      <c r="R37" s="1728"/>
      <c r="S37" s="1728"/>
      <c r="T37" s="1729"/>
      <c r="U37" s="1727">
        <f>U35*U36</f>
        <v>0.45185208598828935</v>
      </c>
      <c r="V37" s="1728"/>
      <c r="W37" s="1728"/>
      <c r="X37" s="1729"/>
      <c r="Y37" s="1727">
        <f>Y35*Y36</f>
        <v>0.45352810168501778</v>
      </c>
      <c r="Z37" s="1728"/>
      <c r="AA37" s="1728"/>
      <c r="AB37" s="1729"/>
      <c r="AC37" s="1727">
        <f>AC35*AC36</f>
        <v>0.6187262447978763</v>
      </c>
      <c r="AD37" s="1728"/>
      <c r="AE37" s="1728"/>
      <c r="AF37" s="1729"/>
      <c r="AG37" s="1727">
        <f>AG35*AG36</f>
        <v>0.61402139875710748</v>
      </c>
      <c r="AH37" s="1728"/>
      <c r="AI37" s="1728"/>
      <c r="AJ37" s="1728"/>
      <c r="AK37" s="1115">
        <f>AK35*AK36</f>
        <v>0.57955732525453607</v>
      </c>
      <c r="AL37" s="1116">
        <f>AL35*AL36</f>
        <v>0.56858434344140762</v>
      </c>
      <c r="AR37" s="1122"/>
      <c r="AT37" s="1123"/>
    </row>
    <row r="38" spans="2:47" ht="14.5" thickBot="1">
      <c r="B38" s="1134" t="s">
        <v>611</v>
      </c>
      <c r="C38" s="1135"/>
      <c r="D38" s="1135"/>
      <c r="E38" s="1135"/>
      <c r="F38" s="1135"/>
      <c r="G38" s="1135"/>
      <c r="H38" s="1135"/>
      <c r="I38" s="1135"/>
      <c r="J38" s="1135"/>
      <c r="K38" s="1135"/>
      <c r="L38" s="1136"/>
      <c r="M38" s="1760">
        <f>M31+M37</f>
        <v>4337.8624613784095</v>
      </c>
      <c r="N38" s="1761"/>
      <c r="O38" s="1761"/>
      <c r="P38" s="1762"/>
      <c r="Q38" s="1760">
        <f>Q31+Q37</f>
        <v>4335.172508952548</v>
      </c>
      <c r="R38" s="1761"/>
      <c r="S38" s="1761"/>
      <c r="T38" s="1762"/>
      <c r="U38" s="1760">
        <f>U31+U37</f>
        <v>4985.1302952827482</v>
      </c>
      <c r="V38" s="1761"/>
      <c r="W38" s="1761"/>
      <c r="X38" s="1762"/>
      <c r="Y38" s="1760">
        <f>Y31+Y37</f>
        <v>4987.5890604788647</v>
      </c>
      <c r="Z38" s="1761"/>
      <c r="AA38" s="1761"/>
      <c r="AB38" s="1762"/>
      <c r="AC38" s="1760">
        <f>AC31+AC37</f>
        <v>4848.8603839828775</v>
      </c>
      <c r="AD38" s="1761"/>
      <c r="AE38" s="1761"/>
      <c r="AF38" s="1762"/>
      <c r="AG38" s="1760">
        <f>AG31+AG37</f>
        <v>4858.426798487897</v>
      </c>
      <c r="AH38" s="1761"/>
      <c r="AI38" s="1761"/>
      <c r="AJ38" s="1761"/>
      <c r="AK38" s="1115">
        <f>AK31+AK37</f>
        <v>4673.616055081874</v>
      </c>
      <c r="AL38" s="1116">
        <f>AL31+AL37</f>
        <v>4688.0889762162205</v>
      </c>
      <c r="AR38" s="1124" t="s">
        <v>603</v>
      </c>
      <c r="AS38" s="1065">
        <v>-27.3</v>
      </c>
      <c r="AT38" s="1125">
        <f>+AT36+(AS38-AS36)*(AT36-AT35)/(AS36-AS35)</f>
        <v>0.99854149999999997</v>
      </c>
    </row>
    <row r="39" spans="2:47" ht="15" thickTop="1" thickBot="1">
      <c r="B39" s="1137" t="s">
        <v>612</v>
      </c>
      <c r="C39" s="1138"/>
      <c r="D39" s="1138"/>
      <c r="E39" s="1138"/>
      <c r="F39" s="1138"/>
      <c r="G39" s="1138"/>
      <c r="H39" s="1138"/>
      <c r="I39" s="1138"/>
      <c r="J39" s="1138"/>
      <c r="K39" s="1138"/>
      <c r="L39" s="1139"/>
      <c r="M39" s="1748"/>
      <c r="N39" s="1749"/>
      <c r="O39" s="1749"/>
      <c r="P39" s="1749"/>
      <c r="Q39" s="1749"/>
      <c r="R39" s="1749"/>
      <c r="S39" s="1749"/>
      <c r="T39" s="1750"/>
      <c r="U39" s="1751"/>
      <c r="V39" s="1752"/>
      <c r="W39" s="1752"/>
      <c r="X39" s="1752"/>
      <c r="Y39" s="1752"/>
      <c r="Z39" s="1752"/>
      <c r="AA39" s="1752"/>
      <c r="AB39" s="1753"/>
      <c r="AC39" s="1751"/>
      <c r="AD39" s="1752"/>
      <c r="AE39" s="1752"/>
      <c r="AF39" s="1752"/>
      <c r="AG39" s="1752"/>
      <c r="AH39" s="1752"/>
      <c r="AI39" s="1752"/>
      <c r="AJ39" s="1754"/>
      <c r="AK39" s="1140"/>
      <c r="AL39" s="1054"/>
    </row>
    <row r="40" spans="2:47" ht="14.5" thickBot="1">
      <c r="B40" s="1141" t="s">
        <v>613</v>
      </c>
      <c r="C40" s="1142"/>
      <c r="D40" s="1142"/>
      <c r="E40" s="1142"/>
      <c r="F40" s="1142"/>
      <c r="G40" s="1142"/>
      <c r="H40" s="1142"/>
      <c r="I40" s="1142"/>
      <c r="J40" s="1142"/>
      <c r="K40" s="1142"/>
      <c r="L40" s="1143"/>
      <c r="M40" s="1755">
        <f>SUM(M31:T31)</f>
        <v>8672.1148660113595</v>
      </c>
      <c r="N40" s="1756"/>
      <c r="O40" s="1756"/>
      <c r="P40" s="1756"/>
      <c r="Q40" s="1756"/>
      <c r="R40" s="1757" t="s">
        <v>614</v>
      </c>
      <c r="S40" s="1757"/>
      <c r="T40" s="1758"/>
      <c r="U40" s="1755">
        <f>SUM(U31:AB31)</f>
        <v>9971.8139755739394</v>
      </c>
      <c r="V40" s="1756"/>
      <c r="W40" s="1756"/>
      <c r="X40" s="1756"/>
      <c r="Y40" s="1756"/>
      <c r="Z40" s="1144" t="s">
        <v>614</v>
      </c>
      <c r="AA40" s="1144"/>
      <c r="AB40" s="1145"/>
      <c r="AC40" s="1755">
        <f>SUM(AC31:AJ31)</f>
        <v>9706.0544348272197</v>
      </c>
      <c r="AD40" s="1756"/>
      <c r="AE40" s="1756"/>
      <c r="AF40" s="1756"/>
      <c r="AG40" s="1756"/>
      <c r="AH40" s="1757" t="s">
        <v>614</v>
      </c>
      <c r="AI40" s="1757"/>
      <c r="AJ40" s="1759"/>
      <c r="AK40" s="1146">
        <f>SUM(AK31:AL31)</f>
        <v>9360.5568896293989</v>
      </c>
      <c r="AL40" s="1147" t="s">
        <v>614</v>
      </c>
    </row>
    <row r="41" spans="2:47" ht="14">
      <c r="B41" s="1148" t="s">
        <v>615</v>
      </c>
      <c r="C41" s="1086"/>
      <c r="D41" s="1086"/>
      <c r="E41" s="1086"/>
      <c r="F41" s="1086"/>
      <c r="G41" s="1086"/>
      <c r="H41" s="1086"/>
      <c r="I41" s="1086"/>
      <c r="J41" s="1086"/>
      <c r="K41" s="1086"/>
      <c r="L41" s="1087"/>
      <c r="M41" s="1781">
        <f>SUM(M37:T37)</f>
        <v>0.92010431959800876</v>
      </c>
      <c r="N41" s="1782"/>
      <c r="O41" s="1782"/>
      <c r="P41" s="1782"/>
      <c r="Q41" s="1782"/>
      <c r="R41" s="1783" t="s">
        <v>614</v>
      </c>
      <c r="S41" s="1783"/>
      <c r="T41" s="1784"/>
      <c r="U41" s="1781">
        <f>SUM(U37:AB37)</f>
        <v>0.90538018767330719</v>
      </c>
      <c r="V41" s="1782"/>
      <c r="W41" s="1782"/>
      <c r="X41" s="1782"/>
      <c r="Y41" s="1782"/>
      <c r="Z41" s="1149" t="s">
        <v>614</v>
      </c>
      <c r="AA41" s="1149"/>
      <c r="AB41" s="1150"/>
      <c r="AC41" s="1781">
        <f>SUM(AC37:AJ37)</f>
        <v>1.2327476435549838</v>
      </c>
      <c r="AD41" s="1782"/>
      <c r="AE41" s="1782"/>
      <c r="AF41" s="1782"/>
      <c r="AG41" s="1782"/>
      <c r="AH41" s="1783" t="s">
        <v>614</v>
      </c>
      <c r="AI41" s="1783"/>
      <c r="AJ41" s="1785"/>
      <c r="AK41" s="1151">
        <f>SUM(AK37:AL37)</f>
        <v>1.1481416686959438</v>
      </c>
      <c r="AL41" s="1152" t="s">
        <v>614</v>
      </c>
      <c r="AP41" s="1786" t="s">
        <v>616</v>
      </c>
      <c r="AQ41" s="1787"/>
      <c r="AR41" s="1787"/>
      <c r="AS41" s="1763">
        <v>37724.728999999999</v>
      </c>
      <c r="AT41" s="1763"/>
      <c r="AU41" s="1764"/>
    </row>
    <row r="42" spans="2:47" ht="14.5" thickBot="1">
      <c r="B42" s="1153" t="s">
        <v>617</v>
      </c>
      <c r="C42" s="1154"/>
      <c r="D42" s="1154"/>
      <c r="E42" s="1154"/>
      <c r="F42" s="1154"/>
      <c r="G42" s="1154"/>
      <c r="H42" s="1154"/>
      <c r="I42" s="1154"/>
      <c r="J42" s="1154"/>
      <c r="K42" s="1154"/>
      <c r="L42" s="1155"/>
      <c r="M42" s="1765">
        <f>+M40+M41+U40+U41+AC40+AC41+AK40+AK41</f>
        <v>37714.746539861437</v>
      </c>
      <c r="N42" s="1766"/>
      <c r="O42" s="1766"/>
      <c r="P42" s="1766"/>
      <c r="Q42" s="1766"/>
      <c r="R42" s="1767" t="s">
        <v>614</v>
      </c>
      <c r="S42" s="1767"/>
      <c r="T42" s="1768"/>
      <c r="U42" s="1769" t="s">
        <v>618</v>
      </c>
      <c r="V42" s="1770"/>
      <c r="W42" s="1770"/>
      <c r="X42" s="1770"/>
      <c r="Y42" s="1770"/>
      <c r="Z42" s="1770"/>
      <c r="AA42" s="1770"/>
      <c r="AB42" s="1771"/>
      <c r="AC42" s="1772">
        <v>37713.063000000002</v>
      </c>
      <c r="AD42" s="1773"/>
      <c r="AE42" s="1773"/>
      <c r="AF42" s="1773"/>
      <c r="AG42" s="1773"/>
      <c r="AH42" s="1767" t="s">
        <v>614</v>
      </c>
      <c r="AI42" s="1767"/>
      <c r="AJ42" s="1767"/>
      <c r="AK42" s="1774"/>
      <c r="AL42" s="1775"/>
      <c r="AN42" s="1156"/>
      <c r="AP42" s="1776" t="s">
        <v>619</v>
      </c>
      <c r="AQ42" s="1777"/>
      <c r="AR42" s="1777"/>
      <c r="AS42" s="1778">
        <f>M42-AS41</f>
        <v>-9.9824601385626011</v>
      </c>
      <c r="AT42" s="1779"/>
      <c r="AU42" s="1780"/>
    </row>
    <row r="43" spans="2:47" ht="14">
      <c r="B43" s="1157"/>
      <c r="C43" s="1157"/>
      <c r="D43" s="1157"/>
      <c r="E43" s="1157"/>
      <c r="F43" s="1157"/>
      <c r="G43" s="1157"/>
      <c r="H43" s="1157"/>
      <c r="I43" s="1157"/>
      <c r="J43" s="1157"/>
      <c r="K43" s="1157"/>
      <c r="L43" s="1157"/>
      <c r="M43" s="1790"/>
      <c r="N43" s="1791"/>
      <c r="O43" s="1791"/>
      <c r="P43" s="1791"/>
      <c r="Q43" s="1791"/>
      <c r="R43" s="1792"/>
      <c r="S43" s="1792"/>
      <c r="T43" s="1792"/>
      <c r="U43" s="1792"/>
      <c r="V43" s="1792"/>
      <c r="W43" s="1792"/>
      <c r="X43" s="1792"/>
      <c r="Y43" s="1792"/>
      <c r="Z43" s="1792"/>
      <c r="AA43" s="1792"/>
      <c r="AB43" s="1793"/>
      <c r="AC43" s="1793"/>
      <c r="AD43" s="1793"/>
      <c r="AE43" s="1793"/>
      <c r="AF43" s="1793"/>
      <c r="AG43" s="1793"/>
      <c r="AH43" s="1793"/>
      <c r="AI43" s="1793"/>
      <c r="AJ43" s="1793"/>
    </row>
    <row r="44" spans="2:47" ht="14">
      <c r="B44" s="1794" t="str">
        <f>IF(M43="","",IF(M43&lt;M42,"Loaded:","Discharged:"))</f>
        <v/>
      </c>
      <c r="C44" s="1794"/>
      <c r="D44" s="1794"/>
      <c r="E44" s="1794"/>
      <c r="F44" s="1794"/>
      <c r="G44" s="1794"/>
      <c r="H44" s="1794"/>
      <c r="I44" s="1794"/>
      <c r="J44" s="1794"/>
      <c r="K44" s="1794"/>
      <c r="L44" s="1794"/>
      <c r="M44" s="1795"/>
      <c r="N44" s="1796"/>
      <c r="O44" s="1796"/>
      <c r="P44" s="1796"/>
      <c r="Q44" s="1796"/>
      <c r="R44" s="1792"/>
      <c r="S44" s="1792"/>
      <c r="T44" s="1792"/>
      <c r="U44" s="1792"/>
      <c r="V44" s="1792"/>
      <c r="W44" s="1792"/>
      <c r="X44" s="1792"/>
      <c r="Y44" s="1792"/>
      <c r="Z44" s="1792"/>
      <c r="AA44" s="1792"/>
      <c r="AB44" s="1793"/>
      <c r="AC44" s="1793"/>
      <c r="AD44" s="1793"/>
      <c r="AE44" s="1793"/>
      <c r="AF44" s="1793"/>
      <c r="AG44" s="1793"/>
      <c r="AH44" s="1793"/>
      <c r="AI44" s="1793"/>
      <c r="AJ44" s="1793"/>
    </row>
    <row r="45" spans="2:47" ht="14">
      <c r="B45" s="1797" t="s">
        <v>620</v>
      </c>
      <c r="C45" s="1798"/>
      <c r="D45" s="1798"/>
      <c r="E45" s="1798"/>
      <c r="F45" s="1798"/>
      <c r="G45" s="1798"/>
      <c r="H45" s="1798"/>
      <c r="I45" s="1798"/>
      <c r="J45" s="1798"/>
      <c r="K45" s="1798"/>
      <c r="L45" s="1798"/>
      <c r="M45" s="1798"/>
      <c r="N45" s="1789" t="s">
        <v>621</v>
      </c>
      <c r="O45" s="1789"/>
      <c r="P45" s="1789"/>
      <c r="Q45" s="1789"/>
      <c r="R45" s="1789"/>
      <c r="S45" s="1789"/>
      <c r="T45" s="1789"/>
      <c r="U45" s="1789"/>
      <c r="V45" s="1789"/>
      <c r="W45" s="1789"/>
      <c r="X45" s="1789"/>
      <c r="Y45" s="1789" t="s">
        <v>622</v>
      </c>
      <c r="Z45" s="1789"/>
      <c r="AA45" s="1789"/>
      <c r="AB45" s="1789"/>
      <c r="AC45" s="1789"/>
      <c r="AD45" s="1789"/>
      <c r="AE45" s="1789"/>
      <c r="AF45" s="1789"/>
      <c r="AG45" s="1789"/>
      <c r="AH45" s="1789"/>
      <c r="AI45" s="1789"/>
      <c r="AJ45" s="1789"/>
    </row>
    <row r="46" spans="2:47" ht="14.25" customHeight="1">
      <c r="B46" s="1788"/>
      <c r="C46" s="1788"/>
      <c r="D46" s="1788"/>
      <c r="E46" s="1788"/>
      <c r="F46" s="1788"/>
      <c r="G46" s="1788"/>
      <c r="H46" s="1788"/>
      <c r="I46" s="1788"/>
      <c r="J46" s="1788"/>
      <c r="K46" s="1788"/>
      <c r="L46" s="1788"/>
      <c r="M46" s="1788"/>
      <c r="N46" s="1789"/>
      <c r="O46" s="1789"/>
      <c r="P46" s="1789"/>
      <c r="Q46" s="1789"/>
      <c r="R46" s="1789"/>
      <c r="S46" s="1789"/>
      <c r="T46" s="1789"/>
      <c r="U46" s="1789"/>
      <c r="V46" s="1789"/>
      <c r="W46" s="1789"/>
      <c r="X46" s="1789"/>
      <c r="Y46" s="1789"/>
      <c r="Z46" s="1789"/>
      <c r="AA46" s="1789"/>
      <c r="AB46" s="1789"/>
      <c r="AC46" s="1789"/>
      <c r="AD46" s="1789"/>
      <c r="AE46" s="1789"/>
      <c r="AF46" s="1789"/>
      <c r="AG46" s="1789"/>
      <c r="AH46" s="1789"/>
      <c r="AI46" s="1789"/>
      <c r="AJ46" s="1789"/>
    </row>
    <row r="47" spans="2:47">
      <c r="B47" s="1788"/>
      <c r="C47" s="1788"/>
      <c r="D47" s="1788"/>
      <c r="E47" s="1788"/>
      <c r="F47" s="1788"/>
      <c r="G47" s="1788"/>
      <c r="H47" s="1788"/>
      <c r="I47" s="1788"/>
      <c r="J47" s="1788"/>
      <c r="K47" s="1788"/>
      <c r="L47" s="1788"/>
      <c r="M47" s="1788"/>
      <c r="N47" s="1789"/>
      <c r="O47" s="1789"/>
      <c r="P47" s="1789"/>
      <c r="Q47" s="1789"/>
      <c r="R47" s="1789"/>
      <c r="S47" s="1789"/>
      <c r="T47" s="1789"/>
      <c r="U47" s="1789"/>
      <c r="V47" s="1789"/>
      <c r="W47" s="1789"/>
      <c r="X47" s="1789"/>
      <c r="Y47" s="1789"/>
      <c r="Z47" s="1789"/>
      <c r="AA47" s="1789"/>
      <c r="AB47" s="1789"/>
      <c r="AC47" s="1789"/>
      <c r="AD47" s="1789"/>
      <c r="AE47" s="1789"/>
      <c r="AF47" s="1789"/>
      <c r="AG47" s="1789"/>
      <c r="AH47" s="1789"/>
      <c r="AI47" s="1789"/>
      <c r="AJ47" s="1789"/>
    </row>
    <row r="52" spans="39:39">
      <c r="AM52" s="1156"/>
    </row>
  </sheetData>
  <sheetProtection algorithmName="SHA-512" hashValue="FHuPrRRAhxlXmGKfnVuiGYsdGkbNu87Gh28D3Gxx4yoi1AMCdAyETbX6nHtirnHnOViY4fQECyH16MWs43IS5g==" saltValue="snco9wYaWUVJ3Ah/W1btuQ==" spinCount="100000" sheet="1" objects="1" scenarios="1"/>
  <mergeCells count="202">
    <mergeCell ref="B46:M47"/>
    <mergeCell ref="N46:X47"/>
    <mergeCell ref="Y46:AJ47"/>
    <mergeCell ref="M43:Q43"/>
    <mergeCell ref="R43:AA44"/>
    <mergeCell ref="AB43:AJ44"/>
    <mergeCell ref="B44:L44"/>
    <mergeCell ref="M44:Q44"/>
    <mergeCell ref="B45:M45"/>
    <mergeCell ref="N45:X45"/>
    <mergeCell ref="Y45:AJ45"/>
    <mergeCell ref="AS41:AU41"/>
    <mergeCell ref="M42:Q42"/>
    <mergeCell ref="R42:T42"/>
    <mergeCell ref="U42:AB42"/>
    <mergeCell ref="AC42:AG42"/>
    <mergeCell ref="AH42:AJ42"/>
    <mergeCell ref="AK42:AL42"/>
    <mergeCell ref="AP42:AR42"/>
    <mergeCell ref="AS42:AU42"/>
    <mergeCell ref="M41:Q41"/>
    <mergeCell ref="R41:T41"/>
    <mergeCell ref="U41:Y41"/>
    <mergeCell ref="AC41:AG41"/>
    <mergeCell ref="AH41:AJ41"/>
    <mergeCell ref="AP41:AR41"/>
    <mergeCell ref="M39:T39"/>
    <mergeCell ref="U39:AB39"/>
    <mergeCell ref="AC39:AJ39"/>
    <mergeCell ref="M40:Q40"/>
    <mergeCell ref="R40:T40"/>
    <mergeCell ref="U40:Y40"/>
    <mergeCell ref="AC40:AG40"/>
    <mergeCell ref="AH40:AJ40"/>
    <mergeCell ref="M38:P38"/>
    <mergeCell ref="Q38:T38"/>
    <mergeCell ref="U38:X38"/>
    <mergeCell ref="Y38:AB38"/>
    <mergeCell ref="AC38:AF38"/>
    <mergeCell ref="AG38:AJ38"/>
    <mergeCell ref="M37:P37"/>
    <mergeCell ref="Q37:T37"/>
    <mergeCell ref="U37:X37"/>
    <mergeCell ref="Y37:AB37"/>
    <mergeCell ref="AC37:AF37"/>
    <mergeCell ref="AG37:AJ37"/>
    <mergeCell ref="M36:P36"/>
    <mergeCell ref="Q36:T36"/>
    <mergeCell ref="U36:X36"/>
    <mergeCell ref="Y36:AB36"/>
    <mergeCell ref="AC36:AF36"/>
    <mergeCell ref="AG36:AJ36"/>
    <mergeCell ref="M35:P35"/>
    <mergeCell ref="Q35:T35"/>
    <mergeCell ref="U35:X35"/>
    <mergeCell ref="Y35:AB35"/>
    <mergeCell ref="AC35:AF35"/>
    <mergeCell ref="AG35:AJ35"/>
    <mergeCell ref="M34:P34"/>
    <mergeCell ref="Q34:T34"/>
    <mergeCell ref="U34:X34"/>
    <mergeCell ref="Y34:AB34"/>
    <mergeCell ref="AC34:AF34"/>
    <mergeCell ref="AG34:AJ34"/>
    <mergeCell ref="M33:P33"/>
    <mergeCell ref="Q33:T33"/>
    <mergeCell ref="U33:X33"/>
    <mergeCell ref="Y33:AB33"/>
    <mergeCell ref="AC33:AF33"/>
    <mergeCell ref="AG33:AJ33"/>
    <mergeCell ref="M32:P32"/>
    <mergeCell ref="Q32:T32"/>
    <mergeCell ref="U32:X32"/>
    <mergeCell ref="Y32:AB32"/>
    <mergeCell ref="AC32:AF32"/>
    <mergeCell ref="AG32:AJ32"/>
    <mergeCell ref="M31:P31"/>
    <mergeCell ref="Q31:T31"/>
    <mergeCell ref="U31:X31"/>
    <mergeCell ref="Y31:AB31"/>
    <mergeCell ref="AC31:AF31"/>
    <mergeCell ref="AG31:AJ31"/>
    <mergeCell ref="M30:P30"/>
    <mergeCell ref="Q30:T30"/>
    <mergeCell ref="U30:X30"/>
    <mergeCell ref="Y30:AB30"/>
    <mergeCell ref="AC30:AF30"/>
    <mergeCell ref="AG30:AJ30"/>
    <mergeCell ref="M29:P29"/>
    <mergeCell ref="Q29:T29"/>
    <mergeCell ref="U29:X29"/>
    <mergeCell ref="Y29:AB29"/>
    <mergeCell ref="AC29:AF29"/>
    <mergeCell ref="AG29:AJ29"/>
    <mergeCell ref="M28:P28"/>
    <mergeCell ref="Q28:T28"/>
    <mergeCell ref="U28:X28"/>
    <mergeCell ref="Y28:AB28"/>
    <mergeCell ref="AC28:AF28"/>
    <mergeCell ref="AG28:AJ28"/>
    <mergeCell ref="M27:P27"/>
    <mergeCell ref="Q27:T27"/>
    <mergeCell ref="U27:X27"/>
    <mergeCell ref="Y27:AB27"/>
    <mergeCell ref="AC27:AF27"/>
    <mergeCell ref="AG27:AJ27"/>
    <mergeCell ref="M26:P26"/>
    <mergeCell ref="Q26:T26"/>
    <mergeCell ref="U26:X26"/>
    <mergeCell ref="Y26:AB26"/>
    <mergeCell ref="AC26:AF26"/>
    <mergeCell ref="AG26:AJ26"/>
    <mergeCell ref="M25:P25"/>
    <mergeCell ref="Q25:T25"/>
    <mergeCell ref="U25:X25"/>
    <mergeCell ref="Y25:AB25"/>
    <mergeCell ref="AC25:AF25"/>
    <mergeCell ref="AG25:AJ25"/>
    <mergeCell ref="M24:P24"/>
    <mergeCell ref="Q24:T24"/>
    <mergeCell ref="U24:X24"/>
    <mergeCell ref="Y24:AB24"/>
    <mergeCell ref="AC24:AF24"/>
    <mergeCell ref="AG24:AJ24"/>
    <mergeCell ref="M23:P23"/>
    <mergeCell ref="Q23:T23"/>
    <mergeCell ref="U23:X23"/>
    <mergeCell ref="Y23:AB23"/>
    <mergeCell ref="AC23:AF23"/>
    <mergeCell ref="AG23:AJ23"/>
    <mergeCell ref="M22:P22"/>
    <mergeCell ref="Q22:T22"/>
    <mergeCell ref="U22:X22"/>
    <mergeCell ref="Y22:AB22"/>
    <mergeCell ref="AC22:AF22"/>
    <mergeCell ref="AG22:AJ22"/>
    <mergeCell ref="AT20:AU20"/>
    <mergeCell ref="M21:P21"/>
    <mergeCell ref="Q21:T21"/>
    <mergeCell ref="U21:X21"/>
    <mergeCell ref="Y21:AB21"/>
    <mergeCell ref="AC21:AF21"/>
    <mergeCell ref="AG21:AJ21"/>
    <mergeCell ref="M20:P20"/>
    <mergeCell ref="Q20:T20"/>
    <mergeCell ref="U20:X20"/>
    <mergeCell ref="Y20:AB20"/>
    <mergeCell ref="AC20:AF20"/>
    <mergeCell ref="AG20:AJ20"/>
    <mergeCell ref="M19:P19"/>
    <mergeCell ref="Q19:T19"/>
    <mergeCell ref="U19:X19"/>
    <mergeCell ref="Y19:AB19"/>
    <mergeCell ref="AC19:AF19"/>
    <mergeCell ref="AG19:AJ19"/>
    <mergeCell ref="M18:P18"/>
    <mergeCell ref="Q18:T18"/>
    <mergeCell ref="U18:X18"/>
    <mergeCell ref="Y18:AB18"/>
    <mergeCell ref="AC18:AF18"/>
    <mergeCell ref="AG18:AJ18"/>
    <mergeCell ref="AP16:AQ16"/>
    <mergeCell ref="AR16:AS16"/>
    <mergeCell ref="AT16:AU16"/>
    <mergeCell ref="M17:P17"/>
    <mergeCell ref="Q17:T17"/>
    <mergeCell ref="U17:X17"/>
    <mergeCell ref="Y17:AB17"/>
    <mergeCell ref="AC17:AF17"/>
    <mergeCell ref="AG17:AJ17"/>
    <mergeCell ref="M16:P16"/>
    <mergeCell ref="Q16:T16"/>
    <mergeCell ref="U16:X16"/>
    <mergeCell ref="Y16:AB16"/>
    <mergeCell ref="AC16:AF16"/>
    <mergeCell ref="AG16:AJ16"/>
    <mergeCell ref="AK14:AL14"/>
    <mergeCell ref="M15:P15"/>
    <mergeCell ref="Q15:T15"/>
    <mergeCell ref="U15:X15"/>
    <mergeCell ref="Y15:AB15"/>
    <mergeCell ref="AC15:AF15"/>
    <mergeCell ref="AG15:AJ15"/>
    <mergeCell ref="B12:F12"/>
    <mergeCell ref="G12:I12"/>
    <mergeCell ref="O12:P12"/>
    <mergeCell ref="B13:AJ13"/>
    <mergeCell ref="M14:T14"/>
    <mergeCell ref="U14:AB14"/>
    <mergeCell ref="AC14:AJ14"/>
    <mergeCell ref="E10:K10"/>
    <mergeCell ref="Q10:W10"/>
    <mergeCell ref="AC10:AJ10"/>
    <mergeCell ref="B11:F11"/>
    <mergeCell ref="G11:I11"/>
    <mergeCell ref="O11:P11"/>
    <mergeCell ref="AG11:AJ11"/>
    <mergeCell ref="D1:AL1"/>
    <mergeCell ref="B7:AJ7"/>
    <mergeCell ref="E9:K9"/>
    <mergeCell ref="O9:W9"/>
    <mergeCell ref="AA9:AJ9"/>
  </mergeCells>
  <conditionalFormatting sqref="AL17:AL18 M17:AJ18">
    <cfRule type="cellIs" dxfId="40" priority="7" stopIfTrue="1" operator="greaterThan">
      <formula>0</formula>
    </cfRule>
    <cfRule type="cellIs" dxfId="39" priority="8" stopIfTrue="1" operator="lessThan">
      <formula>-42</formula>
    </cfRule>
  </conditionalFormatting>
  <conditionalFormatting sqref="M16:AJ16 AL16">
    <cfRule type="cellIs" dxfId="38" priority="9" stopIfTrue="1" operator="lessThan">
      <formula>1</formula>
    </cfRule>
    <cfRule type="cellIs" dxfId="37" priority="10" stopIfTrue="1" operator="greaterThan">
      <formula>400</formula>
    </cfRule>
  </conditionalFormatting>
  <conditionalFormatting sqref="O11:P11">
    <cfRule type="cellIs" dxfId="36" priority="11" stopIfTrue="1" operator="notBetween">
      <formula>-2</formula>
      <formula>5</formula>
    </cfRule>
  </conditionalFormatting>
  <conditionalFormatting sqref="AS18:AU18 AP18">
    <cfRule type="expression" dxfId="35" priority="12" stopIfTrue="1">
      <formula>AP$19&gt;=98</formula>
    </cfRule>
    <cfRule type="expression" dxfId="34" priority="13" stopIfTrue="1">
      <formula>AP$19&gt;=95</formula>
    </cfRule>
  </conditionalFormatting>
  <conditionalFormatting sqref="AP19 AS19:AU19 AS27:AT27">
    <cfRule type="cellIs" dxfId="33" priority="14" stopIfTrue="1" operator="greaterThanOrEqual">
      <formula>98</formula>
    </cfRule>
    <cfRule type="cellIs" dxfId="32" priority="15" stopIfTrue="1" operator="greaterThanOrEqual">
      <formula>95</formula>
    </cfRule>
  </conditionalFormatting>
  <conditionalFormatting sqref="AK17:AK18">
    <cfRule type="cellIs" dxfId="31" priority="3" stopIfTrue="1" operator="greaterThan">
      <formula>0</formula>
    </cfRule>
    <cfRule type="cellIs" dxfId="30" priority="4" stopIfTrue="1" operator="lessThan">
      <formula>-42</formula>
    </cfRule>
  </conditionalFormatting>
  <conditionalFormatting sqref="AK16">
    <cfRule type="cellIs" dxfId="29" priority="5" stopIfTrue="1" operator="lessThan">
      <formula>1</formula>
    </cfRule>
    <cfRule type="cellIs" dxfId="28" priority="6" stopIfTrue="1" operator="greaterThan">
      <formula>400</formula>
    </cfRule>
  </conditionalFormatting>
  <conditionalFormatting sqref="AS34:AT34">
    <cfRule type="cellIs" dxfId="27" priority="1" stopIfTrue="1" operator="greaterThanOrEqual">
      <formula>98</formula>
    </cfRule>
    <cfRule type="cellIs" dxfId="26" priority="2" stopIfTrue="1" operator="greaterThanOrEqual">
      <formula>95</formula>
    </cfRule>
  </conditionalFormatting>
  <conditionalFormatting sqref="AQ18:AR18">
    <cfRule type="expression" dxfId="25" priority="18" stopIfTrue="1">
      <formula>AS$27&gt;=98</formula>
    </cfRule>
    <cfRule type="expression" dxfId="24" priority="19" stopIfTrue="1">
      <formula>AS$27&gt;=95</formula>
    </cfRule>
  </conditionalFormatting>
  <pageMargins left="0.7" right="0.7" top="0.75" bottom="0.75" header="0.3" footer="0.3"/>
  <pageSetup paperSize="9" scale="73" orientation="portrait" r:id="rId1"/>
  <colBreaks count="1" manualBreakCount="1">
    <brk id="39"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95A45-6BF7-43D6-B063-02355F9601E7}">
  <sheetPr codeName="Feuil14"/>
  <dimension ref="A1:AX47"/>
  <sheetViews>
    <sheetView showRowColHeaders="0" zoomScaleNormal="100" workbookViewId="0">
      <selection activeCell="AQ6" sqref="AQ6"/>
    </sheetView>
  </sheetViews>
  <sheetFormatPr baseColWidth="10" defaultColWidth="9.1796875" defaultRowHeight="12.5"/>
  <cols>
    <col min="1" max="10" width="2.453125" style="1046" customWidth="1"/>
    <col min="11" max="11" width="4" style="1046" customWidth="1"/>
    <col min="12" max="36" width="2.453125" style="1046" customWidth="1"/>
    <col min="37" max="37" width="9.81640625" style="1046" customWidth="1"/>
    <col min="38" max="38" width="9.453125" style="1046" customWidth="1"/>
    <col min="39" max="41" width="8.7265625" style="1046" customWidth="1"/>
    <col min="42" max="42" width="10.08984375" style="1046" customWidth="1"/>
    <col min="43" max="43" width="8.90625" style="1046" customWidth="1"/>
    <col min="44" max="256" width="11.453125" style="1046" customWidth="1"/>
    <col min="257" max="16384" width="9.1796875" style="1046"/>
  </cols>
  <sheetData>
    <row r="1" spans="1:48">
      <c r="Z1" s="1799"/>
      <c r="AA1" s="1799"/>
      <c r="AB1" s="1799"/>
      <c r="AC1" s="1799"/>
      <c r="AD1" s="1799"/>
      <c r="AE1" s="1799"/>
      <c r="AF1" s="1799"/>
      <c r="AG1" s="1799"/>
      <c r="AH1" s="1799"/>
      <c r="AI1" s="1799"/>
      <c r="AJ1" s="1799"/>
      <c r="AP1" s="1047"/>
      <c r="AQ1" s="1047"/>
      <c r="AR1" s="1047"/>
      <c r="AS1" s="1047"/>
      <c r="AT1" s="1047"/>
      <c r="AU1" s="1047"/>
      <c r="AV1" s="1048"/>
    </row>
    <row r="2" spans="1:48">
      <c r="Z2" s="1049"/>
      <c r="AA2" s="1049"/>
      <c r="AB2" s="1049"/>
      <c r="AC2" s="1049"/>
      <c r="AD2" s="1049"/>
      <c r="AE2" s="1049"/>
      <c r="AF2" s="1049"/>
      <c r="AG2" s="1049"/>
      <c r="AH2" s="1049"/>
      <c r="AI2" s="1049"/>
      <c r="AJ2" s="1049"/>
      <c r="AP2" s="1047"/>
      <c r="AQ2" s="1047"/>
      <c r="AR2" s="1047"/>
      <c r="AS2" s="1047"/>
      <c r="AT2" s="1047"/>
      <c r="AU2" s="1047"/>
      <c r="AV2" s="1048"/>
    </row>
    <row r="3" spans="1:48">
      <c r="Z3" s="1049"/>
      <c r="AA3" s="1050"/>
      <c r="AB3" s="1049"/>
      <c r="AC3" s="1049"/>
      <c r="AD3" s="1049"/>
      <c r="AE3" s="1049"/>
      <c r="AF3" s="1049"/>
      <c r="AG3" s="1049"/>
      <c r="AH3" s="1049"/>
      <c r="AI3" s="1049"/>
      <c r="AJ3" s="1049"/>
      <c r="AK3" s="1049"/>
      <c r="AP3" s="1047"/>
      <c r="AQ3" s="1047"/>
      <c r="AR3" s="1047"/>
      <c r="AS3" s="1047"/>
      <c r="AT3" s="1047"/>
      <c r="AU3" s="1047"/>
      <c r="AV3" s="1048"/>
    </row>
    <row r="4" spans="1:48">
      <c r="Z4" s="1049"/>
      <c r="AA4" s="1049"/>
      <c r="AB4" s="1049"/>
      <c r="AC4" s="1049"/>
      <c r="AD4" s="1049"/>
      <c r="AE4" s="1049"/>
      <c r="AF4" s="1049"/>
      <c r="AG4" s="1049"/>
      <c r="AH4" s="1049"/>
      <c r="AI4" s="1049"/>
      <c r="AJ4" s="1049"/>
      <c r="AP4" s="1047"/>
      <c r="AQ4" s="1047"/>
      <c r="AR4" s="1047"/>
      <c r="AS4" s="1047"/>
      <c r="AT4" s="1047"/>
      <c r="AU4" s="1047"/>
      <c r="AV4" s="1048"/>
    </row>
    <row r="5" spans="1:48">
      <c r="Z5" s="1049"/>
      <c r="AA5" s="1049"/>
      <c r="AB5" s="1049"/>
      <c r="AC5" s="1049"/>
      <c r="AD5" s="1049"/>
      <c r="AE5" s="1049"/>
      <c r="AF5" s="1049"/>
      <c r="AG5" s="1049"/>
      <c r="AH5" s="1049"/>
      <c r="AI5" s="1049"/>
      <c r="AJ5" s="1049"/>
      <c r="AP5" s="1047"/>
      <c r="AQ5" s="1047"/>
      <c r="AR5" s="1047"/>
      <c r="AS5" s="1047"/>
      <c r="AT5" s="1047"/>
      <c r="AU5" s="1047"/>
      <c r="AV5" s="1048"/>
    </row>
    <row r="6" spans="1:48" ht="18.75" customHeight="1">
      <c r="A6" s="1051"/>
      <c r="B6" s="1686" t="s">
        <v>564</v>
      </c>
      <c r="C6" s="1686"/>
      <c r="D6" s="1686"/>
      <c r="E6" s="1686"/>
      <c r="F6" s="1686"/>
      <c r="G6" s="1686"/>
      <c r="H6" s="1686"/>
      <c r="I6" s="1686"/>
      <c r="J6" s="1686"/>
      <c r="K6" s="1686"/>
      <c r="L6" s="1686"/>
      <c r="M6" s="1686"/>
      <c r="N6" s="1686"/>
      <c r="O6" s="1686"/>
      <c r="P6" s="1686"/>
      <c r="Q6" s="1686"/>
      <c r="R6" s="1686"/>
      <c r="S6" s="1686"/>
      <c r="T6" s="1686"/>
      <c r="U6" s="1686"/>
      <c r="V6" s="1686"/>
      <c r="W6" s="1686"/>
      <c r="X6" s="1686"/>
      <c r="Y6" s="1686"/>
      <c r="Z6" s="1686"/>
      <c r="AA6" s="1686"/>
      <c r="AB6" s="1686"/>
      <c r="AC6" s="1686"/>
      <c r="AD6" s="1686"/>
      <c r="AE6" s="1686"/>
      <c r="AF6" s="1686"/>
      <c r="AG6" s="1686"/>
      <c r="AH6" s="1686"/>
      <c r="AI6" s="1686"/>
      <c r="AJ6" s="1686"/>
      <c r="AP6" s="1052"/>
      <c r="AQ6" s="1052"/>
      <c r="AR6" s="1052"/>
      <c r="AS6" s="1052"/>
      <c r="AT6" s="1052"/>
      <c r="AU6" s="1052"/>
      <c r="AV6" s="1048"/>
    </row>
    <row r="7" spans="1:48" ht="15" customHeight="1">
      <c r="A7" s="1053"/>
      <c r="B7" s="1687"/>
      <c r="C7" s="1687"/>
      <c r="D7" s="1687"/>
      <c r="E7" s="1687"/>
      <c r="F7" s="1687"/>
      <c r="G7" s="1687"/>
      <c r="H7" s="1687"/>
      <c r="I7" s="1687"/>
      <c r="J7" s="1687"/>
      <c r="K7" s="1687"/>
      <c r="L7" s="1687"/>
      <c r="M7" s="1687"/>
      <c r="N7" s="1687"/>
      <c r="O7" s="1687"/>
      <c r="P7" s="1687"/>
      <c r="Q7" s="1687"/>
      <c r="R7" s="1687"/>
      <c r="S7" s="1687"/>
      <c r="T7" s="1687"/>
      <c r="U7" s="1687"/>
      <c r="V7" s="1687"/>
      <c r="W7" s="1687"/>
      <c r="X7" s="1687"/>
      <c r="Y7" s="1687"/>
      <c r="Z7" s="1687"/>
      <c r="AA7" s="1687"/>
      <c r="AB7" s="1687"/>
      <c r="AC7" s="1687"/>
      <c r="AD7" s="1687"/>
      <c r="AE7" s="1687"/>
      <c r="AF7" s="1687"/>
      <c r="AG7" s="1687"/>
      <c r="AH7" s="1687"/>
      <c r="AI7" s="1687"/>
      <c r="AJ7" s="1687"/>
      <c r="AP7" s="1054"/>
      <c r="AQ7" s="1054"/>
      <c r="AR7" s="1054"/>
      <c r="AS7" s="1054"/>
      <c r="AT7" s="1054"/>
      <c r="AU7" s="1054"/>
    </row>
    <row r="8" spans="1:48" ht="2.25" customHeight="1" thickBot="1">
      <c r="AH8" s="1055"/>
      <c r="AI8" s="1055"/>
      <c r="AJ8" s="1055"/>
      <c r="AP8" s="1054"/>
      <c r="AQ8" s="1054"/>
      <c r="AR8" s="1054"/>
      <c r="AS8" s="1054"/>
      <c r="AT8" s="1054"/>
      <c r="AU8" s="1054"/>
      <c r="AV8" s="1056"/>
    </row>
    <row r="9" spans="1:48" ht="13.5" thickTop="1">
      <c r="B9" s="1057" t="s">
        <v>565</v>
      </c>
      <c r="C9" s="1058"/>
      <c r="D9" s="1058"/>
      <c r="E9" s="1688"/>
      <c r="F9" s="1689"/>
      <c r="G9" s="1689"/>
      <c r="H9" s="1689"/>
      <c r="I9" s="1689"/>
      <c r="J9" s="1689"/>
      <c r="K9" s="1690"/>
      <c r="L9" s="1059" t="s">
        <v>567</v>
      </c>
      <c r="M9" s="1058"/>
      <c r="N9" s="1059"/>
      <c r="O9" s="1691" t="s">
        <v>568</v>
      </c>
      <c r="P9" s="1691"/>
      <c r="Q9" s="1691"/>
      <c r="R9" s="1691"/>
      <c r="S9" s="1691"/>
      <c r="T9" s="1691"/>
      <c r="U9" s="1691"/>
      <c r="V9" s="1691"/>
      <c r="W9" s="1692"/>
      <c r="X9" s="1060" t="s">
        <v>569</v>
      </c>
      <c r="Y9" s="1059"/>
      <c r="Z9" s="1059"/>
      <c r="AA9" s="1693">
        <v>44191</v>
      </c>
      <c r="AB9" s="1693"/>
      <c r="AC9" s="1693"/>
      <c r="AD9" s="1693"/>
      <c r="AE9" s="1693"/>
      <c r="AF9" s="1693"/>
      <c r="AG9" s="1693"/>
      <c r="AH9" s="1693"/>
      <c r="AI9" s="1693"/>
      <c r="AJ9" s="1694"/>
      <c r="AP9" s="1054"/>
      <c r="AQ9" s="1054"/>
      <c r="AR9" s="1054"/>
      <c r="AS9" s="1054"/>
      <c r="AT9" s="1054"/>
      <c r="AU9" s="1054"/>
    </row>
    <row r="10" spans="1:48" ht="13.5" thickBot="1">
      <c r="B10" s="1061" t="s">
        <v>570</v>
      </c>
      <c r="C10" s="1055"/>
      <c r="D10" s="1055"/>
      <c r="E10" s="1674" t="s">
        <v>571</v>
      </c>
      <c r="F10" s="1674"/>
      <c r="G10" s="1674"/>
      <c r="H10" s="1674"/>
      <c r="I10" s="1674"/>
      <c r="J10" s="1674"/>
      <c r="K10" s="1675"/>
      <c r="L10" s="1062"/>
      <c r="M10" s="1055"/>
      <c r="N10" s="1063"/>
      <c r="O10" s="1064"/>
      <c r="P10" s="1064"/>
      <c r="Q10" s="1676"/>
      <c r="R10" s="1676"/>
      <c r="S10" s="1676"/>
      <c r="T10" s="1676"/>
      <c r="U10" s="1676"/>
      <c r="V10" s="1676"/>
      <c r="W10" s="1677"/>
      <c r="X10" s="1062"/>
      <c r="Y10" s="1063"/>
      <c r="Z10" s="1063"/>
      <c r="AA10" s="1064"/>
      <c r="AB10" s="1064"/>
      <c r="AC10" s="1678"/>
      <c r="AD10" s="1678"/>
      <c r="AE10" s="1678"/>
      <c r="AF10" s="1678"/>
      <c r="AG10" s="1678"/>
      <c r="AH10" s="1678"/>
      <c r="AI10" s="1678"/>
      <c r="AJ10" s="1679"/>
      <c r="AP10" s="1054"/>
      <c r="AQ10" s="1054"/>
      <c r="AR10" s="1054"/>
      <c r="AS10" s="1054"/>
      <c r="AT10" s="1054"/>
      <c r="AU10" s="1054"/>
      <c r="AV10" s="1056"/>
    </row>
    <row r="11" spans="1:48" ht="13.5" thickTop="1">
      <c r="B11" s="1680" t="s">
        <v>572</v>
      </c>
      <c r="C11" s="1681"/>
      <c r="D11" s="1681"/>
      <c r="E11" s="1681"/>
      <c r="F11" s="1681"/>
      <c r="G11" s="1682">
        <v>5.8</v>
      </c>
      <c r="H11" s="1682"/>
      <c r="I11" s="1682"/>
      <c r="J11" s="1065" t="s">
        <v>573</v>
      </c>
      <c r="K11" s="1066"/>
      <c r="L11" s="1067" t="s">
        <v>574</v>
      </c>
      <c r="M11" s="1065"/>
      <c r="N11" s="1065"/>
      <c r="O11" s="1683">
        <f>G12-G11</f>
        <v>1.2000000000000002</v>
      </c>
      <c r="P11" s="1683"/>
      <c r="Q11" s="1067" t="s">
        <v>573</v>
      </c>
      <c r="R11" s="1065"/>
      <c r="S11" s="1065"/>
      <c r="T11" s="1065"/>
      <c r="U11" s="1065"/>
      <c r="V11" s="1065"/>
      <c r="W11" s="1066"/>
      <c r="X11" s="1068" t="s">
        <v>575</v>
      </c>
      <c r="Y11" s="1069"/>
      <c r="Z11" s="1069"/>
      <c r="AA11" s="1069"/>
      <c r="AB11" s="1069"/>
      <c r="AC11" s="1069"/>
      <c r="AD11" s="1069"/>
      <c r="AE11" s="1069"/>
      <c r="AF11" s="1069"/>
      <c r="AG11" s="1684">
        <v>1031</v>
      </c>
      <c r="AH11" s="1684"/>
      <c r="AI11" s="1684"/>
      <c r="AJ11" s="1685"/>
      <c r="AP11" s="1054"/>
      <c r="AQ11" s="1054"/>
      <c r="AR11" s="1054"/>
      <c r="AS11" s="1054"/>
      <c r="AT11" s="1054"/>
      <c r="AU11" s="1054"/>
      <c r="AV11" s="1056"/>
    </row>
    <row r="12" spans="1:48" ht="13.5" thickBot="1">
      <c r="B12" s="1698" t="s">
        <v>576</v>
      </c>
      <c r="C12" s="1699"/>
      <c r="D12" s="1699"/>
      <c r="E12" s="1699"/>
      <c r="F12" s="1699"/>
      <c r="G12" s="1700">
        <v>7</v>
      </c>
      <c r="H12" s="1700"/>
      <c r="I12" s="1700"/>
      <c r="J12" s="1070" t="s">
        <v>573</v>
      </c>
      <c r="K12" s="1071"/>
      <c r="L12" s="1072" t="s">
        <v>577</v>
      </c>
      <c r="M12" s="1070"/>
      <c r="N12" s="1070"/>
      <c r="O12" s="1701">
        <v>0</v>
      </c>
      <c r="P12" s="1701"/>
      <c r="Q12" s="1072"/>
      <c r="R12" s="1070"/>
      <c r="S12" s="1070"/>
      <c r="T12" s="1070"/>
      <c r="U12" s="1070"/>
      <c r="V12" s="1070"/>
      <c r="W12" s="1071"/>
      <c r="X12" s="1072"/>
      <c r="Y12" s="1072"/>
      <c r="Z12" s="1072"/>
      <c r="AA12" s="1072"/>
      <c r="AB12" s="1072"/>
      <c r="AC12" s="1072"/>
      <c r="AD12" s="1072"/>
      <c r="AE12" s="1072"/>
      <c r="AF12" s="1070"/>
      <c r="AG12" s="1070"/>
      <c r="AH12" s="1055"/>
      <c r="AI12" s="1055"/>
      <c r="AJ12" s="1073"/>
      <c r="AP12" s="1054"/>
      <c r="AQ12" s="1054"/>
      <c r="AR12" s="1054"/>
      <c r="AS12" s="1054"/>
      <c r="AT12" s="1054"/>
      <c r="AU12" s="1054"/>
      <c r="AV12" s="1056"/>
    </row>
    <row r="13" spans="1:48" ht="14" thickTop="1" thickBot="1">
      <c r="B13" s="1696" t="s">
        <v>623</v>
      </c>
      <c r="C13" s="1696"/>
      <c r="D13" s="1696"/>
      <c r="E13" s="1696"/>
      <c r="F13" s="1696"/>
      <c r="G13" s="1696"/>
      <c r="H13" s="1696"/>
      <c r="I13" s="1696"/>
      <c r="J13" s="1696"/>
      <c r="K13" s="1696"/>
      <c r="L13" s="1696"/>
      <c r="M13" s="1696"/>
      <c r="N13" s="1696"/>
      <c r="O13" s="1696"/>
      <c r="P13" s="1696"/>
      <c r="Q13" s="1696"/>
      <c r="R13" s="1696"/>
      <c r="S13" s="1696"/>
      <c r="T13" s="1696"/>
      <c r="U13" s="1696"/>
      <c r="V13" s="1696"/>
      <c r="W13" s="1696"/>
      <c r="X13" s="1696"/>
      <c r="Y13" s="1696"/>
      <c r="Z13" s="1696"/>
      <c r="AA13" s="1696"/>
      <c r="AB13" s="1696"/>
      <c r="AC13" s="1696"/>
      <c r="AD13" s="1696"/>
      <c r="AE13" s="1696"/>
      <c r="AF13" s="1696"/>
      <c r="AG13" s="1696"/>
      <c r="AH13" s="1696"/>
      <c r="AI13" s="1696"/>
      <c r="AJ13" s="1696"/>
    </row>
    <row r="14" spans="1:48" ht="14" thickTop="1" thickBot="1">
      <c r="B14" s="1074"/>
      <c r="C14" s="1058"/>
      <c r="D14" s="1058"/>
      <c r="E14" s="1058"/>
      <c r="F14" s="1058"/>
      <c r="G14" s="1058"/>
      <c r="H14" s="1058"/>
      <c r="I14" s="1058"/>
      <c r="J14" s="1058"/>
      <c r="K14" s="1058"/>
      <c r="L14" s="1075"/>
      <c r="M14" s="1695" t="s">
        <v>579</v>
      </c>
      <c r="N14" s="1696"/>
      <c r="O14" s="1696"/>
      <c r="P14" s="1696"/>
      <c r="Q14" s="1696"/>
      <c r="R14" s="1696"/>
      <c r="S14" s="1696"/>
      <c r="T14" s="1697"/>
      <c r="U14" s="1695" t="s">
        <v>580</v>
      </c>
      <c r="V14" s="1696"/>
      <c r="W14" s="1696"/>
      <c r="X14" s="1696"/>
      <c r="Y14" s="1696"/>
      <c r="Z14" s="1696"/>
      <c r="AA14" s="1696"/>
      <c r="AB14" s="1697"/>
      <c r="AC14" s="1695" t="s">
        <v>581</v>
      </c>
      <c r="AD14" s="1696"/>
      <c r="AE14" s="1696"/>
      <c r="AF14" s="1696"/>
      <c r="AG14" s="1696"/>
      <c r="AH14" s="1696"/>
      <c r="AI14" s="1696"/>
      <c r="AJ14" s="1696"/>
      <c r="AK14" s="1695" t="s">
        <v>582</v>
      </c>
      <c r="AL14" s="1696"/>
    </row>
    <row r="15" spans="1:48" ht="14" thickTop="1" thickBot="1">
      <c r="B15" s="1076"/>
      <c r="C15" s="1055"/>
      <c r="D15" s="1055"/>
      <c r="E15" s="1055"/>
      <c r="F15" s="1055"/>
      <c r="G15" s="1055"/>
      <c r="H15" s="1055"/>
      <c r="I15" s="1055"/>
      <c r="J15" s="1055"/>
      <c r="K15" s="1055"/>
      <c r="L15" s="1077"/>
      <c r="M15" s="1695" t="s">
        <v>583</v>
      </c>
      <c r="N15" s="1696"/>
      <c r="O15" s="1696"/>
      <c r="P15" s="1697"/>
      <c r="Q15" s="1695" t="s">
        <v>584</v>
      </c>
      <c r="R15" s="1696"/>
      <c r="S15" s="1696"/>
      <c r="T15" s="1697"/>
      <c r="U15" s="1695" t="s">
        <v>583</v>
      </c>
      <c r="V15" s="1696"/>
      <c r="W15" s="1696"/>
      <c r="X15" s="1697"/>
      <c r="Y15" s="1695" t="s">
        <v>584</v>
      </c>
      <c r="Z15" s="1696"/>
      <c r="AA15" s="1696"/>
      <c r="AB15" s="1697"/>
      <c r="AC15" s="1695" t="s">
        <v>583</v>
      </c>
      <c r="AD15" s="1696"/>
      <c r="AE15" s="1696"/>
      <c r="AF15" s="1697"/>
      <c r="AG15" s="1695" t="s">
        <v>584</v>
      </c>
      <c r="AH15" s="1696"/>
      <c r="AI15" s="1696"/>
      <c r="AJ15" s="1696"/>
      <c r="AK15" s="1078" t="s">
        <v>583</v>
      </c>
      <c r="AL15" s="1079" t="s">
        <v>584</v>
      </c>
    </row>
    <row r="16" spans="1:48" ht="17" thickTop="1">
      <c r="B16" s="1080" t="s">
        <v>585</v>
      </c>
      <c r="C16" s="1081"/>
      <c r="D16" s="1081"/>
      <c r="E16" s="1081"/>
      <c r="F16" s="1081"/>
      <c r="G16" s="1081"/>
      <c r="H16" s="1081"/>
      <c r="I16" s="1081"/>
      <c r="J16" s="1081"/>
      <c r="K16" s="1081"/>
      <c r="L16" s="1082"/>
      <c r="M16" s="1706">
        <v>28</v>
      </c>
      <c r="N16" s="1707"/>
      <c r="O16" s="1707"/>
      <c r="P16" s="1708"/>
      <c r="Q16" s="1706">
        <v>28</v>
      </c>
      <c r="R16" s="1707"/>
      <c r="S16" s="1707"/>
      <c r="T16" s="1708"/>
      <c r="U16" s="1706">
        <v>28</v>
      </c>
      <c r="V16" s="1707"/>
      <c r="W16" s="1707"/>
      <c r="X16" s="1708"/>
      <c r="Y16" s="1706">
        <v>28</v>
      </c>
      <c r="Z16" s="1707"/>
      <c r="AA16" s="1707"/>
      <c r="AB16" s="1708"/>
      <c r="AC16" s="1706">
        <v>29</v>
      </c>
      <c r="AD16" s="1707"/>
      <c r="AE16" s="1707"/>
      <c r="AF16" s="1708"/>
      <c r="AG16" s="1706">
        <v>29</v>
      </c>
      <c r="AH16" s="1707"/>
      <c r="AI16" s="1707"/>
      <c r="AJ16" s="1707"/>
      <c r="AK16" s="1083">
        <v>0</v>
      </c>
      <c r="AL16" s="1084">
        <v>0</v>
      </c>
      <c r="AP16" s="1702"/>
      <c r="AQ16" s="1702"/>
      <c r="AR16" s="1702"/>
      <c r="AS16" s="1702"/>
      <c r="AT16" s="1702"/>
      <c r="AU16" s="1702"/>
    </row>
    <row r="17" spans="2:50" ht="16.5">
      <c r="B17" s="1085" t="s">
        <v>586</v>
      </c>
      <c r="C17" s="1086"/>
      <c r="D17" s="1086"/>
      <c r="E17" s="1086"/>
      <c r="F17" s="1086"/>
      <c r="G17" s="1086"/>
      <c r="H17" s="1086"/>
      <c r="I17" s="1086"/>
      <c r="J17" s="1086"/>
      <c r="K17" s="1086"/>
      <c r="L17" s="1087"/>
      <c r="M17" s="1703">
        <v>-17.100000000000001</v>
      </c>
      <c r="N17" s="1704"/>
      <c r="O17" s="1704"/>
      <c r="P17" s="1705"/>
      <c r="Q17" s="1703">
        <v>-16.8</v>
      </c>
      <c r="R17" s="1704"/>
      <c r="S17" s="1704"/>
      <c r="T17" s="1705"/>
      <c r="U17" s="1703">
        <v>-19.8</v>
      </c>
      <c r="V17" s="1704"/>
      <c r="W17" s="1704"/>
      <c r="X17" s="1705"/>
      <c r="Y17" s="1703">
        <v>-20.9</v>
      </c>
      <c r="Z17" s="1704"/>
      <c r="AA17" s="1704"/>
      <c r="AB17" s="1705"/>
      <c r="AC17" s="1703">
        <v>-16.399999999999999</v>
      </c>
      <c r="AD17" s="1704"/>
      <c r="AE17" s="1704"/>
      <c r="AF17" s="1705"/>
      <c r="AG17" s="1703">
        <v>-16.899999999999999</v>
      </c>
      <c r="AH17" s="1704"/>
      <c r="AI17" s="1704"/>
      <c r="AJ17" s="1704"/>
      <c r="AK17" s="1088">
        <v>0</v>
      </c>
      <c r="AL17" s="1089">
        <v>0</v>
      </c>
      <c r="AP17" s="1090"/>
      <c r="AQ17" s="1090"/>
      <c r="AR17" s="1090"/>
      <c r="AS17" s="1090"/>
      <c r="AT17" s="1090"/>
      <c r="AU17" s="1090"/>
    </row>
    <row r="18" spans="2:50" ht="16.5">
      <c r="B18" s="1085" t="s">
        <v>587</v>
      </c>
      <c r="C18" s="1086"/>
      <c r="D18" s="1086"/>
      <c r="E18" s="1086"/>
      <c r="F18" s="1086"/>
      <c r="G18" s="1086"/>
      <c r="H18" s="1086"/>
      <c r="I18" s="1086"/>
      <c r="J18" s="1086"/>
      <c r="K18" s="1086"/>
      <c r="L18" s="1087"/>
      <c r="M18" s="1703">
        <v>-32.9</v>
      </c>
      <c r="N18" s="1704"/>
      <c r="O18" s="1704"/>
      <c r="P18" s="1705"/>
      <c r="Q18" s="1703">
        <v>-32.9</v>
      </c>
      <c r="R18" s="1704"/>
      <c r="S18" s="1704"/>
      <c r="T18" s="1705"/>
      <c r="U18" s="1703">
        <v>-33</v>
      </c>
      <c r="V18" s="1704"/>
      <c r="W18" s="1704"/>
      <c r="X18" s="1705"/>
      <c r="Y18" s="1703">
        <v>-32.799999999999997</v>
      </c>
      <c r="Z18" s="1704"/>
      <c r="AA18" s="1704"/>
      <c r="AB18" s="1705"/>
      <c r="AC18" s="1703">
        <v>-32.9</v>
      </c>
      <c r="AD18" s="1704"/>
      <c r="AE18" s="1704"/>
      <c r="AF18" s="1705"/>
      <c r="AG18" s="1703">
        <v>-32.799999999999997</v>
      </c>
      <c r="AH18" s="1704"/>
      <c r="AI18" s="1704"/>
      <c r="AJ18" s="1704"/>
      <c r="AK18" s="1088">
        <v>0</v>
      </c>
      <c r="AL18" s="1089">
        <v>0</v>
      </c>
      <c r="AP18" s="1091"/>
      <c r="AQ18" s="1091"/>
      <c r="AR18" s="1091"/>
      <c r="AS18" s="1091"/>
      <c r="AT18" s="1091"/>
      <c r="AU18" s="1091"/>
    </row>
    <row r="19" spans="2:50" ht="16.5">
      <c r="B19" s="1085" t="s">
        <v>588</v>
      </c>
      <c r="C19" s="1086"/>
      <c r="D19" s="1086"/>
      <c r="E19" s="1086"/>
      <c r="F19" s="1086"/>
      <c r="G19" s="1086"/>
      <c r="H19" s="1086"/>
      <c r="I19" s="1086"/>
      <c r="J19" s="1086"/>
      <c r="K19" s="1086"/>
      <c r="L19" s="1087"/>
      <c r="M19" s="1800">
        <v>447</v>
      </c>
      <c r="N19" s="1801"/>
      <c r="O19" s="1801"/>
      <c r="P19" s="1802"/>
      <c r="Q19" s="1800">
        <v>456</v>
      </c>
      <c r="R19" s="1801"/>
      <c r="S19" s="1801"/>
      <c r="T19" s="1802"/>
      <c r="U19" s="1800">
        <v>602</v>
      </c>
      <c r="V19" s="1801"/>
      <c r="W19" s="1801"/>
      <c r="X19" s="1802"/>
      <c r="Y19" s="1800">
        <v>607</v>
      </c>
      <c r="Z19" s="1801"/>
      <c r="AA19" s="1801"/>
      <c r="AB19" s="1802"/>
      <c r="AC19" s="1800">
        <v>481</v>
      </c>
      <c r="AD19" s="1801"/>
      <c r="AE19" s="1801"/>
      <c r="AF19" s="1802"/>
      <c r="AG19" s="1800">
        <v>483</v>
      </c>
      <c r="AH19" s="1801"/>
      <c r="AI19" s="1801"/>
      <c r="AJ19" s="1802"/>
      <c r="AK19" s="1160">
        <v>0</v>
      </c>
      <c r="AL19" s="1161">
        <v>0</v>
      </c>
      <c r="AP19" s="1093"/>
      <c r="AQ19" s="1162"/>
      <c r="AR19" s="1093"/>
      <c r="AS19" s="1093"/>
      <c r="AT19" s="1093"/>
      <c r="AU19" s="1093"/>
    </row>
    <row r="20" spans="2:50" ht="14">
      <c r="B20" s="1085" t="s">
        <v>589</v>
      </c>
      <c r="C20" s="1086"/>
      <c r="D20" s="1086"/>
      <c r="E20" s="1086"/>
      <c r="F20" s="1086"/>
      <c r="G20" s="1086"/>
      <c r="H20" s="1086"/>
      <c r="I20" s="1086"/>
      <c r="J20" s="1086"/>
      <c r="K20" s="1086"/>
      <c r="L20" s="1087"/>
      <c r="M20" s="1715">
        <v>17.030999999999999</v>
      </c>
      <c r="N20" s="1716"/>
      <c r="O20" s="1716"/>
      <c r="P20" s="1717"/>
      <c r="Q20" s="1715">
        <v>17.030999999999999</v>
      </c>
      <c r="R20" s="1716"/>
      <c r="S20" s="1716"/>
      <c r="T20" s="1717"/>
      <c r="U20" s="1715">
        <v>17.030999999999999</v>
      </c>
      <c r="V20" s="1716"/>
      <c r="W20" s="1716"/>
      <c r="X20" s="1717"/>
      <c r="Y20" s="1715">
        <v>17.030999999999999</v>
      </c>
      <c r="Z20" s="1716"/>
      <c r="AA20" s="1716"/>
      <c r="AB20" s="1717"/>
      <c r="AC20" s="1715">
        <v>17.030999999999999</v>
      </c>
      <c r="AD20" s="1716"/>
      <c r="AE20" s="1716"/>
      <c r="AF20" s="1717"/>
      <c r="AG20" s="1715">
        <v>17.030999999999999</v>
      </c>
      <c r="AH20" s="1716"/>
      <c r="AI20" s="1716"/>
      <c r="AJ20" s="1716"/>
      <c r="AK20" s="1094">
        <v>17.030999999999999</v>
      </c>
      <c r="AL20" s="1095">
        <v>17.030999999999999</v>
      </c>
      <c r="AP20" s="1096"/>
      <c r="AQ20" s="1096"/>
      <c r="AR20" s="1096"/>
      <c r="AS20" s="1096"/>
      <c r="AT20" s="1702"/>
      <c r="AU20" s="1702"/>
    </row>
    <row r="21" spans="2:50" ht="14">
      <c r="B21" s="1085" t="s">
        <v>590</v>
      </c>
      <c r="C21" s="1086"/>
      <c r="D21" s="1086"/>
      <c r="E21" s="1086"/>
      <c r="F21" s="1086"/>
      <c r="G21" s="1086"/>
      <c r="H21" s="1086"/>
      <c r="I21" s="1086"/>
      <c r="J21" s="1086"/>
      <c r="K21" s="1086"/>
      <c r="L21" s="1087"/>
      <c r="M21" s="1712">
        <v>-2</v>
      </c>
      <c r="N21" s="1713"/>
      <c r="O21" s="1713"/>
      <c r="P21" s="1714"/>
      <c r="Q21" s="1712">
        <v>-2</v>
      </c>
      <c r="R21" s="1713"/>
      <c r="S21" s="1713"/>
      <c r="T21" s="1714"/>
      <c r="U21" s="1712">
        <v>-2</v>
      </c>
      <c r="V21" s="1713"/>
      <c r="W21" s="1713"/>
      <c r="X21" s="1714"/>
      <c r="Y21" s="1712">
        <v>-2</v>
      </c>
      <c r="Z21" s="1713"/>
      <c r="AA21" s="1713"/>
      <c r="AB21" s="1714"/>
      <c r="AC21" s="1712">
        <v>-2</v>
      </c>
      <c r="AD21" s="1713"/>
      <c r="AE21" s="1713"/>
      <c r="AF21" s="1714"/>
      <c r="AG21" s="1712">
        <v>-2</v>
      </c>
      <c r="AH21" s="1713"/>
      <c r="AI21" s="1713"/>
      <c r="AJ21" s="1714"/>
      <c r="AK21" s="1097">
        <v>0</v>
      </c>
      <c r="AL21" s="1098">
        <v>0</v>
      </c>
    </row>
    <row r="22" spans="2:50" ht="14">
      <c r="B22" s="1085" t="s">
        <v>591</v>
      </c>
      <c r="C22" s="1086"/>
      <c r="D22" s="1086"/>
      <c r="E22" s="1086"/>
      <c r="F22" s="1086"/>
      <c r="G22" s="1086"/>
      <c r="H22" s="1086"/>
      <c r="I22" s="1086"/>
      <c r="J22" s="1086"/>
      <c r="K22" s="1086"/>
      <c r="L22" s="1087"/>
      <c r="M22" s="1712">
        <v>3</v>
      </c>
      <c r="N22" s="1713"/>
      <c r="O22" s="1713"/>
      <c r="P22" s="1714"/>
      <c r="Q22" s="1712">
        <v>3</v>
      </c>
      <c r="R22" s="1713"/>
      <c r="S22" s="1713"/>
      <c r="T22" s="1714"/>
      <c r="U22" s="1712">
        <v>3</v>
      </c>
      <c r="V22" s="1713"/>
      <c r="W22" s="1713"/>
      <c r="X22" s="1714"/>
      <c r="Y22" s="1712">
        <v>3</v>
      </c>
      <c r="Z22" s="1713"/>
      <c r="AA22" s="1713"/>
      <c r="AB22" s="1714"/>
      <c r="AC22" s="1712">
        <v>3</v>
      </c>
      <c r="AD22" s="1713"/>
      <c r="AE22" s="1713"/>
      <c r="AF22" s="1714"/>
      <c r="AG22" s="1712">
        <v>3</v>
      </c>
      <c r="AH22" s="1713"/>
      <c r="AI22" s="1713"/>
      <c r="AJ22" s="1713"/>
      <c r="AK22" s="1097">
        <v>0</v>
      </c>
      <c r="AL22" s="1098">
        <v>0</v>
      </c>
    </row>
    <row r="23" spans="2:50" ht="14">
      <c r="B23" s="1085" t="s">
        <v>592</v>
      </c>
      <c r="C23" s="1086"/>
      <c r="D23" s="1086"/>
      <c r="E23" s="1086"/>
      <c r="F23" s="1086"/>
      <c r="G23" s="1086"/>
      <c r="H23" s="1086"/>
      <c r="I23" s="1086"/>
      <c r="J23" s="1086"/>
      <c r="K23" s="1086"/>
      <c r="L23" s="1087"/>
      <c r="M23" s="1712">
        <v>-17</v>
      </c>
      <c r="N23" s="1713"/>
      <c r="O23" s="1713"/>
      <c r="P23" s="1714"/>
      <c r="Q23" s="1712">
        <v>-20</v>
      </c>
      <c r="R23" s="1713"/>
      <c r="S23" s="1713"/>
      <c r="T23" s="1714"/>
      <c r="U23" s="1712">
        <v>-54</v>
      </c>
      <c r="V23" s="1713"/>
      <c r="W23" s="1713"/>
      <c r="X23" s="1714"/>
      <c r="Y23" s="1712">
        <v>-54</v>
      </c>
      <c r="Z23" s="1713"/>
      <c r="AA23" s="1713"/>
      <c r="AB23" s="1714"/>
      <c r="AC23" s="1712">
        <v>-41</v>
      </c>
      <c r="AD23" s="1713"/>
      <c r="AE23" s="1713"/>
      <c r="AF23" s="1714"/>
      <c r="AG23" s="1712">
        <v>-43</v>
      </c>
      <c r="AH23" s="1713"/>
      <c r="AI23" s="1713"/>
      <c r="AJ23" s="1713"/>
      <c r="AK23" s="1097">
        <v>0</v>
      </c>
      <c r="AL23" s="1098">
        <v>0</v>
      </c>
      <c r="AM23" s="1099"/>
      <c r="AN23" s="1099"/>
      <c r="AO23" s="1099"/>
    </row>
    <row r="24" spans="2:50" ht="14">
      <c r="B24" s="1085" t="s">
        <v>593</v>
      </c>
      <c r="C24" s="1086"/>
      <c r="D24" s="1086"/>
      <c r="E24" s="1086"/>
      <c r="F24" s="1086"/>
      <c r="G24" s="1086"/>
      <c r="H24" s="1086"/>
      <c r="I24" s="1086"/>
      <c r="J24" s="1086"/>
      <c r="K24" s="1086"/>
      <c r="L24" s="1087"/>
      <c r="M24" s="1712">
        <v>0</v>
      </c>
      <c r="N24" s="1713"/>
      <c r="O24" s="1713"/>
      <c r="P24" s="1714"/>
      <c r="Q24" s="1712">
        <v>0</v>
      </c>
      <c r="R24" s="1713"/>
      <c r="S24" s="1713"/>
      <c r="T24" s="1714"/>
      <c r="U24" s="1712">
        <v>0</v>
      </c>
      <c r="V24" s="1713"/>
      <c r="W24" s="1713"/>
      <c r="X24" s="1714"/>
      <c r="Y24" s="1712">
        <v>0</v>
      </c>
      <c r="Z24" s="1713"/>
      <c r="AA24" s="1713"/>
      <c r="AB24" s="1714"/>
      <c r="AC24" s="1712">
        <v>0</v>
      </c>
      <c r="AD24" s="1713"/>
      <c r="AE24" s="1713"/>
      <c r="AF24" s="1714"/>
      <c r="AG24" s="1712">
        <v>0</v>
      </c>
      <c r="AH24" s="1713"/>
      <c r="AI24" s="1713"/>
      <c r="AJ24" s="1713"/>
      <c r="AK24" s="1097">
        <v>0</v>
      </c>
      <c r="AL24" s="1098">
        <v>0</v>
      </c>
      <c r="AM24" s="1099"/>
      <c r="AN24" s="1099"/>
      <c r="AO24" s="1099"/>
      <c r="AW24" s="1046">
        <v>14730</v>
      </c>
      <c r="AX24" s="1046">
        <v>4799.2479999999996</v>
      </c>
    </row>
    <row r="25" spans="2:50" ht="14">
      <c r="B25" s="1085" t="s">
        <v>594</v>
      </c>
      <c r="C25" s="1086"/>
      <c r="D25" s="1086"/>
      <c r="E25" s="1086"/>
      <c r="F25" s="1086"/>
      <c r="G25" s="1086"/>
      <c r="H25" s="1086"/>
      <c r="I25" s="1086"/>
      <c r="J25" s="1086"/>
      <c r="K25" s="1086"/>
      <c r="L25" s="1087"/>
      <c r="M25" s="1718">
        <f>SUM(M21:P24)</f>
        <v>-16</v>
      </c>
      <c r="N25" s="1719"/>
      <c r="O25" s="1719"/>
      <c r="P25" s="1720"/>
      <c r="Q25" s="1718">
        <f>SUM(Q21:T24)</f>
        <v>-19</v>
      </c>
      <c r="R25" s="1719"/>
      <c r="S25" s="1719"/>
      <c r="T25" s="1720"/>
      <c r="U25" s="1718">
        <f>SUM(U21:X24)</f>
        <v>-53</v>
      </c>
      <c r="V25" s="1719"/>
      <c r="W25" s="1719"/>
      <c r="X25" s="1720"/>
      <c r="Y25" s="1718">
        <f>SUM(Y21:AB24)</f>
        <v>-53</v>
      </c>
      <c r="Z25" s="1719"/>
      <c r="AA25" s="1719"/>
      <c r="AB25" s="1720"/>
      <c r="AC25" s="1718">
        <f>SUM(AC21:AF24)</f>
        <v>-40</v>
      </c>
      <c r="AD25" s="1719"/>
      <c r="AE25" s="1719"/>
      <c r="AF25" s="1720"/>
      <c r="AG25" s="1718">
        <f>SUM(AG21:AJ24)</f>
        <v>-42</v>
      </c>
      <c r="AH25" s="1719"/>
      <c r="AI25" s="1719"/>
      <c r="AJ25" s="1719"/>
      <c r="AK25" s="1100">
        <f>SUM(AK21:AK24)</f>
        <v>0</v>
      </c>
      <c r="AL25" s="1101">
        <f>SUM(AL21:AL24)</f>
        <v>0</v>
      </c>
      <c r="AW25" s="1046">
        <v>14740</v>
      </c>
      <c r="AX25" s="1046">
        <v>4801.518</v>
      </c>
    </row>
    <row r="26" spans="2:50" ht="14">
      <c r="B26" s="1085" t="s">
        <v>595</v>
      </c>
      <c r="C26" s="1086"/>
      <c r="D26" s="1086"/>
      <c r="E26" s="1086"/>
      <c r="F26" s="1086"/>
      <c r="G26" s="1086"/>
      <c r="H26" s="1086"/>
      <c r="I26" s="1086"/>
      <c r="J26" s="1086"/>
      <c r="K26" s="1086"/>
      <c r="L26" s="1087"/>
      <c r="M26" s="1718">
        <f>M19+M25</f>
        <v>431</v>
      </c>
      <c r="N26" s="1719"/>
      <c r="O26" s="1719"/>
      <c r="P26" s="1720"/>
      <c r="Q26" s="1718">
        <f>Q19+Q25</f>
        <v>437</v>
      </c>
      <c r="R26" s="1719"/>
      <c r="S26" s="1719"/>
      <c r="T26" s="1720"/>
      <c r="U26" s="1718">
        <f>U19+U25</f>
        <v>549</v>
      </c>
      <c r="V26" s="1719"/>
      <c r="W26" s="1719"/>
      <c r="X26" s="1720"/>
      <c r="Y26" s="1718">
        <f>Y19+Y25</f>
        <v>554</v>
      </c>
      <c r="Z26" s="1719"/>
      <c r="AA26" s="1719"/>
      <c r="AB26" s="1720"/>
      <c r="AC26" s="1718">
        <f>AC19+AC25</f>
        <v>441</v>
      </c>
      <c r="AD26" s="1719"/>
      <c r="AE26" s="1719"/>
      <c r="AF26" s="1720"/>
      <c r="AG26" s="1718">
        <f>AG19+AG25</f>
        <v>441</v>
      </c>
      <c r="AH26" s="1719"/>
      <c r="AI26" s="1719"/>
      <c r="AJ26" s="1719"/>
      <c r="AK26" s="1100">
        <f>AK19+AK25</f>
        <v>0</v>
      </c>
      <c r="AL26" s="1101">
        <f>AL19+AL25</f>
        <v>0</v>
      </c>
      <c r="AP26" s="1107"/>
      <c r="AQ26" s="1108"/>
      <c r="AR26" s="1109" t="s">
        <v>596</v>
      </c>
      <c r="AW26" s="1104">
        <v>14737</v>
      </c>
      <c r="AX26" s="1104">
        <f>(((AX25-AX24)/(AW25-AW24))*(AW26-AW24))+AX24</f>
        <v>4800.8369999999995</v>
      </c>
    </row>
    <row r="27" spans="2:50" ht="14">
      <c r="B27" s="1085" t="s">
        <v>624</v>
      </c>
      <c r="C27" s="1086"/>
      <c r="D27" s="1086"/>
      <c r="E27" s="1086"/>
      <c r="F27" s="1086"/>
      <c r="G27" s="1086"/>
      <c r="H27" s="1086"/>
      <c r="I27" s="1086"/>
      <c r="J27" s="1086"/>
      <c r="K27" s="1086"/>
      <c r="L27" s="1087"/>
      <c r="M27" s="1803">
        <v>7.4279999999999999</v>
      </c>
      <c r="N27" s="1804"/>
      <c r="O27" s="1804"/>
      <c r="P27" s="1805"/>
      <c r="Q27" s="1803">
        <v>8.6780000000000008</v>
      </c>
      <c r="R27" s="1804"/>
      <c r="S27" s="1804"/>
      <c r="T27" s="1805"/>
      <c r="U27" s="1803">
        <v>53.982999999999997</v>
      </c>
      <c r="V27" s="1804"/>
      <c r="W27" s="1804"/>
      <c r="X27" s="1805"/>
      <c r="Y27" s="1803">
        <v>55.448</v>
      </c>
      <c r="Z27" s="1804"/>
      <c r="AA27" s="1804"/>
      <c r="AB27" s="1805"/>
      <c r="AC27" s="1803">
        <v>14.51</v>
      </c>
      <c r="AD27" s="1804"/>
      <c r="AE27" s="1804"/>
      <c r="AF27" s="1805"/>
      <c r="AG27" s="1803">
        <v>14.525</v>
      </c>
      <c r="AH27" s="1804"/>
      <c r="AI27" s="1804"/>
      <c r="AJ27" s="1804"/>
      <c r="AK27" s="1163">
        <v>0</v>
      </c>
      <c r="AL27" s="1164">
        <v>0</v>
      </c>
      <c r="AP27" s="1112" t="s">
        <v>598</v>
      </c>
      <c r="AQ27" s="1113">
        <v>-33.5</v>
      </c>
      <c r="AR27" s="1114">
        <v>0.99829000000000001</v>
      </c>
    </row>
    <row r="28" spans="2:50" ht="14.5" thickBot="1">
      <c r="B28" s="1085" t="s">
        <v>625</v>
      </c>
      <c r="C28" s="1086"/>
      <c r="D28" s="1086"/>
      <c r="E28" s="1086"/>
      <c r="F28" s="1086"/>
      <c r="G28" s="1086"/>
      <c r="H28" s="1086"/>
      <c r="I28" s="1086"/>
      <c r="J28" s="1086"/>
      <c r="K28" s="1086"/>
      <c r="L28" s="1087"/>
      <c r="M28" s="1730">
        <v>0.99830200000000002</v>
      </c>
      <c r="N28" s="1731"/>
      <c r="O28" s="1731"/>
      <c r="P28" s="1732"/>
      <c r="Q28" s="1730">
        <v>0.99830200000000002</v>
      </c>
      <c r="R28" s="1731"/>
      <c r="S28" s="1731"/>
      <c r="T28" s="1732"/>
      <c r="U28" s="1730">
        <v>0.99829999999999997</v>
      </c>
      <c r="V28" s="1731"/>
      <c r="W28" s="1731"/>
      <c r="X28" s="1732"/>
      <c r="Y28" s="1730">
        <v>0.99830399999999997</v>
      </c>
      <c r="Z28" s="1731"/>
      <c r="AA28" s="1731"/>
      <c r="AB28" s="1732"/>
      <c r="AC28" s="1730">
        <v>0.99830200000000002</v>
      </c>
      <c r="AD28" s="1731"/>
      <c r="AE28" s="1731"/>
      <c r="AF28" s="1732"/>
      <c r="AG28" s="1730">
        <v>0.99830399999999997</v>
      </c>
      <c r="AH28" s="1731"/>
      <c r="AI28" s="1731"/>
      <c r="AJ28" s="1732"/>
      <c r="AK28" s="1110">
        <v>0</v>
      </c>
      <c r="AL28" s="1111">
        <v>0</v>
      </c>
      <c r="AP28" s="1112" t="s">
        <v>600</v>
      </c>
      <c r="AQ28" s="1117">
        <v>-33</v>
      </c>
      <c r="AR28" s="1118">
        <v>0.99829999999999997</v>
      </c>
    </row>
    <row r="29" spans="2:50" ht="14.5" thickTop="1">
      <c r="B29" s="1085" t="s">
        <v>601</v>
      </c>
      <c r="C29" s="1086"/>
      <c r="D29" s="1086"/>
      <c r="E29" s="1086"/>
      <c r="F29" s="1086"/>
      <c r="G29" s="1086"/>
      <c r="H29" s="1086"/>
      <c r="I29" s="1086"/>
      <c r="J29" s="1086"/>
      <c r="K29" s="1086"/>
      <c r="L29" s="1087"/>
      <c r="M29" s="1806">
        <f>M27*M28</f>
        <v>7.4153872559999998</v>
      </c>
      <c r="N29" s="1807"/>
      <c r="O29" s="1807"/>
      <c r="P29" s="1808"/>
      <c r="Q29" s="1806">
        <f>Q27*Q28</f>
        <v>8.6632647560000002</v>
      </c>
      <c r="R29" s="1807"/>
      <c r="S29" s="1807"/>
      <c r="T29" s="1808"/>
      <c r="U29" s="1806">
        <f>U27*U28</f>
        <v>53.891228899999994</v>
      </c>
      <c r="V29" s="1807"/>
      <c r="W29" s="1807"/>
      <c r="X29" s="1808"/>
      <c r="Y29" s="1806">
        <f>Y27*Y28</f>
        <v>55.353960191999995</v>
      </c>
      <c r="Z29" s="1807"/>
      <c r="AA29" s="1807"/>
      <c r="AB29" s="1808"/>
      <c r="AC29" s="1806">
        <f>AC27*AC28</f>
        <v>14.48536202</v>
      </c>
      <c r="AD29" s="1807"/>
      <c r="AE29" s="1807"/>
      <c r="AF29" s="1808"/>
      <c r="AG29" s="1806">
        <f>AG27*AG28</f>
        <v>14.5003656</v>
      </c>
      <c r="AH29" s="1807"/>
      <c r="AI29" s="1807"/>
      <c r="AJ29" s="1807"/>
      <c r="AK29" s="1165">
        <f>AK27*AK28</f>
        <v>0</v>
      </c>
      <c r="AL29" s="1166">
        <f>AL27*AL28</f>
        <v>0</v>
      </c>
      <c r="AP29" s="1122"/>
      <c r="AR29" s="1123"/>
      <c r="AS29" s="1119"/>
      <c r="AT29" s="1119"/>
      <c r="AU29" s="1119"/>
      <c r="AV29" s="1119"/>
    </row>
    <row r="30" spans="2:50" ht="14">
      <c r="B30" s="1085" t="s">
        <v>602</v>
      </c>
      <c r="C30" s="1086"/>
      <c r="D30" s="1086"/>
      <c r="E30" s="1086"/>
      <c r="F30" s="1086"/>
      <c r="G30" s="1086"/>
      <c r="H30" s="1086"/>
      <c r="I30" s="1086"/>
      <c r="J30" s="1086"/>
      <c r="K30" s="1086"/>
      <c r="L30" s="1087"/>
      <c r="M30" s="1809">
        <f>VLOOKUP(M18,'[1]Density table'!A3:B653,2,TRUE)</f>
        <v>0.68130000000000002</v>
      </c>
      <c r="N30" s="1810"/>
      <c r="O30" s="1810"/>
      <c r="P30" s="1811"/>
      <c r="Q30" s="1809">
        <f>VLOOKUP(Q18,'[1]Density table'!A3:B653,2,TRUE)</f>
        <v>0.68130000000000002</v>
      </c>
      <c r="R30" s="1812"/>
      <c r="S30" s="1812"/>
      <c r="T30" s="1813"/>
      <c r="U30" s="1809">
        <f>VLOOKUP(U18,'[1]Density table'!A3:B653,2,TRUE)</f>
        <v>0.68140000000000001</v>
      </c>
      <c r="V30" s="1812"/>
      <c r="W30" s="1812"/>
      <c r="X30" s="1813"/>
      <c r="Y30" s="1809">
        <f>VLOOKUP(Y18,'[1]Density table'!A3:B653,2,TRUE)</f>
        <v>0.68120000000000003</v>
      </c>
      <c r="Z30" s="1812"/>
      <c r="AA30" s="1812"/>
      <c r="AB30" s="1813"/>
      <c r="AC30" s="1809">
        <f>VLOOKUP(AC18,'[1]Density table'!A3:B653,2,TRUE)</f>
        <v>0.68130000000000002</v>
      </c>
      <c r="AD30" s="1812"/>
      <c r="AE30" s="1812"/>
      <c r="AF30" s="1813"/>
      <c r="AG30" s="1809">
        <f>VLOOKUP(AG18,'[1]Density table'!A3:B653,2,TRUE)</f>
        <v>0.68120000000000003</v>
      </c>
      <c r="AH30" s="1812"/>
      <c r="AI30" s="1812"/>
      <c r="AJ30" s="1812"/>
      <c r="AK30" s="1167">
        <f>VLOOKUP(AK18,'[1]Density table'!A3:F653,2,TRUE)</f>
        <v>0.63859999999999995</v>
      </c>
      <c r="AL30" s="1168">
        <f>VLOOKUP(AL18,'[1]Density table'!A3:G653,2,TRUE)</f>
        <v>0.63859999999999995</v>
      </c>
      <c r="AP30" s="1124" t="s">
        <v>603</v>
      </c>
      <c r="AQ30" s="1065">
        <v>-32.799999999999997</v>
      </c>
      <c r="AR30" s="1125">
        <f>+AR28+(AQ30-AQ28)*(AR28-AR27)/(AQ28-AQ27)</f>
        <v>0.99830399999999997</v>
      </c>
    </row>
    <row r="31" spans="2:50" ht="14">
      <c r="B31" s="1085" t="s">
        <v>604</v>
      </c>
      <c r="C31" s="1086"/>
      <c r="D31" s="1086"/>
      <c r="E31" s="1086"/>
      <c r="F31" s="1086"/>
      <c r="G31" s="1086"/>
      <c r="H31" s="1086"/>
      <c r="I31" s="1086"/>
      <c r="J31" s="1086"/>
      <c r="K31" s="1086"/>
      <c r="L31" s="1087"/>
      <c r="M31" s="1806">
        <f>M29*M30</f>
        <v>5.0521033375127997</v>
      </c>
      <c r="N31" s="1807"/>
      <c r="O31" s="1807"/>
      <c r="P31" s="1808"/>
      <c r="Q31" s="1806">
        <f>Q29*Q30</f>
        <v>5.9022822782627999</v>
      </c>
      <c r="R31" s="1807"/>
      <c r="S31" s="1807"/>
      <c r="T31" s="1808"/>
      <c r="U31" s="1806">
        <f>U29*U30</f>
        <v>36.72148337246</v>
      </c>
      <c r="V31" s="1807"/>
      <c r="W31" s="1807"/>
      <c r="X31" s="1808"/>
      <c r="Y31" s="1806">
        <f>Y29*Y30</f>
        <v>37.707117682790397</v>
      </c>
      <c r="Z31" s="1807"/>
      <c r="AA31" s="1807"/>
      <c r="AB31" s="1808"/>
      <c r="AC31" s="1806">
        <f>AC29*AC30</f>
        <v>9.8688771442259995</v>
      </c>
      <c r="AD31" s="1807"/>
      <c r="AE31" s="1807"/>
      <c r="AF31" s="1808"/>
      <c r="AG31" s="1806">
        <f>AG29*AG30</f>
        <v>9.8776490467200002</v>
      </c>
      <c r="AH31" s="1807"/>
      <c r="AI31" s="1807"/>
      <c r="AJ31" s="1807"/>
      <c r="AK31" s="1165">
        <f>AK29*AK30</f>
        <v>0</v>
      </c>
      <c r="AL31" s="1169">
        <f>AL29*AL30</f>
        <v>0</v>
      </c>
    </row>
    <row r="32" spans="2:50" ht="14">
      <c r="B32" s="1085" t="s">
        <v>626</v>
      </c>
      <c r="C32" s="1086"/>
      <c r="D32" s="1086"/>
      <c r="E32" s="1086"/>
      <c r="F32" s="1086"/>
      <c r="G32" s="1086"/>
      <c r="H32" s="1086"/>
      <c r="I32" s="1086"/>
      <c r="J32" s="1086"/>
      <c r="K32" s="1086"/>
      <c r="L32" s="1087"/>
      <c r="M32" s="1814">
        <f>+'[1]Calculation INITIAL'!M32:P32</f>
        <v>6897.64</v>
      </c>
      <c r="N32" s="1815"/>
      <c r="O32" s="1815"/>
      <c r="P32" s="1816"/>
      <c r="Q32" s="1814">
        <f>+'[1]Calculation INITIAL'!Q32:T32</f>
        <v>6900.3</v>
      </c>
      <c r="R32" s="1815"/>
      <c r="S32" s="1815"/>
      <c r="T32" s="1816"/>
      <c r="U32" s="1814">
        <f>+'[1]Calculation INITIAL'!U32:X32</f>
        <v>7841.21</v>
      </c>
      <c r="V32" s="1815"/>
      <c r="W32" s="1815"/>
      <c r="X32" s="1816"/>
      <c r="Y32" s="1814">
        <f>+'[1]Calculation INITIAL'!Y32:AB32</f>
        <v>7846.74</v>
      </c>
      <c r="Z32" s="1815"/>
      <c r="AA32" s="1815"/>
      <c r="AB32" s="1816"/>
      <c r="AC32" s="1814">
        <f>+'[1]Calculation INITIAL'!AC32:AF32</f>
        <v>7836.17</v>
      </c>
      <c r="AD32" s="1815"/>
      <c r="AE32" s="1815"/>
      <c r="AF32" s="1816"/>
      <c r="AG32" s="1814">
        <f>+'[1]Calculation INITIAL'!AG32:AJ32</f>
        <v>7844.8</v>
      </c>
      <c r="AH32" s="1815"/>
      <c r="AI32" s="1815"/>
      <c r="AJ32" s="1816"/>
      <c r="AK32" s="1170">
        <f>+'[1]Calculation INITIAL'!AK32</f>
        <v>7540.18</v>
      </c>
      <c r="AL32" s="1171">
        <f>+'[1]Calculation INITIAL'!AL32</f>
        <v>7548.69</v>
      </c>
    </row>
    <row r="33" spans="2:47" ht="14">
      <c r="B33" s="1085" t="s">
        <v>627</v>
      </c>
      <c r="C33" s="1086"/>
      <c r="D33" s="1086"/>
      <c r="E33" s="1086"/>
      <c r="F33" s="1086"/>
      <c r="G33" s="1086"/>
      <c r="H33" s="1086"/>
      <c r="I33" s="1086"/>
      <c r="J33" s="1086"/>
      <c r="K33" s="1086"/>
      <c r="L33" s="1087"/>
      <c r="M33" s="1730">
        <v>0.99880000000000002</v>
      </c>
      <c r="N33" s="1731"/>
      <c r="O33" s="1731"/>
      <c r="P33" s="1732"/>
      <c r="Q33" s="1730">
        <v>0.99880999999999998</v>
      </c>
      <c r="R33" s="1731"/>
      <c r="S33" s="1731"/>
      <c r="T33" s="1732"/>
      <c r="U33" s="1730">
        <v>0.99870999999999999</v>
      </c>
      <c r="V33" s="1731"/>
      <c r="W33" s="1731"/>
      <c r="X33" s="1732"/>
      <c r="Y33" s="1730">
        <v>0.99866999999999995</v>
      </c>
      <c r="Z33" s="1731"/>
      <c r="AA33" s="1731"/>
      <c r="AB33" s="1732"/>
      <c r="AC33" s="1730">
        <v>0.99882000000000004</v>
      </c>
      <c r="AD33" s="1731"/>
      <c r="AE33" s="1731"/>
      <c r="AF33" s="1732"/>
      <c r="AG33" s="1730">
        <v>0.99880000000000002</v>
      </c>
      <c r="AH33" s="1731"/>
      <c r="AI33" s="1731"/>
      <c r="AJ33" s="1732"/>
      <c r="AK33" s="1110">
        <v>0</v>
      </c>
      <c r="AL33" s="1111">
        <v>0</v>
      </c>
      <c r="AP33" s="1107"/>
      <c r="AQ33" s="1172"/>
      <c r="AR33" s="1109" t="s">
        <v>596</v>
      </c>
    </row>
    <row r="34" spans="2:47" ht="14">
      <c r="B34" s="1085" t="s">
        <v>607</v>
      </c>
      <c r="C34" s="1086"/>
      <c r="D34" s="1086"/>
      <c r="E34" s="1086"/>
      <c r="F34" s="1086"/>
      <c r="G34" s="1086"/>
      <c r="H34" s="1086"/>
      <c r="I34" s="1086"/>
      <c r="J34" s="1086"/>
      <c r="K34" s="1086"/>
      <c r="L34" s="1087"/>
      <c r="M34" s="1820">
        <f>M32-M27</f>
        <v>6890.2120000000004</v>
      </c>
      <c r="N34" s="1821"/>
      <c r="O34" s="1821"/>
      <c r="P34" s="1822"/>
      <c r="Q34" s="1817">
        <f>Q32-Q27</f>
        <v>6891.6220000000003</v>
      </c>
      <c r="R34" s="1818"/>
      <c r="S34" s="1818"/>
      <c r="T34" s="1819"/>
      <c r="U34" s="1817">
        <f>U32-U27</f>
        <v>7787.2269999999999</v>
      </c>
      <c r="V34" s="1818"/>
      <c r="W34" s="1818"/>
      <c r="X34" s="1819"/>
      <c r="Y34" s="1817">
        <f>Y32-Y27</f>
        <v>7791.2919999999995</v>
      </c>
      <c r="Z34" s="1818"/>
      <c r="AA34" s="1818"/>
      <c r="AB34" s="1819"/>
      <c r="AC34" s="1817">
        <f>AC32-AC27</f>
        <v>7821.66</v>
      </c>
      <c r="AD34" s="1818"/>
      <c r="AE34" s="1818"/>
      <c r="AF34" s="1819"/>
      <c r="AG34" s="1817">
        <f>AG32-AG27</f>
        <v>7830.2750000000005</v>
      </c>
      <c r="AH34" s="1818"/>
      <c r="AI34" s="1818"/>
      <c r="AJ34" s="1818"/>
      <c r="AK34" s="1173">
        <f>AK32-AK27</f>
        <v>7540.18</v>
      </c>
      <c r="AL34" s="1174">
        <f>AL32-AL27</f>
        <v>7548.69</v>
      </c>
      <c r="AP34" s="1112" t="s">
        <v>598</v>
      </c>
      <c r="AQ34" s="1175">
        <v>-17</v>
      </c>
      <c r="AR34" s="1118">
        <v>0.99880000000000002</v>
      </c>
    </row>
    <row r="35" spans="2:47" ht="14">
      <c r="B35" s="1085" t="s">
        <v>608</v>
      </c>
      <c r="C35" s="1086"/>
      <c r="D35" s="1086"/>
      <c r="E35" s="1086"/>
      <c r="F35" s="1086"/>
      <c r="G35" s="1086"/>
      <c r="H35" s="1086"/>
      <c r="I35" s="1086"/>
      <c r="J35" s="1086"/>
      <c r="K35" s="1086"/>
      <c r="L35" s="1087"/>
      <c r="M35" s="1817">
        <f>M34*M33</f>
        <v>6881.9437456000005</v>
      </c>
      <c r="N35" s="1818"/>
      <c r="O35" s="1818"/>
      <c r="P35" s="1819"/>
      <c r="Q35" s="1817">
        <f>Q34*Q33</f>
        <v>6883.4209698200002</v>
      </c>
      <c r="R35" s="1818"/>
      <c r="S35" s="1818"/>
      <c r="T35" s="1819"/>
      <c r="U35" s="1817">
        <f>U34*U33</f>
        <v>7777.1814771700001</v>
      </c>
      <c r="V35" s="1818"/>
      <c r="W35" s="1818"/>
      <c r="X35" s="1819"/>
      <c r="Y35" s="1817">
        <f>Y34*Y33</f>
        <v>7780.929581639999</v>
      </c>
      <c r="Z35" s="1818"/>
      <c r="AA35" s="1818"/>
      <c r="AB35" s="1819"/>
      <c r="AC35" s="1817">
        <f>AC34*AC33</f>
        <v>7812.4304412000001</v>
      </c>
      <c r="AD35" s="1818"/>
      <c r="AE35" s="1818"/>
      <c r="AF35" s="1819"/>
      <c r="AG35" s="1817">
        <f>AG34*AG33</f>
        <v>7820.878670000001</v>
      </c>
      <c r="AH35" s="1818"/>
      <c r="AI35" s="1818"/>
      <c r="AJ35" s="1818"/>
      <c r="AK35" s="1173">
        <f>AK34*AK33</f>
        <v>0</v>
      </c>
      <c r="AL35" s="1174">
        <f>AL34*AL33</f>
        <v>0</v>
      </c>
      <c r="AP35" s="1112" t="s">
        <v>600</v>
      </c>
      <c r="AQ35" s="1175">
        <v>-17.5</v>
      </c>
      <c r="AR35" s="1118">
        <v>0.99880000000000002</v>
      </c>
    </row>
    <row r="36" spans="2:47" ht="14">
      <c r="B36" s="1085" t="s">
        <v>609</v>
      </c>
      <c r="C36" s="1086"/>
      <c r="D36" s="1086"/>
      <c r="E36" s="1086"/>
      <c r="F36" s="1086"/>
      <c r="G36" s="1086"/>
      <c r="H36" s="1086"/>
      <c r="I36" s="1086"/>
      <c r="J36" s="1086"/>
      <c r="K36" s="1086"/>
      <c r="L36" s="1087"/>
      <c r="M36" s="1745">
        <f>((273.15/(273.15+M17))*((1013.25+M16)/1013.25)*(M20/22.414))/1000</f>
        <v>8.329819831944937E-4</v>
      </c>
      <c r="N36" s="1746"/>
      <c r="O36" s="1746"/>
      <c r="P36" s="1747"/>
      <c r="Q36" s="1745">
        <f>((273.15/(273.15+Q17))*((1013.25+Q16)/1013.25)*(Q20/22.414))/1000</f>
        <v>8.3200716519192541E-4</v>
      </c>
      <c r="R36" s="1746"/>
      <c r="S36" s="1746"/>
      <c r="T36" s="1747"/>
      <c r="U36" s="1745">
        <f>((273.15/(273.15+U17))*((1013.25+U16)/1013.25)*(U20/22.414))/1000</f>
        <v>8.4185923345944365E-4</v>
      </c>
      <c r="V36" s="1746"/>
      <c r="W36" s="1746"/>
      <c r="X36" s="1747"/>
      <c r="Y36" s="1745">
        <f>((273.15/(273.15+Y17))*((1013.25+Y16)/1013.25)*(Y20/22.414))/1000</f>
        <v>8.4553037382338982E-4</v>
      </c>
      <c r="Z36" s="1746"/>
      <c r="AA36" s="1746"/>
      <c r="AB36" s="1747"/>
      <c r="AC36" s="1745">
        <f>((273.15/(273.15+AC17))*((1013.25+AC16)/1013.25)*(AC20/22.414))/1000</f>
        <v>8.3150875313146248E-4</v>
      </c>
      <c r="AD36" s="1746"/>
      <c r="AE36" s="1746"/>
      <c r="AF36" s="1747"/>
      <c r="AG36" s="1745">
        <f>((273.15/(273.15+AG17))*((1013.25+AG16)/1013.25)*(AG20/22.414))/1000</f>
        <v>8.3313120923513332E-4</v>
      </c>
      <c r="AH36" s="1746"/>
      <c r="AI36" s="1746"/>
      <c r="AJ36" s="1747"/>
      <c r="AK36" s="1132">
        <f>(273.15/(273.15+AK17))*((1013.25+AK16)/1013.25)*(AK20/22.414)/1000</f>
        <v>7.5983760149906298E-4</v>
      </c>
      <c r="AL36" s="1133">
        <f>(273.15/(273.15+AL17))*((1013.25+AL16)/1013.25)*(AL20/22.414)/1000</f>
        <v>7.5983760149906298E-4</v>
      </c>
      <c r="AP36" s="1122"/>
      <c r="AQ36" s="1122"/>
      <c r="AR36" s="1123"/>
    </row>
    <row r="37" spans="2:47" ht="14">
      <c r="B37" s="1085" t="s">
        <v>610</v>
      </c>
      <c r="C37" s="1086"/>
      <c r="D37" s="1086"/>
      <c r="E37" s="1086"/>
      <c r="F37" s="1086"/>
      <c r="G37" s="1086"/>
      <c r="H37" s="1086"/>
      <c r="I37" s="1086"/>
      <c r="J37" s="1086"/>
      <c r="K37" s="1086"/>
      <c r="L37" s="1087"/>
      <c r="M37" s="1806">
        <f>M35*M36</f>
        <v>5.7325351494428309</v>
      </c>
      <c r="N37" s="1807"/>
      <c r="O37" s="1807"/>
      <c r="P37" s="1808"/>
      <c r="Q37" s="1806">
        <f>Q35*Q36</f>
        <v>5.7270555679225925</v>
      </c>
      <c r="R37" s="1807"/>
      <c r="S37" s="1807"/>
      <c r="T37" s="1808"/>
      <c r="U37" s="1806">
        <f>U35*U36</f>
        <v>6.5472920368453202</v>
      </c>
      <c r="V37" s="1807"/>
      <c r="W37" s="1807"/>
      <c r="X37" s="1808"/>
      <c r="Y37" s="1806">
        <f>Y35*Y36</f>
        <v>6.5790122978575409</v>
      </c>
      <c r="Z37" s="1807"/>
      <c r="AA37" s="1807"/>
      <c r="AB37" s="1808"/>
      <c r="AC37" s="1806">
        <f>AC35*AC36</f>
        <v>6.4961042950884931</v>
      </c>
      <c r="AD37" s="1807"/>
      <c r="AE37" s="1807"/>
      <c r="AF37" s="1808"/>
      <c r="AG37" s="1806">
        <f>AG35*AG36</f>
        <v>6.5158181036183622</v>
      </c>
      <c r="AH37" s="1807"/>
      <c r="AI37" s="1807"/>
      <c r="AJ37" s="1807"/>
      <c r="AK37" s="1165">
        <f>AK35*AK36</f>
        <v>0</v>
      </c>
      <c r="AL37" s="1169">
        <f>AL35*AL36</f>
        <v>0</v>
      </c>
      <c r="AP37" s="1124" t="s">
        <v>603</v>
      </c>
      <c r="AQ37" s="1176">
        <v>-17.100000000000001</v>
      </c>
      <c r="AR37" s="1125">
        <f>+AR35+(AQ37-AQ35)*(AR35-AR34)/(AQ35-AQ34)</f>
        <v>0.99880000000000002</v>
      </c>
    </row>
    <row r="38" spans="2:47" ht="14.5" thickBot="1">
      <c r="B38" s="1134" t="s">
        <v>611</v>
      </c>
      <c r="C38" s="1135"/>
      <c r="D38" s="1135"/>
      <c r="E38" s="1135"/>
      <c r="F38" s="1135"/>
      <c r="G38" s="1135"/>
      <c r="H38" s="1135"/>
      <c r="I38" s="1135"/>
      <c r="J38" s="1135"/>
      <c r="K38" s="1135"/>
      <c r="L38" s="1136"/>
      <c r="M38" s="1828">
        <f>M31+M37</f>
        <v>10.784638486955631</v>
      </c>
      <c r="N38" s="1829"/>
      <c r="O38" s="1829"/>
      <c r="P38" s="1830"/>
      <c r="Q38" s="1828">
        <f>Q31+Q37</f>
        <v>11.629337846185393</v>
      </c>
      <c r="R38" s="1829"/>
      <c r="S38" s="1829"/>
      <c r="T38" s="1830"/>
      <c r="U38" s="1828">
        <f>U31+U37</f>
        <v>43.26877540930532</v>
      </c>
      <c r="V38" s="1829"/>
      <c r="W38" s="1829"/>
      <c r="X38" s="1830"/>
      <c r="Y38" s="1828">
        <f>Y31+Y37</f>
        <v>44.286129980647935</v>
      </c>
      <c r="Z38" s="1829"/>
      <c r="AA38" s="1829"/>
      <c r="AB38" s="1830"/>
      <c r="AC38" s="1828">
        <f>AC31+AC37</f>
        <v>16.364981439314491</v>
      </c>
      <c r="AD38" s="1829"/>
      <c r="AE38" s="1829"/>
      <c r="AF38" s="1830"/>
      <c r="AG38" s="1828">
        <f>AG31+AG37</f>
        <v>16.393467150338363</v>
      </c>
      <c r="AH38" s="1829"/>
      <c r="AI38" s="1829"/>
      <c r="AJ38" s="1829"/>
      <c r="AK38" s="1165">
        <f>AK31+AK37</f>
        <v>0</v>
      </c>
      <c r="AL38" s="1169">
        <f>AL31+AL37</f>
        <v>0</v>
      </c>
    </row>
    <row r="39" spans="2:47" ht="15" thickTop="1" thickBot="1">
      <c r="B39" s="1137" t="s">
        <v>612</v>
      </c>
      <c r="C39" s="1138"/>
      <c r="D39" s="1138"/>
      <c r="E39" s="1138"/>
      <c r="F39" s="1138"/>
      <c r="G39" s="1138"/>
      <c r="H39" s="1138"/>
      <c r="I39" s="1138"/>
      <c r="J39" s="1138"/>
      <c r="K39" s="1138"/>
      <c r="L39" s="1139"/>
      <c r="M39" s="1748"/>
      <c r="N39" s="1749"/>
      <c r="O39" s="1749"/>
      <c r="P39" s="1749"/>
      <c r="Q39" s="1749"/>
      <c r="R39" s="1749"/>
      <c r="S39" s="1749"/>
      <c r="T39" s="1750"/>
      <c r="U39" s="1751"/>
      <c r="V39" s="1752"/>
      <c r="W39" s="1752"/>
      <c r="X39" s="1752"/>
      <c r="Y39" s="1752"/>
      <c r="Z39" s="1752"/>
      <c r="AA39" s="1752"/>
      <c r="AB39" s="1753"/>
      <c r="AC39" s="1751"/>
      <c r="AD39" s="1752"/>
      <c r="AE39" s="1752"/>
      <c r="AF39" s="1752"/>
      <c r="AG39" s="1752"/>
      <c r="AH39" s="1752"/>
      <c r="AI39" s="1752"/>
      <c r="AJ39" s="1754"/>
      <c r="AK39" s="1140"/>
      <c r="AL39" s="1054"/>
    </row>
    <row r="40" spans="2:47" ht="14.5" thickBot="1">
      <c r="B40" s="1141" t="s">
        <v>613</v>
      </c>
      <c r="C40" s="1142"/>
      <c r="D40" s="1142"/>
      <c r="E40" s="1142"/>
      <c r="F40" s="1142"/>
      <c r="G40" s="1142"/>
      <c r="H40" s="1142"/>
      <c r="I40" s="1142"/>
      <c r="J40" s="1142"/>
      <c r="K40" s="1142"/>
      <c r="L40" s="1143"/>
      <c r="M40" s="1823">
        <f>SUM(M31:M31:T31)</f>
        <v>10.9543856157756</v>
      </c>
      <c r="N40" s="1824"/>
      <c r="O40" s="1824"/>
      <c r="P40" s="1824"/>
      <c r="Q40" s="1824"/>
      <c r="R40" s="1757" t="s">
        <v>614</v>
      </c>
      <c r="S40" s="1757"/>
      <c r="T40" s="1758"/>
      <c r="U40" s="1823">
        <f>SUM(U31:AB31)</f>
        <v>74.428601055250397</v>
      </c>
      <c r="V40" s="1824"/>
      <c r="W40" s="1824"/>
      <c r="X40" s="1824"/>
      <c r="Y40" s="1824"/>
      <c r="Z40" s="1144" t="s">
        <v>614</v>
      </c>
      <c r="AA40" s="1144"/>
      <c r="AB40" s="1145"/>
      <c r="AC40" s="1825">
        <f>SUM(AC31:AJ31)</f>
        <v>19.746526190946</v>
      </c>
      <c r="AD40" s="1826"/>
      <c r="AE40" s="1826"/>
      <c r="AF40" s="1826"/>
      <c r="AG40" s="1826"/>
      <c r="AH40" s="1757" t="s">
        <v>614</v>
      </c>
      <c r="AI40" s="1757"/>
      <c r="AJ40" s="1827"/>
      <c r="AK40" s="1177">
        <f>SUM(AK31:AL31)</f>
        <v>0</v>
      </c>
      <c r="AL40" s="1147" t="s">
        <v>614</v>
      </c>
    </row>
    <row r="41" spans="2:47" ht="14.5" thickBot="1">
      <c r="B41" s="1148" t="s">
        <v>615</v>
      </c>
      <c r="C41" s="1086"/>
      <c r="D41" s="1086"/>
      <c r="E41" s="1086"/>
      <c r="F41" s="1086"/>
      <c r="G41" s="1086"/>
      <c r="H41" s="1086"/>
      <c r="I41" s="1086"/>
      <c r="J41" s="1086"/>
      <c r="K41" s="1086"/>
      <c r="L41" s="1087"/>
      <c r="M41" s="1847">
        <f>SUM(M37:T37)</f>
        <v>11.459590717365423</v>
      </c>
      <c r="N41" s="1848"/>
      <c r="O41" s="1848"/>
      <c r="P41" s="1848"/>
      <c r="Q41" s="1848"/>
      <c r="R41" s="1783" t="s">
        <v>614</v>
      </c>
      <c r="S41" s="1783"/>
      <c r="T41" s="1784"/>
      <c r="U41" s="1847">
        <f>SUM(U37:AB37)</f>
        <v>13.126304334702862</v>
      </c>
      <c r="V41" s="1848"/>
      <c r="W41" s="1848"/>
      <c r="X41" s="1848"/>
      <c r="Y41" s="1848"/>
      <c r="Z41" s="1149" t="s">
        <v>614</v>
      </c>
      <c r="AA41" s="1149"/>
      <c r="AB41" s="1150"/>
      <c r="AC41" s="1849">
        <f>SUM(AC37:AJ37)</f>
        <v>13.011922398706854</v>
      </c>
      <c r="AD41" s="1850"/>
      <c r="AE41" s="1850"/>
      <c r="AF41" s="1850"/>
      <c r="AG41" s="1850"/>
      <c r="AH41" s="1783" t="s">
        <v>614</v>
      </c>
      <c r="AI41" s="1783"/>
      <c r="AJ41" s="1851"/>
      <c r="AK41" s="1178">
        <f>SUM(AK37:AL37)</f>
        <v>0</v>
      </c>
      <c r="AL41" s="1152" t="s">
        <v>614</v>
      </c>
      <c r="AP41" s="1786" t="s">
        <v>616</v>
      </c>
      <c r="AQ41" s="1787"/>
      <c r="AR41" s="1787"/>
      <c r="AS41" s="1839">
        <v>40111.214999999997</v>
      </c>
      <c r="AT41" s="1839"/>
      <c r="AU41" s="1840"/>
    </row>
    <row r="42" spans="2:47" ht="15" thickTop="1" thickBot="1">
      <c r="B42" s="1153" t="s">
        <v>617</v>
      </c>
      <c r="C42" s="1154"/>
      <c r="D42" s="1154"/>
      <c r="E42" s="1154"/>
      <c r="F42" s="1154"/>
      <c r="G42" s="1154"/>
      <c r="H42" s="1154"/>
      <c r="I42" s="1154"/>
      <c r="J42" s="1154"/>
      <c r="K42" s="1154"/>
      <c r="L42" s="1155"/>
      <c r="M42" s="1841">
        <f>+M40+M41+U40+U41+AC40+AC41+AK40+AK41</f>
        <v>142.72733031274711</v>
      </c>
      <c r="N42" s="1842"/>
      <c r="O42" s="1842"/>
      <c r="P42" s="1842"/>
      <c r="Q42" s="1842"/>
      <c r="R42" s="1767" t="s">
        <v>614</v>
      </c>
      <c r="S42" s="1767"/>
      <c r="T42" s="1768"/>
      <c r="U42" s="1769" t="s">
        <v>618</v>
      </c>
      <c r="V42" s="1770"/>
      <c r="W42" s="1770"/>
      <c r="X42" s="1770"/>
      <c r="Y42" s="1770"/>
      <c r="Z42" s="1770"/>
      <c r="AA42" s="1770"/>
      <c r="AB42" s="1771"/>
      <c r="AC42" s="1843">
        <v>39903.968000000001</v>
      </c>
      <c r="AD42" s="1844"/>
      <c r="AE42" s="1844"/>
      <c r="AF42" s="1844"/>
      <c r="AG42" s="1844"/>
      <c r="AH42" s="1767" t="s">
        <v>614</v>
      </c>
      <c r="AI42" s="1767"/>
      <c r="AJ42" s="1838"/>
      <c r="AK42" s="1158"/>
      <c r="AL42" s="1159"/>
      <c r="AP42" s="1776" t="s">
        <v>619</v>
      </c>
      <c r="AQ42" s="1777"/>
      <c r="AR42" s="1777"/>
      <c r="AS42" s="1845">
        <f>M42-AS41</f>
        <v>-39968.487669687252</v>
      </c>
      <c r="AT42" s="1845"/>
      <c r="AU42" s="1846"/>
    </row>
    <row r="43" spans="2:47" ht="14.5" thickBot="1">
      <c r="B43" s="1831" t="s">
        <v>628</v>
      </c>
      <c r="C43" s="1832"/>
      <c r="D43" s="1832"/>
      <c r="E43" s="1832"/>
      <c r="F43" s="1832"/>
      <c r="G43" s="1832"/>
      <c r="H43" s="1832"/>
      <c r="I43" s="1832"/>
      <c r="J43" s="1832"/>
      <c r="K43" s="1832"/>
      <c r="L43" s="1833"/>
      <c r="M43" s="1766">
        <f>+'[1]Calculation INITIAL'!M42:Q42-'[1]Calculation FINAL'!M42:Q42</f>
        <v>37572.019209548693</v>
      </c>
      <c r="N43" s="1766"/>
      <c r="O43" s="1766"/>
      <c r="P43" s="1766"/>
      <c r="Q43" s="1766"/>
      <c r="R43" s="1767" t="s">
        <v>614</v>
      </c>
      <c r="S43" s="1767"/>
      <c r="T43" s="1767"/>
      <c r="U43" s="1834" t="s">
        <v>618</v>
      </c>
      <c r="V43" s="1835"/>
      <c r="W43" s="1835"/>
      <c r="X43" s="1835"/>
      <c r="Y43" s="1835"/>
      <c r="Z43" s="1835"/>
      <c r="AA43" s="1835"/>
      <c r="AB43" s="1836"/>
      <c r="AC43" s="1837">
        <f>+'[1]Calculation INITIAL'!AC42:AG42-'[1]Calculation FINAL'!AC42:AG42</f>
        <v>-2190.9049999999988</v>
      </c>
      <c r="AD43" s="1837"/>
      <c r="AE43" s="1837"/>
      <c r="AF43" s="1837"/>
      <c r="AG43" s="1837"/>
      <c r="AH43" s="1767" t="s">
        <v>614</v>
      </c>
      <c r="AI43" s="1767"/>
      <c r="AJ43" s="1838"/>
    </row>
    <row r="44" spans="2:47" ht="14">
      <c r="B44" s="1794"/>
      <c r="C44" s="1794"/>
      <c r="D44" s="1794"/>
      <c r="E44" s="1794"/>
      <c r="F44" s="1794"/>
      <c r="G44" s="1794"/>
      <c r="H44" s="1794"/>
      <c r="I44" s="1794"/>
      <c r="J44" s="1794"/>
      <c r="K44" s="1794"/>
      <c r="L44" s="1794"/>
      <c r="M44" s="1795"/>
      <c r="N44" s="1796"/>
      <c r="O44" s="1796"/>
      <c r="P44" s="1796"/>
      <c r="Q44" s="1796"/>
      <c r="R44" s="1793"/>
      <c r="S44" s="1793"/>
      <c r="T44" s="1793"/>
      <c r="Z44" s="1179"/>
      <c r="AA44" s="1179"/>
      <c r="AB44" s="1179"/>
      <c r="AC44" s="1853"/>
      <c r="AD44" s="1853"/>
      <c r="AE44" s="1853"/>
      <c r="AF44" s="1853"/>
      <c r="AG44" s="1853"/>
      <c r="AH44" s="1793"/>
      <c r="AI44" s="1793"/>
      <c r="AJ44" s="1793"/>
    </row>
    <row r="45" spans="2:47" ht="14">
      <c r="B45" s="1797" t="s">
        <v>620</v>
      </c>
      <c r="C45" s="1798"/>
      <c r="D45" s="1798"/>
      <c r="E45" s="1798"/>
      <c r="F45" s="1798"/>
      <c r="G45" s="1798"/>
      <c r="H45" s="1798"/>
      <c r="I45" s="1798"/>
      <c r="J45" s="1798"/>
      <c r="K45" s="1798"/>
      <c r="L45" s="1798"/>
      <c r="M45" s="1798"/>
      <c r="N45" s="1789" t="s">
        <v>621</v>
      </c>
      <c r="O45" s="1789"/>
      <c r="P45" s="1789"/>
      <c r="Q45" s="1789"/>
      <c r="R45" s="1789"/>
      <c r="S45" s="1789"/>
      <c r="T45" s="1789"/>
      <c r="U45" s="1789"/>
      <c r="V45" s="1789"/>
      <c r="W45" s="1789"/>
      <c r="X45" s="1789"/>
      <c r="Y45" s="1789" t="s">
        <v>622</v>
      </c>
      <c r="Z45" s="1789"/>
      <c r="AA45" s="1789"/>
      <c r="AB45" s="1789"/>
      <c r="AC45" s="1789"/>
      <c r="AD45" s="1789"/>
      <c r="AE45" s="1789"/>
      <c r="AF45" s="1789"/>
      <c r="AG45" s="1789"/>
      <c r="AH45" s="1789"/>
      <c r="AI45" s="1789"/>
      <c r="AJ45" s="1789"/>
    </row>
    <row r="46" spans="2:47" ht="14.25" customHeight="1">
      <c r="B46" s="1852" t="s">
        <v>635</v>
      </c>
      <c r="C46" s="1852"/>
      <c r="D46" s="1852"/>
      <c r="E46" s="1852"/>
      <c r="F46" s="1852"/>
      <c r="G46" s="1852"/>
      <c r="H46" s="1852"/>
      <c r="I46" s="1852"/>
      <c r="J46" s="1852"/>
      <c r="K46" s="1852"/>
      <c r="L46" s="1852"/>
      <c r="M46" s="1852"/>
      <c r="N46" s="1789"/>
      <c r="O46" s="1789"/>
      <c r="P46" s="1789"/>
      <c r="Q46" s="1789"/>
      <c r="R46" s="1789"/>
      <c r="S46" s="1789"/>
      <c r="T46" s="1789"/>
      <c r="U46" s="1789"/>
      <c r="V46" s="1789"/>
      <c r="W46" s="1789"/>
      <c r="X46" s="1789"/>
      <c r="Y46" s="1789"/>
      <c r="Z46" s="1789"/>
      <c r="AA46" s="1789"/>
      <c r="AB46" s="1789"/>
      <c r="AC46" s="1789"/>
      <c r="AD46" s="1789"/>
      <c r="AE46" s="1789"/>
      <c r="AF46" s="1789"/>
      <c r="AG46" s="1789"/>
      <c r="AH46" s="1789"/>
      <c r="AI46" s="1789"/>
      <c r="AJ46" s="1789"/>
    </row>
    <row r="47" spans="2:47">
      <c r="B47" s="1852"/>
      <c r="C47" s="1852"/>
      <c r="D47" s="1852"/>
      <c r="E47" s="1852"/>
      <c r="F47" s="1852"/>
      <c r="G47" s="1852"/>
      <c r="H47" s="1852"/>
      <c r="I47" s="1852"/>
      <c r="J47" s="1852"/>
      <c r="K47" s="1852"/>
      <c r="L47" s="1852"/>
      <c r="M47" s="1852"/>
      <c r="N47" s="1789"/>
      <c r="O47" s="1789"/>
      <c r="P47" s="1789"/>
      <c r="Q47" s="1789"/>
      <c r="R47" s="1789"/>
      <c r="S47" s="1789"/>
      <c r="T47" s="1789"/>
      <c r="U47" s="1789"/>
      <c r="V47" s="1789"/>
      <c r="W47" s="1789"/>
      <c r="X47" s="1789"/>
      <c r="Y47" s="1789"/>
      <c r="Z47" s="1789"/>
      <c r="AA47" s="1789"/>
      <c r="AB47" s="1789"/>
      <c r="AC47" s="1789"/>
      <c r="AD47" s="1789"/>
      <c r="AE47" s="1789"/>
      <c r="AF47" s="1789"/>
      <c r="AG47" s="1789"/>
      <c r="AH47" s="1789"/>
      <c r="AI47" s="1789"/>
      <c r="AJ47" s="1789"/>
    </row>
  </sheetData>
  <sheetProtection algorithmName="SHA-512" hashValue="JjWrpZl3um0dDiaUACU3K7lPASxI54CN4XRtLFOyUdOsAvKgPuOGTzrZ0Pjoq1dw91hn63QD+QqqZiEkJyrtaw==" saltValue="WLjdm7KH8XMVdm1+ne2LNQ==" spinCount="100000" sheet="1" objects="1" scenarios="1"/>
  <mergeCells count="208">
    <mergeCell ref="B46:M47"/>
    <mergeCell ref="N46:X47"/>
    <mergeCell ref="Y46:AJ47"/>
    <mergeCell ref="B44:L44"/>
    <mergeCell ref="M44:Q44"/>
    <mergeCell ref="R44:T44"/>
    <mergeCell ref="AC44:AG44"/>
    <mergeCell ref="AH44:AJ44"/>
    <mergeCell ref="B45:M45"/>
    <mergeCell ref="N45:X45"/>
    <mergeCell ref="Y45:AJ45"/>
    <mergeCell ref="B43:L43"/>
    <mergeCell ref="M43:Q43"/>
    <mergeCell ref="R43:T43"/>
    <mergeCell ref="U43:AB43"/>
    <mergeCell ref="AC43:AG43"/>
    <mergeCell ref="AH43:AJ43"/>
    <mergeCell ref="AS41:AU41"/>
    <mergeCell ref="M42:Q42"/>
    <mergeCell ref="R42:T42"/>
    <mergeCell ref="U42:AB42"/>
    <mergeCell ref="AC42:AG42"/>
    <mergeCell ref="AH42:AJ42"/>
    <mergeCell ref="AP42:AR42"/>
    <mergeCell ref="AS42:AU42"/>
    <mergeCell ref="M41:Q41"/>
    <mergeCell ref="R41:T41"/>
    <mergeCell ref="U41:Y41"/>
    <mergeCell ref="AC41:AG41"/>
    <mergeCell ref="AH41:AJ41"/>
    <mergeCell ref="AP41:AR41"/>
    <mergeCell ref="M39:T39"/>
    <mergeCell ref="U39:AB39"/>
    <mergeCell ref="AC39:AJ39"/>
    <mergeCell ref="M40:Q40"/>
    <mergeCell ref="R40:T40"/>
    <mergeCell ref="U40:Y40"/>
    <mergeCell ref="AC40:AG40"/>
    <mergeCell ref="AH40:AJ40"/>
    <mergeCell ref="M38:P38"/>
    <mergeCell ref="Q38:T38"/>
    <mergeCell ref="U38:X38"/>
    <mergeCell ref="Y38:AB38"/>
    <mergeCell ref="AC38:AF38"/>
    <mergeCell ref="AG38:AJ38"/>
    <mergeCell ref="M37:P37"/>
    <mergeCell ref="Q37:T37"/>
    <mergeCell ref="U37:X37"/>
    <mergeCell ref="Y37:AB37"/>
    <mergeCell ref="AC37:AF37"/>
    <mergeCell ref="AG37:AJ37"/>
    <mergeCell ref="M36:P36"/>
    <mergeCell ref="Q36:T36"/>
    <mergeCell ref="U36:X36"/>
    <mergeCell ref="Y36:AB36"/>
    <mergeCell ref="AC36:AF36"/>
    <mergeCell ref="AG36:AJ36"/>
    <mergeCell ref="M35:P35"/>
    <mergeCell ref="Q35:T35"/>
    <mergeCell ref="U35:X35"/>
    <mergeCell ref="Y35:AB35"/>
    <mergeCell ref="AC35:AF35"/>
    <mergeCell ref="AG35:AJ35"/>
    <mergeCell ref="M34:P34"/>
    <mergeCell ref="Q34:T34"/>
    <mergeCell ref="U34:X34"/>
    <mergeCell ref="Y34:AB34"/>
    <mergeCell ref="AC34:AF34"/>
    <mergeCell ref="AG34:AJ34"/>
    <mergeCell ref="M33:P33"/>
    <mergeCell ref="Q33:T33"/>
    <mergeCell ref="U33:X33"/>
    <mergeCell ref="Y33:AB33"/>
    <mergeCell ref="AC33:AF33"/>
    <mergeCell ref="AG33:AJ33"/>
    <mergeCell ref="M32:P32"/>
    <mergeCell ref="Q32:T32"/>
    <mergeCell ref="U32:X32"/>
    <mergeCell ref="Y32:AB32"/>
    <mergeCell ref="AC32:AF32"/>
    <mergeCell ref="AG32:AJ32"/>
    <mergeCell ref="M31:P31"/>
    <mergeCell ref="Q31:T31"/>
    <mergeCell ref="U31:X31"/>
    <mergeCell ref="Y31:AB31"/>
    <mergeCell ref="AC31:AF31"/>
    <mergeCell ref="AG31:AJ31"/>
    <mergeCell ref="M30:P30"/>
    <mergeCell ref="Q30:T30"/>
    <mergeCell ref="U30:X30"/>
    <mergeCell ref="Y30:AB30"/>
    <mergeCell ref="AC30:AF30"/>
    <mergeCell ref="AG30:AJ30"/>
    <mergeCell ref="M29:P29"/>
    <mergeCell ref="Q29:T29"/>
    <mergeCell ref="U29:X29"/>
    <mergeCell ref="Y29:AB29"/>
    <mergeCell ref="AC29:AF29"/>
    <mergeCell ref="AG29:AJ29"/>
    <mergeCell ref="M28:P28"/>
    <mergeCell ref="Q28:T28"/>
    <mergeCell ref="U28:X28"/>
    <mergeCell ref="Y28:AB28"/>
    <mergeCell ref="AC28:AF28"/>
    <mergeCell ref="AG28:AJ28"/>
    <mergeCell ref="M27:P27"/>
    <mergeCell ref="Q27:T27"/>
    <mergeCell ref="U27:X27"/>
    <mergeCell ref="Y27:AB27"/>
    <mergeCell ref="AC27:AF27"/>
    <mergeCell ref="AG27:AJ27"/>
    <mergeCell ref="M26:P26"/>
    <mergeCell ref="Q26:T26"/>
    <mergeCell ref="U26:X26"/>
    <mergeCell ref="Y26:AB26"/>
    <mergeCell ref="AC26:AF26"/>
    <mergeCell ref="AG26:AJ26"/>
    <mergeCell ref="M25:P25"/>
    <mergeCell ref="Q25:T25"/>
    <mergeCell ref="U25:X25"/>
    <mergeCell ref="Y25:AB25"/>
    <mergeCell ref="AC25:AF25"/>
    <mergeCell ref="AG25:AJ25"/>
    <mergeCell ref="M24:P24"/>
    <mergeCell ref="Q24:T24"/>
    <mergeCell ref="U24:X24"/>
    <mergeCell ref="Y24:AB24"/>
    <mergeCell ref="AC24:AF24"/>
    <mergeCell ref="AG24:AJ24"/>
    <mergeCell ref="M23:P23"/>
    <mergeCell ref="Q23:T23"/>
    <mergeCell ref="U23:X23"/>
    <mergeCell ref="Y23:AB23"/>
    <mergeCell ref="AC23:AF23"/>
    <mergeCell ref="AG23:AJ23"/>
    <mergeCell ref="M22:P22"/>
    <mergeCell ref="Q22:T22"/>
    <mergeCell ref="U22:X22"/>
    <mergeCell ref="Y22:AB22"/>
    <mergeCell ref="AC22:AF22"/>
    <mergeCell ref="AG22:AJ22"/>
    <mergeCell ref="AT20:AU20"/>
    <mergeCell ref="M21:P21"/>
    <mergeCell ref="Q21:T21"/>
    <mergeCell ref="U21:X21"/>
    <mergeCell ref="Y21:AB21"/>
    <mergeCell ref="AC21:AF21"/>
    <mergeCell ref="AG21:AJ21"/>
    <mergeCell ref="M20:P20"/>
    <mergeCell ref="Q20:T20"/>
    <mergeCell ref="U20:X20"/>
    <mergeCell ref="Y20:AB20"/>
    <mergeCell ref="AC20:AF20"/>
    <mergeCell ref="AG20:AJ20"/>
    <mergeCell ref="M19:P19"/>
    <mergeCell ref="Q19:T19"/>
    <mergeCell ref="U19:X19"/>
    <mergeCell ref="Y19:AB19"/>
    <mergeCell ref="AC19:AF19"/>
    <mergeCell ref="AG19:AJ19"/>
    <mergeCell ref="M18:P18"/>
    <mergeCell ref="Q18:T18"/>
    <mergeCell ref="U18:X18"/>
    <mergeCell ref="Y18:AB18"/>
    <mergeCell ref="AC18:AF18"/>
    <mergeCell ref="AG18:AJ18"/>
    <mergeCell ref="AP16:AQ16"/>
    <mergeCell ref="AR16:AS16"/>
    <mergeCell ref="AT16:AU16"/>
    <mergeCell ref="M17:P17"/>
    <mergeCell ref="Q17:T17"/>
    <mergeCell ref="U17:X17"/>
    <mergeCell ref="Y17:AB17"/>
    <mergeCell ref="AC17:AF17"/>
    <mergeCell ref="AG17:AJ17"/>
    <mergeCell ref="M16:P16"/>
    <mergeCell ref="Q16:T16"/>
    <mergeCell ref="U16:X16"/>
    <mergeCell ref="Y16:AB16"/>
    <mergeCell ref="AC16:AF16"/>
    <mergeCell ref="AG16:AJ16"/>
    <mergeCell ref="AK14:AL14"/>
    <mergeCell ref="M15:P15"/>
    <mergeCell ref="Q15:T15"/>
    <mergeCell ref="U15:X15"/>
    <mergeCell ref="Y15:AB15"/>
    <mergeCell ref="AC15:AF15"/>
    <mergeCell ref="AG15:AJ15"/>
    <mergeCell ref="B12:F12"/>
    <mergeCell ref="G12:I12"/>
    <mergeCell ref="O12:P12"/>
    <mergeCell ref="B13:AJ13"/>
    <mergeCell ref="M14:T14"/>
    <mergeCell ref="U14:AB14"/>
    <mergeCell ref="AC14:AJ14"/>
    <mergeCell ref="E10:K10"/>
    <mergeCell ref="Q10:W10"/>
    <mergeCell ref="AC10:AJ10"/>
    <mergeCell ref="B11:F11"/>
    <mergeCell ref="G11:I11"/>
    <mergeCell ref="O11:P11"/>
    <mergeCell ref="AG11:AJ11"/>
    <mergeCell ref="Z1:AJ1"/>
    <mergeCell ref="B6:AJ6"/>
    <mergeCell ref="B7:AJ7"/>
    <mergeCell ref="E9:K9"/>
    <mergeCell ref="O9:W9"/>
    <mergeCell ref="AA9:AJ9"/>
  </mergeCells>
  <conditionalFormatting sqref="M17:AJ18 AL17:AL18">
    <cfRule type="cellIs" dxfId="23" priority="11" stopIfTrue="1" operator="greaterThan">
      <formula>0</formula>
    </cfRule>
    <cfRule type="cellIs" dxfId="22" priority="12" stopIfTrue="1" operator="lessThan">
      <formula>-42</formula>
    </cfRule>
  </conditionalFormatting>
  <conditionalFormatting sqref="M16:AJ16 AL16">
    <cfRule type="cellIs" dxfId="21" priority="13" stopIfTrue="1" operator="lessThan">
      <formula>1</formula>
    </cfRule>
    <cfRule type="cellIs" dxfId="20" priority="14" stopIfTrue="1" operator="greaterThan">
      <formula>400</formula>
    </cfRule>
  </conditionalFormatting>
  <conditionalFormatting sqref="AL19 M19:AJ19">
    <cfRule type="cellIs" dxfId="19" priority="15" stopIfTrue="1" operator="greaterThan">
      <formula>15000</formula>
    </cfRule>
    <cfRule type="cellIs" dxfId="18" priority="16" stopIfTrue="1" operator="lessThan">
      <formula>1</formula>
    </cfRule>
  </conditionalFormatting>
  <conditionalFormatting sqref="O11:P11">
    <cfRule type="cellIs" dxfId="17" priority="17" stopIfTrue="1" operator="notBetween">
      <formula>-2</formula>
      <formula>5</formula>
    </cfRule>
  </conditionalFormatting>
  <conditionalFormatting sqref="AP18:AU18">
    <cfRule type="expression" dxfId="16" priority="18" stopIfTrue="1">
      <formula>AP$19&gt;=98</formula>
    </cfRule>
    <cfRule type="expression" dxfId="15" priority="19" stopIfTrue="1">
      <formula>AP$19&gt;=95</formula>
    </cfRule>
  </conditionalFormatting>
  <conditionalFormatting sqref="AP19:AU19">
    <cfRule type="cellIs" dxfId="14" priority="20" stopIfTrue="1" operator="greaterThanOrEqual">
      <formula>98</formula>
    </cfRule>
    <cfRule type="cellIs" dxfId="13" priority="21" stopIfTrue="1" operator="greaterThanOrEqual">
      <formula>95</formula>
    </cfRule>
  </conditionalFormatting>
  <conditionalFormatting sqref="AK17:AK18">
    <cfRule type="cellIs" dxfId="12" priority="5" stopIfTrue="1" operator="greaterThan">
      <formula>0</formula>
    </cfRule>
    <cfRule type="cellIs" dxfId="11" priority="6" stopIfTrue="1" operator="lessThan">
      <formula>-42</formula>
    </cfRule>
  </conditionalFormatting>
  <conditionalFormatting sqref="AK16">
    <cfRule type="cellIs" dxfId="10" priority="7" stopIfTrue="1" operator="lessThan">
      <formula>1</formula>
    </cfRule>
    <cfRule type="cellIs" dxfId="9" priority="8" stopIfTrue="1" operator="greaterThan">
      <formula>400</formula>
    </cfRule>
  </conditionalFormatting>
  <conditionalFormatting sqref="AK19">
    <cfRule type="cellIs" dxfId="8" priority="9" stopIfTrue="1" operator="greaterThan">
      <formula>15000</formula>
    </cfRule>
    <cfRule type="cellIs" dxfId="7" priority="10" stopIfTrue="1" operator="lessThan">
      <formula>1</formula>
    </cfRule>
  </conditionalFormatting>
  <conditionalFormatting sqref="AQ26:AR26">
    <cfRule type="cellIs" dxfId="6" priority="3" stopIfTrue="1" operator="greaterThanOrEqual">
      <formula>98</formula>
    </cfRule>
    <cfRule type="cellIs" dxfId="5" priority="4" stopIfTrue="1" operator="greaterThanOrEqual">
      <formula>95</formula>
    </cfRule>
  </conditionalFormatting>
  <conditionalFormatting sqref="AQ33:AR33">
    <cfRule type="cellIs" dxfId="4" priority="1" stopIfTrue="1" operator="greaterThanOrEqual">
      <formula>98</formula>
    </cfRule>
    <cfRule type="cellIs" dxfId="3" priority="2" stopIfTrue="1" operator="greaterThanOrEqual">
      <formula>95</formula>
    </cfRule>
  </conditionalFormatting>
  <pageMargins left="0.7" right="0.7" top="0.75" bottom="0.75" header="0.3" footer="0.3"/>
  <pageSetup paperSize="9" scale="74" orientation="portrait" r:id="rId1"/>
  <colBreaks count="1" manualBreakCount="1">
    <brk id="39"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4FDAF-C00C-4F16-B94E-7AAEA9C7E2E8}">
  <sheetPr codeName="Feuil7"/>
  <dimension ref="A1:AM120"/>
  <sheetViews>
    <sheetView showRowColHeaders="0" workbookViewId="0">
      <selection activeCell="F15" sqref="F15"/>
    </sheetView>
  </sheetViews>
  <sheetFormatPr baseColWidth="10" defaultColWidth="9.1796875" defaultRowHeight="14.5"/>
  <cols>
    <col min="1" max="1" width="4.26953125" style="1006" customWidth="1"/>
    <col min="2" max="4" width="6.453125" style="880" customWidth="1"/>
    <col min="5" max="5" width="6.1796875" style="880" customWidth="1"/>
    <col min="6" max="6" width="9.54296875" style="880" customWidth="1"/>
    <col min="7" max="7" width="6.54296875" style="1004" customWidth="1"/>
    <col min="8" max="8" width="7.453125" style="1005" customWidth="1"/>
    <col min="9" max="9" width="9.1796875" style="880"/>
    <col min="10" max="10" width="15.7265625" style="880" customWidth="1"/>
    <col min="11" max="11" width="15.54296875" style="880" customWidth="1"/>
    <col min="12" max="12" width="7.7265625" style="880" customWidth="1"/>
    <col min="13" max="13" width="9.54296875" style="880" customWidth="1"/>
    <col min="14" max="14" width="11" style="880" customWidth="1"/>
    <col min="15" max="15" width="9.1796875" style="1006"/>
    <col min="16" max="25" width="9.1796875" style="954" hidden="1" customWidth="1"/>
    <col min="26" max="38" width="9.1796875" style="954"/>
    <col min="39" max="256" width="9.1796875" style="880"/>
    <col min="257" max="257" width="4.26953125" style="880" customWidth="1"/>
    <col min="258" max="260" width="6.453125" style="880" customWidth="1"/>
    <col min="261" max="261" width="6.1796875" style="880" customWidth="1"/>
    <col min="262" max="262" width="9.54296875" style="880" customWidth="1"/>
    <col min="263" max="263" width="6.54296875" style="880" customWidth="1"/>
    <col min="264" max="264" width="7.453125" style="880" customWidth="1"/>
    <col min="265" max="265" width="9.1796875" style="880"/>
    <col min="266" max="266" width="15.7265625" style="880" customWidth="1"/>
    <col min="267" max="267" width="15.54296875" style="880" customWidth="1"/>
    <col min="268" max="268" width="7.7265625" style="880" customWidth="1"/>
    <col min="269" max="269" width="8.54296875" style="880" customWidth="1"/>
    <col min="270" max="270" width="11" style="880" customWidth="1"/>
    <col min="271" max="271" width="9.1796875" style="880"/>
    <col min="272" max="281" width="0" style="880" hidden="1" customWidth="1"/>
    <col min="282" max="512" width="9.1796875" style="880"/>
    <col min="513" max="513" width="4.26953125" style="880" customWidth="1"/>
    <col min="514" max="516" width="6.453125" style="880" customWidth="1"/>
    <col min="517" max="517" width="6.1796875" style="880" customWidth="1"/>
    <col min="518" max="518" width="9.54296875" style="880" customWidth="1"/>
    <col min="519" max="519" width="6.54296875" style="880" customWidth="1"/>
    <col min="520" max="520" width="7.453125" style="880" customWidth="1"/>
    <col min="521" max="521" width="9.1796875" style="880"/>
    <col min="522" max="522" width="15.7265625" style="880" customWidth="1"/>
    <col min="523" max="523" width="15.54296875" style="880" customWidth="1"/>
    <col min="524" max="524" width="7.7265625" style="880" customWidth="1"/>
    <col min="525" max="525" width="8.54296875" style="880" customWidth="1"/>
    <col min="526" max="526" width="11" style="880" customWidth="1"/>
    <col min="527" max="527" width="9.1796875" style="880"/>
    <col min="528" max="537" width="0" style="880" hidden="1" customWidth="1"/>
    <col min="538" max="768" width="9.1796875" style="880"/>
    <col min="769" max="769" width="4.26953125" style="880" customWidth="1"/>
    <col min="770" max="772" width="6.453125" style="880" customWidth="1"/>
    <col min="773" max="773" width="6.1796875" style="880" customWidth="1"/>
    <col min="774" max="774" width="9.54296875" style="880" customWidth="1"/>
    <col min="775" max="775" width="6.54296875" style="880" customWidth="1"/>
    <col min="776" max="776" width="7.453125" style="880" customWidth="1"/>
    <col min="777" max="777" width="9.1796875" style="880"/>
    <col min="778" max="778" width="15.7265625" style="880" customWidth="1"/>
    <col min="779" max="779" width="15.54296875" style="880" customWidth="1"/>
    <col min="780" max="780" width="7.7265625" style="880" customWidth="1"/>
    <col min="781" max="781" width="8.54296875" style="880" customWidth="1"/>
    <col min="782" max="782" width="11" style="880" customWidth="1"/>
    <col min="783" max="783" width="9.1796875" style="880"/>
    <col min="784" max="793" width="0" style="880" hidden="1" customWidth="1"/>
    <col min="794" max="1024" width="9.1796875" style="880"/>
    <col min="1025" max="1025" width="4.26953125" style="880" customWidth="1"/>
    <col min="1026" max="1028" width="6.453125" style="880" customWidth="1"/>
    <col min="1029" max="1029" width="6.1796875" style="880" customWidth="1"/>
    <col min="1030" max="1030" width="9.54296875" style="880" customWidth="1"/>
    <col min="1031" max="1031" width="6.54296875" style="880" customWidth="1"/>
    <col min="1032" max="1032" width="7.453125" style="880" customWidth="1"/>
    <col min="1033" max="1033" width="9.1796875" style="880"/>
    <col min="1034" max="1034" width="15.7265625" style="880" customWidth="1"/>
    <col min="1035" max="1035" width="15.54296875" style="880" customWidth="1"/>
    <col min="1036" max="1036" width="7.7265625" style="880" customWidth="1"/>
    <col min="1037" max="1037" width="8.54296875" style="880" customWidth="1"/>
    <col min="1038" max="1038" width="11" style="880" customWidth="1"/>
    <col min="1039" max="1039" width="9.1796875" style="880"/>
    <col min="1040" max="1049" width="0" style="880" hidden="1" customWidth="1"/>
    <col min="1050" max="1280" width="9.1796875" style="880"/>
    <col min="1281" max="1281" width="4.26953125" style="880" customWidth="1"/>
    <col min="1282" max="1284" width="6.453125" style="880" customWidth="1"/>
    <col min="1285" max="1285" width="6.1796875" style="880" customWidth="1"/>
    <col min="1286" max="1286" width="9.54296875" style="880" customWidth="1"/>
    <col min="1287" max="1287" width="6.54296875" style="880" customWidth="1"/>
    <col min="1288" max="1288" width="7.453125" style="880" customWidth="1"/>
    <col min="1289" max="1289" width="9.1796875" style="880"/>
    <col min="1290" max="1290" width="15.7265625" style="880" customWidth="1"/>
    <col min="1291" max="1291" width="15.54296875" style="880" customWidth="1"/>
    <col min="1292" max="1292" width="7.7265625" style="880" customWidth="1"/>
    <col min="1293" max="1293" width="8.54296875" style="880" customWidth="1"/>
    <col min="1294" max="1294" width="11" style="880" customWidth="1"/>
    <col min="1295" max="1295" width="9.1796875" style="880"/>
    <col min="1296" max="1305" width="0" style="880" hidden="1" customWidth="1"/>
    <col min="1306" max="1536" width="9.1796875" style="880"/>
    <col min="1537" max="1537" width="4.26953125" style="880" customWidth="1"/>
    <col min="1538" max="1540" width="6.453125" style="880" customWidth="1"/>
    <col min="1541" max="1541" width="6.1796875" style="880" customWidth="1"/>
    <col min="1542" max="1542" width="9.54296875" style="880" customWidth="1"/>
    <col min="1543" max="1543" width="6.54296875" style="880" customWidth="1"/>
    <col min="1544" max="1544" width="7.453125" style="880" customWidth="1"/>
    <col min="1545" max="1545" width="9.1796875" style="880"/>
    <col min="1546" max="1546" width="15.7265625" style="880" customWidth="1"/>
    <col min="1547" max="1547" width="15.54296875" style="880" customWidth="1"/>
    <col min="1548" max="1548" width="7.7265625" style="880" customWidth="1"/>
    <col min="1549" max="1549" width="8.54296875" style="880" customWidth="1"/>
    <col min="1550" max="1550" width="11" style="880" customWidth="1"/>
    <col min="1551" max="1551" width="9.1796875" style="880"/>
    <col min="1552" max="1561" width="0" style="880" hidden="1" customWidth="1"/>
    <col min="1562" max="1792" width="9.1796875" style="880"/>
    <col min="1793" max="1793" width="4.26953125" style="880" customWidth="1"/>
    <col min="1794" max="1796" width="6.453125" style="880" customWidth="1"/>
    <col min="1797" max="1797" width="6.1796875" style="880" customWidth="1"/>
    <col min="1798" max="1798" width="9.54296875" style="880" customWidth="1"/>
    <col min="1799" max="1799" width="6.54296875" style="880" customWidth="1"/>
    <col min="1800" max="1800" width="7.453125" style="880" customWidth="1"/>
    <col min="1801" max="1801" width="9.1796875" style="880"/>
    <col min="1802" max="1802" width="15.7265625" style="880" customWidth="1"/>
    <col min="1803" max="1803" width="15.54296875" style="880" customWidth="1"/>
    <col min="1804" max="1804" width="7.7265625" style="880" customWidth="1"/>
    <col min="1805" max="1805" width="8.54296875" style="880" customWidth="1"/>
    <col min="1806" max="1806" width="11" style="880" customWidth="1"/>
    <col min="1807" max="1807" width="9.1796875" style="880"/>
    <col min="1808" max="1817" width="0" style="880" hidden="1" customWidth="1"/>
    <col min="1818" max="2048" width="9.1796875" style="880"/>
    <col min="2049" max="2049" width="4.26953125" style="880" customWidth="1"/>
    <col min="2050" max="2052" width="6.453125" style="880" customWidth="1"/>
    <col min="2053" max="2053" width="6.1796875" style="880" customWidth="1"/>
    <col min="2054" max="2054" width="9.54296875" style="880" customWidth="1"/>
    <col min="2055" max="2055" width="6.54296875" style="880" customWidth="1"/>
    <col min="2056" max="2056" width="7.453125" style="880" customWidth="1"/>
    <col min="2057" max="2057" width="9.1796875" style="880"/>
    <col min="2058" max="2058" width="15.7265625" style="880" customWidth="1"/>
    <col min="2059" max="2059" width="15.54296875" style="880" customWidth="1"/>
    <col min="2060" max="2060" width="7.7265625" style="880" customWidth="1"/>
    <col min="2061" max="2061" width="8.54296875" style="880" customWidth="1"/>
    <col min="2062" max="2062" width="11" style="880" customWidth="1"/>
    <col min="2063" max="2063" width="9.1796875" style="880"/>
    <col min="2064" max="2073" width="0" style="880" hidden="1" customWidth="1"/>
    <col min="2074" max="2304" width="9.1796875" style="880"/>
    <col min="2305" max="2305" width="4.26953125" style="880" customWidth="1"/>
    <col min="2306" max="2308" width="6.453125" style="880" customWidth="1"/>
    <col min="2309" max="2309" width="6.1796875" style="880" customWidth="1"/>
    <col min="2310" max="2310" width="9.54296875" style="880" customWidth="1"/>
    <col min="2311" max="2311" width="6.54296875" style="880" customWidth="1"/>
    <col min="2312" max="2312" width="7.453125" style="880" customWidth="1"/>
    <col min="2313" max="2313" width="9.1796875" style="880"/>
    <col min="2314" max="2314" width="15.7265625" style="880" customWidth="1"/>
    <col min="2315" max="2315" width="15.54296875" style="880" customWidth="1"/>
    <col min="2316" max="2316" width="7.7265625" style="880" customWidth="1"/>
    <col min="2317" max="2317" width="8.54296875" style="880" customWidth="1"/>
    <col min="2318" max="2318" width="11" style="880" customWidth="1"/>
    <col min="2319" max="2319" width="9.1796875" style="880"/>
    <col min="2320" max="2329" width="0" style="880" hidden="1" customWidth="1"/>
    <col min="2330" max="2560" width="9.1796875" style="880"/>
    <col min="2561" max="2561" width="4.26953125" style="880" customWidth="1"/>
    <col min="2562" max="2564" width="6.453125" style="880" customWidth="1"/>
    <col min="2565" max="2565" width="6.1796875" style="880" customWidth="1"/>
    <col min="2566" max="2566" width="9.54296875" style="880" customWidth="1"/>
    <col min="2567" max="2567" width="6.54296875" style="880" customWidth="1"/>
    <col min="2568" max="2568" width="7.453125" style="880" customWidth="1"/>
    <col min="2569" max="2569" width="9.1796875" style="880"/>
    <col min="2570" max="2570" width="15.7265625" style="880" customWidth="1"/>
    <col min="2571" max="2571" width="15.54296875" style="880" customWidth="1"/>
    <col min="2572" max="2572" width="7.7265625" style="880" customWidth="1"/>
    <col min="2573" max="2573" width="8.54296875" style="880" customWidth="1"/>
    <col min="2574" max="2574" width="11" style="880" customWidth="1"/>
    <col min="2575" max="2575" width="9.1796875" style="880"/>
    <col min="2576" max="2585" width="0" style="880" hidden="1" customWidth="1"/>
    <col min="2586" max="2816" width="9.1796875" style="880"/>
    <col min="2817" max="2817" width="4.26953125" style="880" customWidth="1"/>
    <col min="2818" max="2820" width="6.453125" style="880" customWidth="1"/>
    <col min="2821" max="2821" width="6.1796875" style="880" customWidth="1"/>
    <col min="2822" max="2822" width="9.54296875" style="880" customWidth="1"/>
    <col min="2823" max="2823" width="6.54296875" style="880" customWidth="1"/>
    <col min="2824" max="2824" width="7.453125" style="880" customWidth="1"/>
    <col min="2825" max="2825" width="9.1796875" style="880"/>
    <col min="2826" max="2826" width="15.7265625" style="880" customWidth="1"/>
    <col min="2827" max="2827" width="15.54296875" style="880" customWidth="1"/>
    <col min="2828" max="2828" width="7.7265625" style="880" customWidth="1"/>
    <col min="2829" max="2829" width="8.54296875" style="880" customWidth="1"/>
    <col min="2830" max="2830" width="11" style="880" customWidth="1"/>
    <col min="2831" max="2831" width="9.1796875" style="880"/>
    <col min="2832" max="2841" width="0" style="880" hidden="1" customWidth="1"/>
    <col min="2842" max="3072" width="9.1796875" style="880"/>
    <col min="3073" max="3073" width="4.26953125" style="880" customWidth="1"/>
    <col min="3074" max="3076" width="6.453125" style="880" customWidth="1"/>
    <col min="3077" max="3077" width="6.1796875" style="880" customWidth="1"/>
    <col min="3078" max="3078" width="9.54296875" style="880" customWidth="1"/>
    <col min="3079" max="3079" width="6.54296875" style="880" customWidth="1"/>
    <col min="3080" max="3080" width="7.453125" style="880" customWidth="1"/>
    <col min="3081" max="3081" width="9.1796875" style="880"/>
    <col min="3082" max="3082" width="15.7265625" style="880" customWidth="1"/>
    <col min="3083" max="3083" width="15.54296875" style="880" customWidth="1"/>
    <col min="3084" max="3084" width="7.7265625" style="880" customWidth="1"/>
    <col min="3085" max="3085" width="8.54296875" style="880" customWidth="1"/>
    <col min="3086" max="3086" width="11" style="880" customWidth="1"/>
    <col min="3087" max="3087" width="9.1796875" style="880"/>
    <col min="3088" max="3097" width="0" style="880" hidden="1" customWidth="1"/>
    <col min="3098" max="3328" width="9.1796875" style="880"/>
    <col min="3329" max="3329" width="4.26953125" style="880" customWidth="1"/>
    <col min="3330" max="3332" width="6.453125" style="880" customWidth="1"/>
    <col min="3333" max="3333" width="6.1796875" style="880" customWidth="1"/>
    <col min="3334" max="3334" width="9.54296875" style="880" customWidth="1"/>
    <col min="3335" max="3335" width="6.54296875" style="880" customWidth="1"/>
    <col min="3336" max="3336" width="7.453125" style="880" customWidth="1"/>
    <col min="3337" max="3337" width="9.1796875" style="880"/>
    <col min="3338" max="3338" width="15.7265625" style="880" customWidth="1"/>
    <col min="3339" max="3339" width="15.54296875" style="880" customWidth="1"/>
    <col min="3340" max="3340" width="7.7265625" style="880" customWidth="1"/>
    <col min="3341" max="3341" width="8.54296875" style="880" customWidth="1"/>
    <col min="3342" max="3342" width="11" style="880" customWidth="1"/>
    <col min="3343" max="3343" width="9.1796875" style="880"/>
    <col min="3344" max="3353" width="0" style="880" hidden="1" customWidth="1"/>
    <col min="3354" max="3584" width="9.1796875" style="880"/>
    <col min="3585" max="3585" width="4.26953125" style="880" customWidth="1"/>
    <col min="3586" max="3588" width="6.453125" style="880" customWidth="1"/>
    <col min="3589" max="3589" width="6.1796875" style="880" customWidth="1"/>
    <col min="3590" max="3590" width="9.54296875" style="880" customWidth="1"/>
    <col min="3591" max="3591" width="6.54296875" style="880" customWidth="1"/>
    <col min="3592" max="3592" width="7.453125" style="880" customWidth="1"/>
    <col min="3593" max="3593" width="9.1796875" style="880"/>
    <col min="3594" max="3594" width="15.7265625" style="880" customWidth="1"/>
    <col min="3595" max="3595" width="15.54296875" style="880" customWidth="1"/>
    <col min="3596" max="3596" width="7.7265625" style="880" customWidth="1"/>
    <col min="3597" max="3597" width="8.54296875" style="880" customWidth="1"/>
    <col min="3598" max="3598" width="11" style="880" customWidth="1"/>
    <col min="3599" max="3599" width="9.1796875" style="880"/>
    <col min="3600" max="3609" width="0" style="880" hidden="1" customWidth="1"/>
    <col min="3610" max="3840" width="9.1796875" style="880"/>
    <col min="3841" max="3841" width="4.26953125" style="880" customWidth="1"/>
    <col min="3842" max="3844" width="6.453125" style="880" customWidth="1"/>
    <col min="3845" max="3845" width="6.1796875" style="880" customWidth="1"/>
    <col min="3846" max="3846" width="9.54296875" style="880" customWidth="1"/>
    <col min="3847" max="3847" width="6.54296875" style="880" customWidth="1"/>
    <col min="3848" max="3848" width="7.453125" style="880" customWidth="1"/>
    <col min="3849" max="3849" width="9.1796875" style="880"/>
    <col min="3850" max="3850" width="15.7265625" style="880" customWidth="1"/>
    <col min="3851" max="3851" width="15.54296875" style="880" customWidth="1"/>
    <col min="3852" max="3852" width="7.7265625" style="880" customWidth="1"/>
    <col min="3853" max="3853" width="8.54296875" style="880" customWidth="1"/>
    <col min="3854" max="3854" width="11" style="880" customWidth="1"/>
    <col min="3855" max="3855" width="9.1796875" style="880"/>
    <col min="3856" max="3865" width="0" style="880" hidden="1" customWidth="1"/>
    <col min="3866" max="4096" width="9.1796875" style="880"/>
    <col min="4097" max="4097" width="4.26953125" style="880" customWidth="1"/>
    <col min="4098" max="4100" width="6.453125" style="880" customWidth="1"/>
    <col min="4101" max="4101" width="6.1796875" style="880" customWidth="1"/>
    <col min="4102" max="4102" width="9.54296875" style="880" customWidth="1"/>
    <col min="4103" max="4103" width="6.54296875" style="880" customWidth="1"/>
    <col min="4104" max="4104" width="7.453125" style="880" customWidth="1"/>
    <col min="4105" max="4105" width="9.1796875" style="880"/>
    <col min="4106" max="4106" width="15.7265625" style="880" customWidth="1"/>
    <col min="4107" max="4107" width="15.54296875" style="880" customWidth="1"/>
    <col min="4108" max="4108" width="7.7265625" style="880" customWidth="1"/>
    <col min="4109" max="4109" width="8.54296875" style="880" customWidth="1"/>
    <col min="4110" max="4110" width="11" style="880" customWidth="1"/>
    <col min="4111" max="4111" width="9.1796875" style="880"/>
    <col min="4112" max="4121" width="0" style="880" hidden="1" customWidth="1"/>
    <col min="4122" max="4352" width="9.1796875" style="880"/>
    <col min="4353" max="4353" width="4.26953125" style="880" customWidth="1"/>
    <col min="4354" max="4356" width="6.453125" style="880" customWidth="1"/>
    <col min="4357" max="4357" width="6.1796875" style="880" customWidth="1"/>
    <col min="4358" max="4358" width="9.54296875" style="880" customWidth="1"/>
    <col min="4359" max="4359" width="6.54296875" style="880" customWidth="1"/>
    <col min="4360" max="4360" width="7.453125" style="880" customWidth="1"/>
    <col min="4361" max="4361" width="9.1796875" style="880"/>
    <col min="4362" max="4362" width="15.7265625" style="880" customWidth="1"/>
    <col min="4363" max="4363" width="15.54296875" style="880" customWidth="1"/>
    <col min="4364" max="4364" width="7.7265625" style="880" customWidth="1"/>
    <col min="4365" max="4365" width="8.54296875" style="880" customWidth="1"/>
    <col min="4366" max="4366" width="11" style="880" customWidth="1"/>
    <col min="4367" max="4367" width="9.1796875" style="880"/>
    <col min="4368" max="4377" width="0" style="880" hidden="1" customWidth="1"/>
    <col min="4378" max="4608" width="9.1796875" style="880"/>
    <col min="4609" max="4609" width="4.26953125" style="880" customWidth="1"/>
    <col min="4610" max="4612" width="6.453125" style="880" customWidth="1"/>
    <col min="4613" max="4613" width="6.1796875" style="880" customWidth="1"/>
    <col min="4614" max="4614" width="9.54296875" style="880" customWidth="1"/>
    <col min="4615" max="4615" width="6.54296875" style="880" customWidth="1"/>
    <col min="4616" max="4616" width="7.453125" style="880" customWidth="1"/>
    <col min="4617" max="4617" width="9.1796875" style="880"/>
    <col min="4618" max="4618" width="15.7265625" style="880" customWidth="1"/>
    <col min="4619" max="4619" width="15.54296875" style="880" customWidth="1"/>
    <col min="4620" max="4620" width="7.7265625" style="880" customWidth="1"/>
    <col min="4621" max="4621" width="8.54296875" style="880" customWidth="1"/>
    <col min="4622" max="4622" width="11" style="880" customWidth="1"/>
    <col min="4623" max="4623" width="9.1796875" style="880"/>
    <col min="4624" max="4633" width="0" style="880" hidden="1" customWidth="1"/>
    <col min="4634" max="4864" width="9.1796875" style="880"/>
    <col min="4865" max="4865" width="4.26953125" style="880" customWidth="1"/>
    <col min="4866" max="4868" width="6.453125" style="880" customWidth="1"/>
    <col min="4869" max="4869" width="6.1796875" style="880" customWidth="1"/>
    <col min="4870" max="4870" width="9.54296875" style="880" customWidth="1"/>
    <col min="4871" max="4871" width="6.54296875" style="880" customWidth="1"/>
    <col min="4872" max="4872" width="7.453125" style="880" customWidth="1"/>
    <col min="4873" max="4873" width="9.1796875" style="880"/>
    <col min="4874" max="4874" width="15.7265625" style="880" customWidth="1"/>
    <col min="4875" max="4875" width="15.54296875" style="880" customWidth="1"/>
    <col min="4876" max="4876" width="7.7265625" style="880" customWidth="1"/>
    <col min="4877" max="4877" width="8.54296875" style="880" customWidth="1"/>
    <col min="4878" max="4878" width="11" style="880" customWidth="1"/>
    <col min="4879" max="4879" width="9.1796875" style="880"/>
    <col min="4880" max="4889" width="0" style="880" hidden="1" customWidth="1"/>
    <col min="4890" max="5120" width="9.1796875" style="880"/>
    <col min="5121" max="5121" width="4.26953125" style="880" customWidth="1"/>
    <col min="5122" max="5124" width="6.453125" style="880" customWidth="1"/>
    <col min="5125" max="5125" width="6.1796875" style="880" customWidth="1"/>
    <col min="5126" max="5126" width="9.54296875" style="880" customWidth="1"/>
    <col min="5127" max="5127" width="6.54296875" style="880" customWidth="1"/>
    <col min="5128" max="5128" width="7.453125" style="880" customWidth="1"/>
    <col min="5129" max="5129" width="9.1796875" style="880"/>
    <col min="5130" max="5130" width="15.7265625" style="880" customWidth="1"/>
    <col min="5131" max="5131" width="15.54296875" style="880" customWidth="1"/>
    <col min="5132" max="5132" width="7.7265625" style="880" customWidth="1"/>
    <col min="5133" max="5133" width="8.54296875" style="880" customWidth="1"/>
    <col min="5134" max="5134" width="11" style="880" customWidth="1"/>
    <col min="5135" max="5135" width="9.1796875" style="880"/>
    <col min="5136" max="5145" width="0" style="880" hidden="1" customWidth="1"/>
    <col min="5146" max="5376" width="9.1796875" style="880"/>
    <col min="5377" max="5377" width="4.26953125" style="880" customWidth="1"/>
    <col min="5378" max="5380" width="6.453125" style="880" customWidth="1"/>
    <col min="5381" max="5381" width="6.1796875" style="880" customWidth="1"/>
    <col min="5382" max="5382" width="9.54296875" style="880" customWidth="1"/>
    <col min="5383" max="5383" width="6.54296875" style="880" customWidth="1"/>
    <col min="5384" max="5384" width="7.453125" style="880" customWidth="1"/>
    <col min="5385" max="5385" width="9.1796875" style="880"/>
    <col min="5386" max="5386" width="15.7265625" style="880" customWidth="1"/>
    <col min="5387" max="5387" width="15.54296875" style="880" customWidth="1"/>
    <col min="5388" max="5388" width="7.7265625" style="880" customWidth="1"/>
    <col min="5389" max="5389" width="8.54296875" style="880" customWidth="1"/>
    <col min="5390" max="5390" width="11" style="880" customWidth="1"/>
    <col min="5391" max="5391" width="9.1796875" style="880"/>
    <col min="5392" max="5401" width="0" style="880" hidden="1" customWidth="1"/>
    <col min="5402" max="5632" width="9.1796875" style="880"/>
    <col min="5633" max="5633" width="4.26953125" style="880" customWidth="1"/>
    <col min="5634" max="5636" width="6.453125" style="880" customWidth="1"/>
    <col min="5637" max="5637" width="6.1796875" style="880" customWidth="1"/>
    <col min="5638" max="5638" width="9.54296875" style="880" customWidth="1"/>
    <col min="5639" max="5639" width="6.54296875" style="880" customWidth="1"/>
    <col min="5640" max="5640" width="7.453125" style="880" customWidth="1"/>
    <col min="5641" max="5641" width="9.1796875" style="880"/>
    <col min="5642" max="5642" width="15.7265625" style="880" customWidth="1"/>
    <col min="5643" max="5643" width="15.54296875" style="880" customWidth="1"/>
    <col min="5644" max="5644" width="7.7265625" style="880" customWidth="1"/>
    <col min="5645" max="5645" width="8.54296875" style="880" customWidth="1"/>
    <col min="5646" max="5646" width="11" style="880" customWidth="1"/>
    <col min="5647" max="5647" width="9.1796875" style="880"/>
    <col min="5648" max="5657" width="0" style="880" hidden="1" customWidth="1"/>
    <col min="5658" max="5888" width="9.1796875" style="880"/>
    <col min="5889" max="5889" width="4.26953125" style="880" customWidth="1"/>
    <col min="5890" max="5892" width="6.453125" style="880" customWidth="1"/>
    <col min="5893" max="5893" width="6.1796875" style="880" customWidth="1"/>
    <col min="5894" max="5894" width="9.54296875" style="880" customWidth="1"/>
    <col min="5895" max="5895" width="6.54296875" style="880" customWidth="1"/>
    <col min="5896" max="5896" width="7.453125" style="880" customWidth="1"/>
    <col min="5897" max="5897" width="9.1796875" style="880"/>
    <col min="5898" max="5898" width="15.7265625" style="880" customWidth="1"/>
    <col min="5899" max="5899" width="15.54296875" style="880" customWidth="1"/>
    <col min="5900" max="5900" width="7.7265625" style="880" customWidth="1"/>
    <col min="5901" max="5901" width="8.54296875" style="880" customWidth="1"/>
    <col min="5902" max="5902" width="11" style="880" customWidth="1"/>
    <col min="5903" max="5903" width="9.1796875" style="880"/>
    <col min="5904" max="5913" width="0" style="880" hidden="1" customWidth="1"/>
    <col min="5914" max="6144" width="9.1796875" style="880"/>
    <col min="6145" max="6145" width="4.26953125" style="880" customWidth="1"/>
    <col min="6146" max="6148" width="6.453125" style="880" customWidth="1"/>
    <col min="6149" max="6149" width="6.1796875" style="880" customWidth="1"/>
    <col min="6150" max="6150" width="9.54296875" style="880" customWidth="1"/>
    <col min="6151" max="6151" width="6.54296875" style="880" customWidth="1"/>
    <col min="6152" max="6152" width="7.453125" style="880" customWidth="1"/>
    <col min="6153" max="6153" width="9.1796875" style="880"/>
    <col min="6154" max="6154" width="15.7265625" style="880" customWidth="1"/>
    <col min="6155" max="6155" width="15.54296875" style="880" customWidth="1"/>
    <col min="6156" max="6156" width="7.7265625" style="880" customWidth="1"/>
    <col min="6157" max="6157" width="8.54296875" style="880" customWidth="1"/>
    <col min="6158" max="6158" width="11" style="880" customWidth="1"/>
    <col min="6159" max="6159" width="9.1796875" style="880"/>
    <col min="6160" max="6169" width="0" style="880" hidden="1" customWidth="1"/>
    <col min="6170" max="6400" width="9.1796875" style="880"/>
    <col min="6401" max="6401" width="4.26953125" style="880" customWidth="1"/>
    <col min="6402" max="6404" width="6.453125" style="880" customWidth="1"/>
    <col min="6405" max="6405" width="6.1796875" style="880" customWidth="1"/>
    <col min="6406" max="6406" width="9.54296875" style="880" customWidth="1"/>
    <col min="6407" max="6407" width="6.54296875" style="880" customWidth="1"/>
    <col min="6408" max="6408" width="7.453125" style="880" customWidth="1"/>
    <col min="6409" max="6409" width="9.1796875" style="880"/>
    <col min="6410" max="6410" width="15.7265625" style="880" customWidth="1"/>
    <col min="6411" max="6411" width="15.54296875" style="880" customWidth="1"/>
    <col min="6412" max="6412" width="7.7265625" style="880" customWidth="1"/>
    <col min="6413" max="6413" width="8.54296875" style="880" customWidth="1"/>
    <col min="6414" max="6414" width="11" style="880" customWidth="1"/>
    <col min="6415" max="6415" width="9.1796875" style="880"/>
    <col min="6416" max="6425" width="0" style="880" hidden="1" customWidth="1"/>
    <col min="6426" max="6656" width="9.1796875" style="880"/>
    <col min="6657" max="6657" width="4.26953125" style="880" customWidth="1"/>
    <col min="6658" max="6660" width="6.453125" style="880" customWidth="1"/>
    <col min="6661" max="6661" width="6.1796875" style="880" customWidth="1"/>
    <col min="6662" max="6662" width="9.54296875" style="880" customWidth="1"/>
    <col min="6663" max="6663" width="6.54296875" style="880" customWidth="1"/>
    <col min="6664" max="6664" width="7.453125" style="880" customWidth="1"/>
    <col min="6665" max="6665" width="9.1796875" style="880"/>
    <col min="6666" max="6666" width="15.7265625" style="880" customWidth="1"/>
    <col min="6667" max="6667" width="15.54296875" style="880" customWidth="1"/>
    <col min="6668" max="6668" width="7.7265625" style="880" customWidth="1"/>
    <col min="6669" max="6669" width="8.54296875" style="880" customWidth="1"/>
    <col min="6670" max="6670" width="11" style="880" customWidth="1"/>
    <col min="6671" max="6671" width="9.1796875" style="880"/>
    <col min="6672" max="6681" width="0" style="880" hidden="1" customWidth="1"/>
    <col min="6682" max="6912" width="9.1796875" style="880"/>
    <col min="6913" max="6913" width="4.26953125" style="880" customWidth="1"/>
    <col min="6914" max="6916" width="6.453125" style="880" customWidth="1"/>
    <col min="6917" max="6917" width="6.1796875" style="880" customWidth="1"/>
    <col min="6918" max="6918" width="9.54296875" style="880" customWidth="1"/>
    <col min="6919" max="6919" width="6.54296875" style="880" customWidth="1"/>
    <col min="6920" max="6920" width="7.453125" style="880" customWidth="1"/>
    <col min="6921" max="6921" width="9.1796875" style="880"/>
    <col min="6922" max="6922" width="15.7265625" style="880" customWidth="1"/>
    <col min="6923" max="6923" width="15.54296875" style="880" customWidth="1"/>
    <col min="6924" max="6924" width="7.7265625" style="880" customWidth="1"/>
    <col min="6925" max="6925" width="8.54296875" style="880" customWidth="1"/>
    <col min="6926" max="6926" width="11" style="880" customWidth="1"/>
    <col min="6927" max="6927" width="9.1796875" style="880"/>
    <col min="6928" max="6937" width="0" style="880" hidden="1" customWidth="1"/>
    <col min="6938" max="7168" width="9.1796875" style="880"/>
    <col min="7169" max="7169" width="4.26953125" style="880" customWidth="1"/>
    <col min="7170" max="7172" width="6.453125" style="880" customWidth="1"/>
    <col min="7173" max="7173" width="6.1796875" style="880" customWidth="1"/>
    <col min="7174" max="7174" width="9.54296875" style="880" customWidth="1"/>
    <col min="7175" max="7175" width="6.54296875" style="880" customWidth="1"/>
    <col min="7176" max="7176" width="7.453125" style="880" customWidth="1"/>
    <col min="7177" max="7177" width="9.1796875" style="880"/>
    <col min="7178" max="7178" width="15.7265625" style="880" customWidth="1"/>
    <col min="7179" max="7179" width="15.54296875" style="880" customWidth="1"/>
    <col min="7180" max="7180" width="7.7265625" style="880" customWidth="1"/>
    <col min="7181" max="7181" width="8.54296875" style="880" customWidth="1"/>
    <col min="7182" max="7182" width="11" style="880" customWidth="1"/>
    <col min="7183" max="7183" width="9.1796875" style="880"/>
    <col min="7184" max="7193" width="0" style="880" hidden="1" customWidth="1"/>
    <col min="7194" max="7424" width="9.1796875" style="880"/>
    <col min="7425" max="7425" width="4.26953125" style="880" customWidth="1"/>
    <col min="7426" max="7428" width="6.453125" style="880" customWidth="1"/>
    <col min="7429" max="7429" width="6.1796875" style="880" customWidth="1"/>
    <col min="7430" max="7430" width="9.54296875" style="880" customWidth="1"/>
    <col min="7431" max="7431" width="6.54296875" style="880" customWidth="1"/>
    <col min="7432" max="7432" width="7.453125" style="880" customWidth="1"/>
    <col min="7433" max="7433" width="9.1796875" style="880"/>
    <col min="7434" max="7434" width="15.7265625" style="880" customWidth="1"/>
    <col min="7435" max="7435" width="15.54296875" style="880" customWidth="1"/>
    <col min="7436" max="7436" width="7.7265625" style="880" customWidth="1"/>
    <col min="7437" max="7437" width="8.54296875" style="880" customWidth="1"/>
    <col min="7438" max="7438" width="11" style="880" customWidth="1"/>
    <col min="7439" max="7439" width="9.1796875" style="880"/>
    <col min="7440" max="7449" width="0" style="880" hidden="1" customWidth="1"/>
    <col min="7450" max="7680" width="9.1796875" style="880"/>
    <col min="7681" max="7681" width="4.26953125" style="880" customWidth="1"/>
    <col min="7682" max="7684" width="6.453125" style="880" customWidth="1"/>
    <col min="7685" max="7685" width="6.1796875" style="880" customWidth="1"/>
    <col min="7686" max="7686" width="9.54296875" style="880" customWidth="1"/>
    <col min="7687" max="7687" width="6.54296875" style="880" customWidth="1"/>
    <col min="7688" max="7688" width="7.453125" style="880" customWidth="1"/>
    <col min="7689" max="7689" width="9.1796875" style="880"/>
    <col min="7690" max="7690" width="15.7265625" style="880" customWidth="1"/>
    <col min="7691" max="7691" width="15.54296875" style="880" customWidth="1"/>
    <col min="7692" max="7692" width="7.7265625" style="880" customWidth="1"/>
    <col min="7693" max="7693" width="8.54296875" style="880" customWidth="1"/>
    <col min="7694" max="7694" width="11" style="880" customWidth="1"/>
    <col min="7695" max="7695" width="9.1796875" style="880"/>
    <col min="7696" max="7705" width="0" style="880" hidden="1" customWidth="1"/>
    <col min="7706" max="7936" width="9.1796875" style="880"/>
    <col min="7937" max="7937" width="4.26953125" style="880" customWidth="1"/>
    <col min="7938" max="7940" width="6.453125" style="880" customWidth="1"/>
    <col min="7941" max="7941" width="6.1796875" style="880" customWidth="1"/>
    <col min="7942" max="7942" width="9.54296875" style="880" customWidth="1"/>
    <col min="7943" max="7943" width="6.54296875" style="880" customWidth="1"/>
    <col min="7944" max="7944" width="7.453125" style="880" customWidth="1"/>
    <col min="7945" max="7945" width="9.1796875" style="880"/>
    <col min="7946" max="7946" width="15.7265625" style="880" customWidth="1"/>
    <col min="7947" max="7947" width="15.54296875" style="880" customWidth="1"/>
    <col min="7948" max="7948" width="7.7265625" style="880" customWidth="1"/>
    <col min="7949" max="7949" width="8.54296875" style="880" customWidth="1"/>
    <col min="7950" max="7950" width="11" style="880" customWidth="1"/>
    <col min="7951" max="7951" width="9.1796875" style="880"/>
    <col min="7952" max="7961" width="0" style="880" hidden="1" customWidth="1"/>
    <col min="7962" max="8192" width="9.1796875" style="880"/>
    <col min="8193" max="8193" width="4.26953125" style="880" customWidth="1"/>
    <col min="8194" max="8196" width="6.453125" style="880" customWidth="1"/>
    <col min="8197" max="8197" width="6.1796875" style="880" customWidth="1"/>
    <col min="8198" max="8198" width="9.54296875" style="880" customWidth="1"/>
    <col min="8199" max="8199" width="6.54296875" style="880" customWidth="1"/>
    <col min="8200" max="8200" width="7.453125" style="880" customWidth="1"/>
    <col min="8201" max="8201" width="9.1796875" style="880"/>
    <col min="8202" max="8202" width="15.7265625" style="880" customWidth="1"/>
    <col min="8203" max="8203" width="15.54296875" style="880" customWidth="1"/>
    <col min="8204" max="8204" width="7.7265625" style="880" customWidth="1"/>
    <col min="8205" max="8205" width="8.54296875" style="880" customWidth="1"/>
    <col min="8206" max="8206" width="11" style="880" customWidth="1"/>
    <col min="8207" max="8207" width="9.1796875" style="880"/>
    <col min="8208" max="8217" width="0" style="880" hidden="1" customWidth="1"/>
    <col min="8218" max="8448" width="9.1796875" style="880"/>
    <col min="8449" max="8449" width="4.26953125" style="880" customWidth="1"/>
    <col min="8450" max="8452" width="6.453125" style="880" customWidth="1"/>
    <col min="8453" max="8453" width="6.1796875" style="880" customWidth="1"/>
    <col min="8454" max="8454" width="9.54296875" style="880" customWidth="1"/>
    <col min="8455" max="8455" width="6.54296875" style="880" customWidth="1"/>
    <col min="8456" max="8456" width="7.453125" style="880" customWidth="1"/>
    <col min="8457" max="8457" width="9.1796875" style="880"/>
    <col min="8458" max="8458" width="15.7265625" style="880" customWidth="1"/>
    <col min="8459" max="8459" width="15.54296875" style="880" customWidth="1"/>
    <col min="8460" max="8460" width="7.7265625" style="880" customWidth="1"/>
    <col min="8461" max="8461" width="8.54296875" style="880" customWidth="1"/>
    <col min="8462" max="8462" width="11" style="880" customWidth="1"/>
    <col min="8463" max="8463" width="9.1796875" style="880"/>
    <col min="8464" max="8473" width="0" style="880" hidden="1" customWidth="1"/>
    <col min="8474" max="8704" width="9.1796875" style="880"/>
    <col min="8705" max="8705" width="4.26953125" style="880" customWidth="1"/>
    <col min="8706" max="8708" width="6.453125" style="880" customWidth="1"/>
    <col min="8709" max="8709" width="6.1796875" style="880" customWidth="1"/>
    <col min="8710" max="8710" width="9.54296875" style="880" customWidth="1"/>
    <col min="8711" max="8711" width="6.54296875" style="880" customWidth="1"/>
    <col min="8712" max="8712" width="7.453125" style="880" customWidth="1"/>
    <col min="8713" max="8713" width="9.1796875" style="880"/>
    <col min="8714" max="8714" width="15.7265625" style="880" customWidth="1"/>
    <col min="8715" max="8715" width="15.54296875" style="880" customWidth="1"/>
    <col min="8716" max="8716" width="7.7265625" style="880" customWidth="1"/>
    <col min="8717" max="8717" width="8.54296875" style="880" customWidth="1"/>
    <col min="8718" max="8718" width="11" style="880" customWidth="1"/>
    <col min="8719" max="8719" width="9.1796875" style="880"/>
    <col min="8720" max="8729" width="0" style="880" hidden="1" customWidth="1"/>
    <col min="8730" max="8960" width="9.1796875" style="880"/>
    <col min="8961" max="8961" width="4.26953125" style="880" customWidth="1"/>
    <col min="8962" max="8964" width="6.453125" style="880" customWidth="1"/>
    <col min="8965" max="8965" width="6.1796875" style="880" customWidth="1"/>
    <col min="8966" max="8966" width="9.54296875" style="880" customWidth="1"/>
    <col min="8967" max="8967" width="6.54296875" style="880" customWidth="1"/>
    <col min="8968" max="8968" width="7.453125" style="880" customWidth="1"/>
    <col min="8969" max="8969" width="9.1796875" style="880"/>
    <col min="8970" max="8970" width="15.7265625" style="880" customWidth="1"/>
    <col min="8971" max="8971" width="15.54296875" style="880" customWidth="1"/>
    <col min="8972" max="8972" width="7.7265625" style="880" customWidth="1"/>
    <col min="8973" max="8973" width="8.54296875" style="880" customWidth="1"/>
    <col min="8974" max="8974" width="11" style="880" customWidth="1"/>
    <col min="8975" max="8975" width="9.1796875" style="880"/>
    <col min="8976" max="8985" width="0" style="880" hidden="1" customWidth="1"/>
    <col min="8986" max="9216" width="9.1796875" style="880"/>
    <col min="9217" max="9217" width="4.26953125" style="880" customWidth="1"/>
    <col min="9218" max="9220" width="6.453125" style="880" customWidth="1"/>
    <col min="9221" max="9221" width="6.1796875" style="880" customWidth="1"/>
    <col min="9222" max="9222" width="9.54296875" style="880" customWidth="1"/>
    <col min="9223" max="9223" width="6.54296875" style="880" customWidth="1"/>
    <col min="9224" max="9224" width="7.453125" style="880" customWidth="1"/>
    <col min="9225" max="9225" width="9.1796875" style="880"/>
    <col min="9226" max="9226" width="15.7265625" style="880" customWidth="1"/>
    <col min="9227" max="9227" width="15.54296875" style="880" customWidth="1"/>
    <col min="9228" max="9228" width="7.7265625" style="880" customWidth="1"/>
    <col min="9229" max="9229" width="8.54296875" style="880" customWidth="1"/>
    <col min="9230" max="9230" width="11" style="880" customWidth="1"/>
    <col min="9231" max="9231" width="9.1796875" style="880"/>
    <col min="9232" max="9241" width="0" style="880" hidden="1" customWidth="1"/>
    <col min="9242" max="9472" width="9.1796875" style="880"/>
    <col min="9473" max="9473" width="4.26953125" style="880" customWidth="1"/>
    <col min="9474" max="9476" width="6.453125" style="880" customWidth="1"/>
    <col min="9477" max="9477" width="6.1796875" style="880" customWidth="1"/>
    <col min="9478" max="9478" width="9.54296875" style="880" customWidth="1"/>
    <col min="9479" max="9479" width="6.54296875" style="880" customWidth="1"/>
    <col min="9480" max="9480" width="7.453125" style="880" customWidth="1"/>
    <col min="9481" max="9481" width="9.1796875" style="880"/>
    <col min="9482" max="9482" width="15.7265625" style="880" customWidth="1"/>
    <col min="9483" max="9483" width="15.54296875" style="880" customWidth="1"/>
    <col min="9484" max="9484" width="7.7265625" style="880" customWidth="1"/>
    <col min="9485" max="9485" width="8.54296875" style="880" customWidth="1"/>
    <col min="9486" max="9486" width="11" style="880" customWidth="1"/>
    <col min="9487" max="9487" width="9.1796875" style="880"/>
    <col min="9488" max="9497" width="0" style="880" hidden="1" customWidth="1"/>
    <col min="9498" max="9728" width="9.1796875" style="880"/>
    <col min="9729" max="9729" width="4.26953125" style="880" customWidth="1"/>
    <col min="9730" max="9732" width="6.453125" style="880" customWidth="1"/>
    <col min="9733" max="9733" width="6.1796875" style="880" customWidth="1"/>
    <col min="9734" max="9734" width="9.54296875" style="880" customWidth="1"/>
    <col min="9735" max="9735" width="6.54296875" style="880" customWidth="1"/>
    <col min="9736" max="9736" width="7.453125" style="880" customWidth="1"/>
    <col min="9737" max="9737" width="9.1796875" style="880"/>
    <col min="9738" max="9738" width="15.7265625" style="880" customWidth="1"/>
    <col min="9739" max="9739" width="15.54296875" style="880" customWidth="1"/>
    <col min="9740" max="9740" width="7.7265625" style="880" customWidth="1"/>
    <col min="9741" max="9741" width="8.54296875" style="880" customWidth="1"/>
    <col min="9742" max="9742" width="11" style="880" customWidth="1"/>
    <col min="9743" max="9743" width="9.1796875" style="880"/>
    <col min="9744" max="9753" width="0" style="880" hidden="1" customWidth="1"/>
    <col min="9754" max="9984" width="9.1796875" style="880"/>
    <col min="9985" max="9985" width="4.26953125" style="880" customWidth="1"/>
    <col min="9986" max="9988" width="6.453125" style="880" customWidth="1"/>
    <col min="9989" max="9989" width="6.1796875" style="880" customWidth="1"/>
    <col min="9990" max="9990" width="9.54296875" style="880" customWidth="1"/>
    <col min="9991" max="9991" width="6.54296875" style="880" customWidth="1"/>
    <col min="9992" max="9992" width="7.453125" style="880" customWidth="1"/>
    <col min="9993" max="9993" width="9.1796875" style="880"/>
    <col min="9994" max="9994" width="15.7265625" style="880" customWidth="1"/>
    <col min="9995" max="9995" width="15.54296875" style="880" customWidth="1"/>
    <col min="9996" max="9996" width="7.7265625" style="880" customWidth="1"/>
    <col min="9997" max="9997" width="8.54296875" style="880" customWidth="1"/>
    <col min="9998" max="9998" width="11" style="880" customWidth="1"/>
    <col min="9999" max="9999" width="9.1796875" style="880"/>
    <col min="10000" max="10009" width="0" style="880" hidden="1" customWidth="1"/>
    <col min="10010" max="10240" width="9.1796875" style="880"/>
    <col min="10241" max="10241" width="4.26953125" style="880" customWidth="1"/>
    <col min="10242" max="10244" width="6.453125" style="880" customWidth="1"/>
    <col min="10245" max="10245" width="6.1796875" style="880" customWidth="1"/>
    <col min="10246" max="10246" width="9.54296875" style="880" customWidth="1"/>
    <col min="10247" max="10247" width="6.54296875" style="880" customWidth="1"/>
    <col min="10248" max="10248" width="7.453125" style="880" customWidth="1"/>
    <col min="10249" max="10249" width="9.1796875" style="880"/>
    <col min="10250" max="10250" width="15.7265625" style="880" customWidth="1"/>
    <col min="10251" max="10251" width="15.54296875" style="880" customWidth="1"/>
    <col min="10252" max="10252" width="7.7265625" style="880" customWidth="1"/>
    <col min="10253" max="10253" width="8.54296875" style="880" customWidth="1"/>
    <col min="10254" max="10254" width="11" style="880" customWidth="1"/>
    <col min="10255" max="10255" width="9.1796875" style="880"/>
    <col min="10256" max="10265" width="0" style="880" hidden="1" customWidth="1"/>
    <col min="10266" max="10496" width="9.1796875" style="880"/>
    <col min="10497" max="10497" width="4.26953125" style="880" customWidth="1"/>
    <col min="10498" max="10500" width="6.453125" style="880" customWidth="1"/>
    <col min="10501" max="10501" width="6.1796875" style="880" customWidth="1"/>
    <col min="10502" max="10502" width="9.54296875" style="880" customWidth="1"/>
    <col min="10503" max="10503" width="6.54296875" style="880" customWidth="1"/>
    <col min="10504" max="10504" width="7.453125" style="880" customWidth="1"/>
    <col min="10505" max="10505" width="9.1796875" style="880"/>
    <col min="10506" max="10506" width="15.7265625" style="880" customWidth="1"/>
    <col min="10507" max="10507" width="15.54296875" style="880" customWidth="1"/>
    <col min="10508" max="10508" width="7.7265625" style="880" customWidth="1"/>
    <col min="10509" max="10509" width="8.54296875" style="880" customWidth="1"/>
    <col min="10510" max="10510" width="11" style="880" customWidth="1"/>
    <col min="10511" max="10511" width="9.1796875" style="880"/>
    <col min="10512" max="10521" width="0" style="880" hidden="1" customWidth="1"/>
    <col min="10522" max="10752" width="9.1796875" style="880"/>
    <col min="10753" max="10753" width="4.26953125" style="880" customWidth="1"/>
    <col min="10754" max="10756" width="6.453125" style="880" customWidth="1"/>
    <col min="10757" max="10757" width="6.1796875" style="880" customWidth="1"/>
    <col min="10758" max="10758" width="9.54296875" style="880" customWidth="1"/>
    <col min="10759" max="10759" width="6.54296875" style="880" customWidth="1"/>
    <col min="10760" max="10760" width="7.453125" style="880" customWidth="1"/>
    <col min="10761" max="10761" width="9.1796875" style="880"/>
    <col min="10762" max="10762" width="15.7265625" style="880" customWidth="1"/>
    <col min="10763" max="10763" width="15.54296875" style="880" customWidth="1"/>
    <col min="10764" max="10764" width="7.7265625" style="880" customWidth="1"/>
    <col min="10765" max="10765" width="8.54296875" style="880" customWidth="1"/>
    <col min="10766" max="10766" width="11" style="880" customWidth="1"/>
    <col min="10767" max="10767" width="9.1796875" style="880"/>
    <col min="10768" max="10777" width="0" style="880" hidden="1" customWidth="1"/>
    <col min="10778" max="11008" width="9.1796875" style="880"/>
    <col min="11009" max="11009" width="4.26953125" style="880" customWidth="1"/>
    <col min="11010" max="11012" width="6.453125" style="880" customWidth="1"/>
    <col min="11013" max="11013" width="6.1796875" style="880" customWidth="1"/>
    <col min="11014" max="11014" width="9.54296875" style="880" customWidth="1"/>
    <col min="11015" max="11015" width="6.54296875" style="880" customWidth="1"/>
    <col min="11016" max="11016" width="7.453125" style="880" customWidth="1"/>
    <col min="11017" max="11017" width="9.1796875" style="880"/>
    <col min="11018" max="11018" width="15.7265625" style="880" customWidth="1"/>
    <col min="11019" max="11019" width="15.54296875" style="880" customWidth="1"/>
    <col min="11020" max="11020" width="7.7265625" style="880" customWidth="1"/>
    <col min="11021" max="11021" width="8.54296875" style="880" customWidth="1"/>
    <col min="11022" max="11022" width="11" style="880" customWidth="1"/>
    <col min="11023" max="11023" width="9.1796875" style="880"/>
    <col min="11024" max="11033" width="0" style="880" hidden="1" customWidth="1"/>
    <col min="11034" max="11264" width="9.1796875" style="880"/>
    <col min="11265" max="11265" width="4.26953125" style="880" customWidth="1"/>
    <col min="11266" max="11268" width="6.453125" style="880" customWidth="1"/>
    <col min="11269" max="11269" width="6.1796875" style="880" customWidth="1"/>
    <col min="11270" max="11270" width="9.54296875" style="880" customWidth="1"/>
    <col min="11271" max="11271" width="6.54296875" style="880" customWidth="1"/>
    <col min="11272" max="11272" width="7.453125" style="880" customWidth="1"/>
    <col min="11273" max="11273" width="9.1796875" style="880"/>
    <col min="11274" max="11274" width="15.7265625" style="880" customWidth="1"/>
    <col min="11275" max="11275" width="15.54296875" style="880" customWidth="1"/>
    <col min="11276" max="11276" width="7.7265625" style="880" customWidth="1"/>
    <col min="11277" max="11277" width="8.54296875" style="880" customWidth="1"/>
    <col min="11278" max="11278" width="11" style="880" customWidth="1"/>
    <col min="11279" max="11279" width="9.1796875" style="880"/>
    <col min="11280" max="11289" width="0" style="880" hidden="1" customWidth="1"/>
    <col min="11290" max="11520" width="9.1796875" style="880"/>
    <col min="11521" max="11521" width="4.26953125" style="880" customWidth="1"/>
    <col min="11522" max="11524" width="6.453125" style="880" customWidth="1"/>
    <col min="11525" max="11525" width="6.1796875" style="880" customWidth="1"/>
    <col min="11526" max="11526" width="9.54296875" style="880" customWidth="1"/>
    <col min="11527" max="11527" width="6.54296875" style="880" customWidth="1"/>
    <col min="11528" max="11528" width="7.453125" style="880" customWidth="1"/>
    <col min="11529" max="11529" width="9.1796875" style="880"/>
    <col min="11530" max="11530" width="15.7265625" style="880" customWidth="1"/>
    <col min="11531" max="11531" width="15.54296875" style="880" customWidth="1"/>
    <col min="11532" max="11532" width="7.7265625" style="880" customWidth="1"/>
    <col min="11533" max="11533" width="8.54296875" style="880" customWidth="1"/>
    <col min="11534" max="11534" width="11" style="880" customWidth="1"/>
    <col min="11535" max="11535" width="9.1796875" style="880"/>
    <col min="11536" max="11545" width="0" style="880" hidden="1" customWidth="1"/>
    <col min="11546" max="11776" width="9.1796875" style="880"/>
    <col min="11777" max="11777" width="4.26953125" style="880" customWidth="1"/>
    <col min="11778" max="11780" width="6.453125" style="880" customWidth="1"/>
    <col min="11781" max="11781" width="6.1796875" style="880" customWidth="1"/>
    <col min="11782" max="11782" width="9.54296875" style="880" customWidth="1"/>
    <col min="11783" max="11783" width="6.54296875" style="880" customWidth="1"/>
    <col min="11784" max="11784" width="7.453125" style="880" customWidth="1"/>
    <col min="11785" max="11785" width="9.1796875" style="880"/>
    <col min="11786" max="11786" width="15.7265625" style="880" customWidth="1"/>
    <col min="11787" max="11787" width="15.54296875" style="880" customWidth="1"/>
    <col min="11788" max="11788" width="7.7265625" style="880" customWidth="1"/>
    <col min="11789" max="11789" width="8.54296875" style="880" customWidth="1"/>
    <col min="11790" max="11790" width="11" style="880" customWidth="1"/>
    <col min="11791" max="11791" width="9.1796875" style="880"/>
    <col min="11792" max="11801" width="0" style="880" hidden="1" customWidth="1"/>
    <col min="11802" max="12032" width="9.1796875" style="880"/>
    <col min="12033" max="12033" width="4.26953125" style="880" customWidth="1"/>
    <col min="12034" max="12036" width="6.453125" style="880" customWidth="1"/>
    <col min="12037" max="12037" width="6.1796875" style="880" customWidth="1"/>
    <col min="12038" max="12038" width="9.54296875" style="880" customWidth="1"/>
    <col min="12039" max="12039" width="6.54296875" style="880" customWidth="1"/>
    <col min="12040" max="12040" width="7.453125" style="880" customWidth="1"/>
    <col min="12041" max="12041" width="9.1796875" style="880"/>
    <col min="12042" max="12042" width="15.7265625" style="880" customWidth="1"/>
    <col min="12043" max="12043" width="15.54296875" style="880" customWidth="1"/>
    <col min="12044" max="12044" width="7.7265625" style="880" customWidth="1"/>
    <col min="12045" max="12045" width="8.54296875" style="880" customWidth="1"/>
    <col min="12046" max="12046" width="11" style="880" customWidth="1"/>
    <col min="12047" max="12047" width="9.1796875" style="880"/>
    <col min="12048" max="12057" width="0" style="880" hidden="1" customWidth="1"/>
    <col min="12058" max="12288" width="9.1796875" style="880"/>
    <col min="12289" max="12289" width="4.26953125" style="880" customWidth="1"/>
    <col min="12290" max="12292" width="6.453125" style="880" customWidth="1"/>
    <col min="12293" max="12293" width="6.1796875" style="880" customWidth="1"/>
    <col min="12294" max="12294" width="9.54296875" style="880" customWidth="1"/>
    <col min="12295" max="12295" width="6.54296875" style="880" customWidth="1"/>
    <col min="12296" max="12296" width="7.453125" style="880" customWidth="1"/>
    <col min="12297" max="12297" width="9.1796875" style="880"/>
    <col min="12298" max="12298" width="15.7265625" style="880" customWidth="1"/>
    <col min="12299" max="12299" width="15.54296875" style="880" customWidth="1"/>
    <col min="12300" max="12300" width="7.7265625" style="880" customWidth="1"/>
    <col min="12301" max="12301" width="8.54296875" style="880" customWidth="1"/>
    <col min="12302" max="12302" width="11" style="880" customWidth="1"/>
    <col min="12303" max="12303" width="9.1796875" style="880"/>
    <col min="12304" max="12313" width="0" style="880" hidden="1" customWidth="1"/>
    <col min="12314" max="12544" width="9.1796875" style="880"/>
    <col min="12545" max="12545" width="4.26953125" style="880" customWidth="1"/>
    <col min="12546" max="12548" width="6.453125" style="880" customWidth="1"/>
    <col min="12549" max="12549" width="6.1796875" style="880" customWidth="1"/>
    <col min="12550" max="12550" width="9.54296875" style="880" customWidth="1"/>
    <col min="12551" max="12551" width="6.54296875" style="880" customWidth="1"/>
    <col min="12552" max="12552" width="7.453125" style="880" customWidth="1"/>
    <col min="12553" max="12553" width="9.1796875" style="880"/>
    <col min="12554" max="12554" width="15.7265625" style="880" customWidth="1"/>
    <col min="12555" max="12555" width="15.54296875" style="880" customWidth="1"/>
    <col min="12556" max="12556" width="7.7265625" style="880" customWidth="1"/>
    <col min="12557" max="12557" width="8.54296875" style="880" customWidth="1"/>
    <col min="12558" max="12558" width="11" style="880" customWidth="1"/>
    <col min="12559" max="12559" width="9.1796875" style="880"/>
    <col min="12560" max="12569" width="0" style="880" hidden="1" customWidth="1"/>
    <col min="12570" max="12800" width="9.1796875" style="880"/>
    <col min="12801" max="12801" width="4.26953125" style="880" customWidth="1"/>
    <col min="12802" max="12804" width="6.453125" style="880" customWidth="1"/>
    <col min="12805" max="12805" width="6.1796875" style="880" customWidth="1"/>
    <col min="12806" max="12806" width="9.54296875" style="880" customWidth="1"/>
    <col min="12807" max="12807" width="6.54296875" style="880" customWidth="1"/>
    <col min="12808" max="12808" width="7.453125" style="880" customWidth="1"/>
    <col min="12809" max="12809" width="9.1796875" style="880"/>
    <col min="12810" max="12810" width="15.7265625" style="880" customWidth="1"/>
    <col min="12811" max="12811" width="15.54296875" style="880" customWidth="1"/>
    <col min="12812" max="12812" width="7.7265625" style="880" customWidth="1"/>
    <col min="12813" max="12813" width="8.54296875" style="880" customWidth="1"/>
    <col min="12814" max="12814" width="11" style="880" customWidth="1"/>
    <col min="12815" max="12815" width="9.1796875" style="880"/>
    <col min="12816" max="12825" width="0" style="880" hidden="1" customWidth="1"/>
    <col min="12826" max="13056" width="9.1796875" style="880"/>
    <col min="13057" max="13057" width="4.26953125" style="880" customWidth="1"/>
    <col min="13058" max="13060" width="6.453125" style="880" customWidth="1"/>
    <col min="13061" max="13061" width="6.1796875" style="880" customWidth="1"/>
    <col min="13062" max="13062" width="9.54296875" style="880" customWidth="1"/>
    <col min="13063" max="13063" width="6.54296875" style="880" customWidth="1"/>
    <col min="13064" max="13064" width="7.453125" style="880" customWidth="1"/>
    <col min="13065" max="13065" width="9.1796875" style="880"/>
    <col min="13066" max="13066" width="15.7265625" style="880" customWidth="1"/>
    <col min="13067" max="13067" width="15.54296875" style="880" customWidth="1"/>
    <col min="13068" max="13068" width="7.7265625" style="880" customWidth="1"/>
    <col min="13069" max="13069" width="8.54296875" style="880" customWidth="1"/>
    <col min="13070" max="13070" width="11" style="880" customWidth="1"/>
    <col min="13071" max="13071" width="9.1796875" style="880"/>
    <col min="13072" max="13081" width="0" style="880" hidden="1" customWidth="1"/>
    <col min="13082" max="13312" width="9.1796875" style="880"/>
    <col min="13313" max="13313" width="4.26953125" style="880" customWidth="1"/>
    <col min="13314" max="13316" width="6.453125" style="880" customWidth="1"/>
    <col min="13317" max="13317" width="6.1796875" style="880" customWidth="1"/>
    <col min="13318" max="13318" width="9.54296875" style="880" customWidth="1"/>
    <col min="13319" max="13319" width="6.54296875" style="880" customWidth="1"/>
    <col min="13320" max="13320" width="7.453125" style="880" customWidth="1"/>
    <col min="13321" max="13321" width="9.1796875" style="880"/>
    <col min="13322" max="13322" width="15.7265625" style="880" customWidth="1"/>
    <col min="13323" max="13323" width="15.54296875" style="880" customWidth="1"/>
    <col min="13324" max="13324" width="7.7265625" style="880" customWidth="1"/>
    <col min="13325" max="13325" width="8.54296875" style="880" customWidth="1"/>
    <col min="13326" max="13326" width="11" style="880" customWidth="1"/>
    <col min="13327" max="13327" width="9.1796875" style="880"/>
    <col min="13328" max="13337" width="0" style="880" hidden="1" customWidth="1"/>
    <col min="13338" max="13568" width="9.1796875" style="880"/>
    <col min="13569" max="13569" width="4.26953125" style="880" customWidth="1"/>
    <col min="13570" max="13572" width="6.453125" style="880" customWidth="1"/>
    <col min="13573" max="13573" width="6.1796875" style="880" customWidth="1"/>
    <col min="13574" max="13574" width="9.54296875" style="880" customWidth="1"/>
    <col min="13575" max="13575" width="6.54296875" style="880" customWidth="1"/>
    <col min="13576" max="13576" width="7.453125" style="880" customWidth="1"/>
    <col min="13577" max="13577" width="9.1796875" style="880"/>
    <col min="13578" max="13578" width="15.7265625" style="880" customWidth="1"/>
    <col min="13579" max="13579" width="15.54296875" style="880" customWidth="1"/>
    <col min="13580" max="13580" width="7.7265625" style="880" customWidth="1"/>
    <col min="13581" max="13581" width="8.54296875" style="880" customWidth="1"/>
    <col min="13582" max="13582" width="11" style="880" customWidth="1"/>
    <col min="13583" max="13583" width="9.1796875" style="880"/>
    <col min="13584" max="13593" width="0" style="880" hidden="1" customWidth="1"/>
    <col min="13594" max="13824" width="9.1796875" style="880"/>
    <col min="13825" max="13825" width="4.26953125" style="880" customWidth="1"/>
    <col min="13826" max="13828" width="6.453125" style="880" customWidth="1"/>
    <col min="13829" max="13829" width="6.1796875" style="880" customWidth="1"/>
    <col min="13830" max="13830" width="9.54296875" style="880" customWidth="1"/>
    <col min="13831" max="13831" width="6.54296875" style="880" customWidth="1"/>
    <col min="13832" max="13832" width="7.453125" style="880" customWidth="1"/>
    <col min="13833" max="13833" width="9.1796875" style="880"/>
    <col min="13834" max="13834" width="15.7265625" style="880" customWidth="1"/>
    <col min="13835" max="13835" width="15.54296875" style="880" customWidth="1"/>
    <col min="13836" max="13836" width="7.7265625" style="880" customWidth="1"/>
    <col min="13837" max="13837" width="8.54296875" style="880" customWidth="1"/>
    <col min="13838" max="13838" width="11" style="880" customWidth="1"/>
    <col min="13839" max="13839" width="9.1796875" style="880"/>
    <col min="13840" max="13849" width="0" style="880" hidden="1" customWidth="1"/>
    <col min="13850" max="14080" width="9.1796875" style="880"/>
    <col min="14081" max="14081" width="4.26953125" style="880" customWidth="1"/>
    <col min="14082" max="14084" width="6.453125" style="880" customWidth="1"/>
    <col min="14085" max="14085" width="6.1796875" style="880" customWidth="1"/>
    <col min="14086" max="14086" width="9.54296875" style="880" customWidth="1"/>
    <col min="14087" max="14087" width="6.54296875" style="880" customWidth="1"/>
    <col min="14088" max="14088" width="7.453125" style="880" customWidth="1"/>
    <col min="14089" max="14089" width="9.1796875" style="880"/>
    <col min="14090" max="14090" width="15.7265625" style="880" customWidth="1"/>
    <col min="14091" max="14091" width="15.54296875" style="880" customWidth="1"/>
    <col min="14092" max="14092" width="7.7265625" style="880" customWidth="1"/>
    <col min="14093" max="14093" width="8.54296875" style="880" customWidth="1"/>
    <col min="14094" max="14094" width="11" style="880" customWidth="1"/>
    <col min="14095" max="14095" width="9.1796875" style="880"/>
    <col min="14096" max="14105" width="0" style="880" hidden="1" customWidth="1"/>
    <col min="14106" max="14336" width="9.1796875" style="880"/>
    <col min="14337" max="14337" width="4.26953125" style="880" customWidth="1"/>
    <col min="14338" max="14340" width="6.453125" style="880" customWidth="1"/>
    <col min="14341" max="14341" width="6.1796875" style="880" customWidth="1"/>
    <col min="14342" max="14342" width="9.54296875" style="880" customWidth="1"/>
    <col min="14343" max="14343" width="6.54296875" style="880" customWidth="1"/>
    <col min="14344" max="14344" width="7.453125" style="880" customWidth="1"/>
    <col min="14345" max="14345" width="9.1796875" style="880"/>
    <col min="14346" max="14346" width="15.7265625" style="880" customWidth="1"/>
    <col min="14347" max="14347" width="15.54296875" style="880" customWidth="1"/>
    <col min="14348" max="14348" width="7.7265625" style="880" customWidth="1"/>
    <col min="14349" max="14349" width="8.54296875" style="880" customWidth="1"/>
    <col min="14350" max="14350" width="11" style="880" customWidth="1"/>
    <col min="14351" max="14351" width="9.1796875" style="880"/>
    <col min="14352" max="14361" width="0" style="880" hidden="1" customWidth="1"/>
    <col min="14362" max="14592" width="9.1796875" style="880"/>
    <col min="14593" max="14593" width="4.26953125" style="880" customWidth="1"/>
    <col min="14594" max="14596" width="6.453125" style="880" customWidth="1"/>
    <col min="14597" max="14597" width="6.1796875" style="880" customWidth="1"/>
    <col min="14598" max="14598" width="9.54296875" style="880" customWidth="1"/>
    <col min="14599" max="14599" width="6.54296875" style="880" customWidth="1"/>
    <col min="14600" max="14600" width="7.453125" style="880" customWidth="1"/>
    <col min="14601" max="14601" width="9.1796875" style="880"/>
    <col min="14602" max="14602" width="15.7265625" style="880" customWidth="1"/>
    <col min="14603" max="14603" width="15.54296875" style="880" customWidth="1"/>
    <col min="14604" max="14604" width="7.7265625" style="880" customWidth="1"/>
    <col min="14605" max="14605" width="8.54296875" style="880" customWidth="1"/>
    <col min="14606" max="14606" width="11" style="880" customWidth="1"/>
    <col min="14607" max="14607" width="9.1796875" style="880"/>
    <col min="14608" max="14617" width="0" style="880" hidden="1" customWidth="1"/>
    <col min="14618" max="14848" width="9.1796875" style="880"/>
    <col min="14849" max="14849" width="4.26953125" style="880" customWidth="1"/>
    <col min="14850" max="14852" width="6.453125" style="880" customWidth="1"/>
    <col min="14853" max="14853" width="6.1796875" style="880" customWidth="1"/>
    <col min="14854" max="14854" width="9.54296875" style="880" customWidth="1"/>
    <col min="14855" max="14855" width="6.54296875" style="880" customWidth="1"/>
    <col min="14856" max="14856" width="7.453125" style="880" customWidth="1"/>
    <col min="14857" max="14857" width="9.1796875" style="880"/>
    <col min="14858" max="14858" width="15.7265625" style="880" customWidth="1"/>
    <col min="14859" max="14859" width="15.54296875" style="880" customWidth="1"/>
    <col min="14860" max="14860" width="7.7265625" style="880" customWidth="1"/>
    <col min="14861" max="14861" width="8.54296875" style="880" customWidth="1"/>
    <col min="14862" max="14862" width="11" style="880" customWidth="1"/>
    <col min="14863" max="14863" width="9.1796875" style="880"/>
    <col min="14864" max="14873" width="0" style="880" hidden="1" customWidth="1"/>
    <col min="14874" max="15104" width="9.1796875" style="880"/>
    <col min="15105" max="15105" width="4.26953125" style="880" customWidth="1"/>
    <col min="15106" max="15108" width="6.453125" style="880" customWidth="1"/>
    <col min="15109" max="15109" width="6.1796875" style="880" customWidth="1"/>
    <col min="15110" max="15110" width="9.54296875" style="880" customWidth="1"/>
    <col min="15111" max="15111" width="6.54296875" style="880" customWidth="1"/>
    <col min="15112" max="15112" width="7.453125" style="880" customWidth="1"/>
    <col min="15113" max="15113" width="9.1796875" style="880"/>
    <col min="15114" max="15114" width="15.7265625" style="880" customWidth="1"/>
    <col min="15115" max="15115" width="15.54296875" style="880" customWidth="1"/>
    <col min="15116" max="15116" width="7.7265625" style="880" customWidth="1"/>
    <col min="15117" max="15117" width="8.54296875" style="880" customWidth="1"/>
    <col min="15118" max="15118" width="11" style="880" customWidth="1"/>
    <col min="15119" max="15119" width="9.1796875" style="880"/>
    <col min="15120" max="15129" width="0" style="880" hidden="1" customWidth="1"/>
    <col min="15130" max="15360" width="9.1796875" style="880"/>
    <col min="15361" max="15361" width="4.26953125" style="880" customWidth="1"/>
    <col min="15362" max="15364" width="6.453125" style="880" customWidth="1"/>
    <col min="15365" max="15365" width="6.1796875" style="880" customWidth="1"/>
    <col min="15366" max="15366" width="9.54296875" style="880" customWidth="1"/>
    <col min="15367" max="15367" width="6.54296875" style="880" customWidth="1"/>
    <col min="15368" max="15368" width="7.453125" style="880" customWidth="1"/>
    <col min="15369" max="15369" width="9.1796875" style="880"/>
    <col min="15370" max="15370" width="15.7265625" style="880" customWidth="1"/>
    <col min="15371" max="15371" width="15.54296875" style="880" customWidth="1"/>
    <col min="15372" max="15372" width="7.7265625" style="880" customWidth="1"/>
    <col min="15373" max="15373" width="8.54296875" style="880" customWidth="1"/>
    <col min="15374" max="15374" width="11" style="880" customWidth="1"/>
    <col min="15375" max="15375" width="9.1796875" style="880"/>
    <col min="15376" max="15385" width="0" style="880" hidden="1" customWidth="1"/>
    <col min="15386" max="15616" width="9.1796875" style="880"/>
    <col min="15617" max="15617" width="4.26953125" style="880" customWidth="1"/>
    <col min="15618" max="15620" width="6.453125" style="880" customWidth="1"/>
    <col min="15621" max="15621" width="6.1796875" style="880" customWidth="1"/>
    <col min="15622" max="15622" width="9.54296875" style="880" customWidth="1"/>
    <col min="15623" max="15623" width="6.54296875" style="880" customWidth="1"/>
    <col min="15624" max="15624" width="7.453125" style="880" customWidth="1"/>
    <col min="15625" max="15625" width="9.1796875" style="880"/>
    <col min="15626" max="15626" width="15.7265625" style="880" customWidth="1"/>
    <col min="15627" max="15627" width="15.54296875" style="880" customWidth="1"/>
    <col min="15628" max="15628" width="7.7265625" style="880" customWidth="1"/>
    <col min="15629" max="15629" width="8.54296875" style="880" customWidth="1"/>
    <col min="15630" max="15630" width="11" style="880" customWidth="1"/>
    <col min="15631" max="15631" width="9.1796875" style="880"/>
    <col min="15632" max="15641" width="0" style="880" hidden="1" customWidth="1"/>
    <col min="15642" max="15872" width="9.1796875" style="880"/>
    <col min="15873" max="15873" width="4.26953125" style="880" customWidth="1"/>
    <col min="15874" max="15876" width="6.453125" style="880" customWidth="1"/>
    <col min="15877" max="15877" width="6.1796875" style="880" customWidth="1"/>
    <col min="15878" max="15878" width="9.54296875" style="880" customWidth="1"/>
    <col min="15879" max="15879" width="6.54296875" style="880" customWidth="1"/>
    <col min="15880" max="15880" width="7.453125" style="880" customWidth="1"/>
    <col min="15881" max="15881" width="9.1796875" style="880"/>
    <col min="15882" max="15882" width="15.7265625" style="880" customWidth="1"/>
    <col min="15883" max="15883" width="15.54296875" style="880" customWidth="1"/>
    <col min="15884" max="15884" width="7.7265625" style="880" customWidth="1"/>
    <col min="15885" max="15885" width="8.54296875" style="880" customWidth="1"/>
    <col min="15886" max="15886" width="11" style="880" customWidth="1"/>
    <col min="15887" max="15887" width="9.1796875" style="880"/>
    <col min="15888" max="15897" width="0" style="880" hidden="1" customWidth="1"/>
    <col min="15898" max="16128" width="9.1796875" style="880"/>
    <col min="16129" max="16129" width="4.26953125" style="880" customWidth="1"/>
    <col min="16130" max="16132" width="6.453125" style="880" customWidth="1"/>
    <col min="16133" max="16133" width="6.1796875" style="880" customWidth="1"/>
    <col min="16134" max="16134" width="9.54296875" style="880" customWidth="1"/>
    <col min="16135" max="16135" width="6.54296875" style="880" customWidth="1"/>
    <col min="16136" max="16136" width="7.453125" style="880" customWidth="1"/>
    <col min="16137" max="16137" width="9.1796875" style="880"/>
    <col min="16138" max="16138" width="15.7265625" style="880" customWidth="1"/>
    <col min="16139" max="16139" width="15.54296875" style="880" customWidth="1"/>
    <col min="16140" max="16140" width="7.7265625" style="880" customWidth="1"/>
    <col min="16141" max="16141" width="8.54296875" style="880" customWidth="1"/>
    <col min="16142" max="16142" width="11" style="880" customWidth="1"/>
    <col min="16143" max="16143" width="9.1796875" style="880"/>
    <col min="16144" max="16153" width="0" style="880" hidden="1" customWidth="1"/>
    <col min="16154" max="16384" width="9.1796875" style="880"/>
  </cols>
  <sheetData>
    <row r="1" spans="2:39" s="1006" customFormat="1">
      <c r="G1" s="1007"/>
      <c r="H1" s="1008"/>
    </row>
    <row r="2" spans="2:39" ht="7.5" customHeight="1">
      <c r="B2" s="955"/>
      <c r="C2" s="956"/>
      <c r="D2" s="956"/>
      <c r="E2" s="956"/>
      <c r="F2" s="957"/>
      <c r="G2" s="958"/>
      <c r="H2" s="956"/>
      <c r="I2" s="956"/>
      <c r="J2" s="956"/>
      <c r="K2" s="956"/>
      <c r="L2" s="956"/>
      <c r="M2" s="956"/>
      <c r="N2" s="956"/>
      <c r="Z2" s="1006"/>
      <c r="AA2" s="1006"/>
      <c r="AB2" s="1006"/>
      <c r="AC2" s="1006"/>
      <c r="AD2" s="1006"/>
      <c r="AE2" s="1006"/>
      <c r="AF2" s="1006"/>
      <c r="AG2" s="1006"/>
      <c r="AH2" s="1006"/>
      <c r="AI2" s="1006"/>
      <c r="AJ2" s="1006"/>
      <c r="AK2" s="1006"/>
      <c r="AL2" s="1006"/>
      <c r="AM2" s="1006"/>
    </row>
    <row r="3" spans="2:39" ht="15.75" customHeight="1">
      <c r="B3" s="959"/>
      <c r="C3" s="955"/>
      <c r="D3" s="1854" t="s">
        <v>525</v>
      </c>
      <c r="E3" s="1855"/>
      <c r="F3" s="1855"/>
      <c r="G3" s="1856"/>
      <c r="H3" s="960" t="s">
        <v>526</v>
      </c>
      <c r="I3" s="960"/>
      <c r="J3" s="1017">
        <v>10.78</v>
      </c>
      <c r="K3" s="960" t="s">
        <v>527</v>
      </c>
      <c r="L3" s="1017">
        <v>263</v>
      </c>
      <c r="M3" s="956"/>
      <c r="N3" s="956"/>
      <c r="Z3" s="1006"/>
      <c r="AA3" s="1006"/>
      <c r="AB3" s="1006"/>
      <c r="AC3" s="1006"/>
      <c r="AD3" s="1006"/>
      <c r="AE3" s="1006"/>
      <c r="AF3" s="1006"/>
      <c r="AG3" s="1006"/>
      <c r="AH3" s="1006"/>
      <c r="AI3" s="1006"/>
      <c r="AJ3" s="1006"/>
      <c r="AK3" s="1006"/>
      <c r="AL3" s="1006"/>
      <c r="AM3" s="1006"/>
    </row>
    <row r="4" spans="2:39" ht="15.75" customHeight="1">
      <c r="B4" s="956"/>
      <c r="C4" s="961"/>
      <c r="D4" s="1855"/>
      <c r="E4" s="1855"/>
      <c r="F4" s="1855"/>
      <c r="G4" s="1856"/>
      <c r="H4" s="960" t="s">
        <v>528</v>
      </c>
      <c r="I4" s="960"/>
      <c r="J4" s="1017">
        <v>11.25</v>
      </c>
      <c r="K4" s="960" t="s">
        <v>529</v>
      </c>
      <c r="L4" s="962">
        <f>IF(L3="","",(J4-J3)/L3)</f>
        <v>1.78707224334601E-3</v>
      </c>
      <c r="M4" s="956"/>
      <c r="N4" s="963"/>
      <c r="Z4" s="1006"/>
      <c r="AA4" s="1006"/>
      <c r="AB4" s="1006"/>
      <c r="AC4" s="1006"/>
      <c r="AD4" s="1006"/>
      <c r="AE4" s="1006"/>
      <c r="AF4" s="1006"/>
      <c r="AG4" s="1006"/>
      <c r="AH4" s="1006"/>
      <c r="AI4" s="1006"/>
      <c r="AJ4" s="1006"/>
      <c r="AK4" s="1006"/>
      <c r="AL4" s="1006"/>
      <c r="AM4" s="1006"/>
    </row>
    <row r="5" spans="2:39" ht="7.5" customHeight="1">
      <c r="B5" s="964"/>
      <c r="C5" s="964"/>
      <c r="D5" s="964"/>
      <c r="E5" s="964"/>
      <c r="F5" s="964"/>
      <c r="G5" s="965"/>
      <c r="H5" s="966"/>
      <c r="I5" s="956"/>
      <c r="J5" s="956"/>
      <c r="K5" s="956"/>
      <c r="L5" s="956"/>
      <c r="M5" s="956"/>
      <c r="N5" s="956"/>
      <c r="Z5" s="1006"/>
      <c r="AA5" s="1006"/>
      <c r="AB5" s="1006"/>
      <c r="AC5" s="1006"/>
      <c r="AD5" s="1006"/>
      <c r="AE5" s="1006"/>
      <c r="AF5" s="1006"/>
      <c r="AG5" s="1006"/>
      <c r="AH5" s="1006"/>
      <c r="AI5" s="1006"/>
      <c r="AJ5" s="1006"/>
      <c r="AK5" s="1006"/>
      <c r="AL5" s="1006"/>
      <c r="AM5" s="1006"/>
    </row>
    <row r="6" spans="2:39">
      <c r="B6" s="967" t="s">
        <v>530</v>
      </c>
      <c r="C6" s="968" t="s">
        <v>531</v>
      </c>
      <c r="D6" s="968" t="s">
        <v>532</v>
      </c>
      <c r="E6" s="969" t="s">
        <v>533</v>
      </c>
      <c r="F6" s="970" t="s">
        <v>419</v>
      </c>
      <c r="G6" s="971" t="s">
        <v>532</v>
      </c>
      <c r="H6" s="972" t="s">
        <v>534</v>
      </c>
      <c r="I6" s="967" t="s">
        <v>14</v>
      </c>
      <c r="J6" s="973" t="s">
        <v>535</v>
      </c>
      <c r="K6" s="967" t="s">
        <v>197</v>
      </c>
      <c r="L6" s="968" t="s">
        <v>14</v>
      </c>
      <c r="M6" s="967" t="s">
        <v>508</v>
      </c>
      <c r="N6" s="974" t="s">
        <v>197</v>
      </c>
      <c r="P6" s="975" t="s">
        <v>536</v>
      </c>
      <c r="Q6" s="976"/>
      <c r="R6" s="976"/>
      <c r="S6" s="976"/>
      <c r="T6" s="977"/>
      <c r="U6" s="975" t="s">
        <v>537</v>
      </c>
      <c r="V6" s="976"/>
      <c r="W6" s="976"/>
      <c r="X6" s="976"/>
      <c r="Y6" s="977"/>
      <c r="Z6" s="1006"/>
      <c r="AA6" s="1006"/>
      <c r="AB6" s="1006"/>
      <c r="AC6" s="1006"/>
      <c r="AD6" s="1006"/>
      <c r="AE6" s="1006"/>
      <c r="AF6" s="1006"/>
      <c r="AG6" s="1006"/>
      <c r="AH6" s="1006"/>
      <c r="AI6" s="1006"/>
      <c r="AJ6" s="1006"/>
      <c r="AK6" s="1006"/>
      <c r="AL6" s="1006"/>
      <c r="AM6" s="1006"/>
    </row>
    <row r="7" spans="2:39">
      <c r="B7" s="978" t="s">
        <v>538</v>
      </c>
      <c r="C7" s="979" t="s">
        <v>539</v>
      </c>
      <c r="D7" s="979" t="s">
        <v>540</v>
      </c>
      <c r="E7" s="980" t="s">
        <v>541</v>
      </c>
      <c r="F7" s="981" t="s">
        <v>16</v>
      </c>
      <c r="G7" s="982" t="s">
        <v>542</v>
      </c>
      <c r="H7" s="983" t="s">
        <v>487</v>
      </c>
      <c r="I7" s="978" t="s">
        <v>497</v>
      </c>
      <c r="J7" s="984" t="s">
        <v>543</v>
      </c>
      <c r="K7" s="978" t="s">
        <v>493</v>
      </c>
      <c r="L7" s="979" t="s">
        <v>498</v>
      </c>
      <c r="M7" s="978" t="s">
        <v>16</v>
      </c>
      <c r="N7" s="985" t="s">
        <v>16</v>
      </c>
      <c r="P7" s="986">
        <v>1</v>
      </c>
      <c r="Q7" s="986">
        <v>2</v>
      </c>
      <c r="R7" s="986">
        <v>3</v>
      </c>
      <c r="S7" s="986">
        <v>4</v>
      </c>
      <c r="T7" s="986">
        <v>5</v>
      </c>
      <c r="U7" s="986">
        <v>1</v>
      </c>
      <c r="V7" s="986">
        <v>2</v>
      </c>
      <c r="W7" s="986">
        <v>3</v>
      </c>
      <c r="X7" s="986">
        <v>4</v>
      </c>
      <c r="Y7" s="986">
        <v>5</v>
      </c>
      <c r="Z7" s="1006"/>
      <c r="AA7" s="1006"/>
      <c r="AB7" s="1006"/>
      <c r="AC7" s="1006"/>
      <c r="AD7" s="1006"/>
      <c r="AE7" s="1006"/>
      <c r="AF7" s="1006"/>
      <c r="AG7" s="1006"/>
      <c r="AH7" s="1006"/>
      <c r="AI7" s="1006"/>
      <c r="AJ7" s="1006"/>
      <c r="AK7" s="1006"/>
      <c r="AL7" s="1006"/>
      <c r="AM7" s="1006"/>
    </row>
    <row r="8" spans="2:39">
      <c r="B8" s="1009" t="s">
        <v>307</v>
      </c>
      <c r="C8" s="1010">
        <v>1</v>
      </c>
      <c r="D8" s="1011">
        <v>0.02</v>
      </c>
      <c r="E8" s="1012" t="s">
        <v>544</v>
      </c>
      <c r="F8" s="1013">
        <v>55</v>
      </c>
      <c r="G8" s="1011">
        <v>0.04</v>
      </c>
      <c r="H8" s="1036">
        <f>IF(B8="","",ROUND((I8*$L$4),3))</f>
        <v>5.3999999999999999E-2</v>
      </c>
      <c r="I8" s="1015">
        <v>30</v>
      </c>
      <c r="J8" s="1015">
        <v>2</v>
      </c>
      <c r="K8" s="1015">
        <v>16</v>
      </c>
      <c r="L8" s="1015">
        <v>20</v>
      </c>
      <c r="M8" s="1037">
        <f>IF(B8="","",IF(G8="N/D",0,IF(G8=0,0,IF(G8&gt;H8,0,(ROUND((((POWER((((J8-(K8*$L$4))*$L$4)+(G8-D8)),2))*L8*0.5)/$L$4),3)*1000)))))</f>
        <v>3096</v>
      </c>
      <c r="N8" s="1037">
        <f>IF(B8="","",F8+M8)</f>
        <v>3151</v>
      </c>
      <c r="P8" s="989">
        <f>IF($C8=1,$F8,0)</f>
        <v>55</v>
      </c>
      <c r="Q8" s="989">
        <f>IF($C8=2,$F8,0)</f>
        <v>0</v>
      </c>
      <c r="R8" s="989">
        <f>IF($C8=3,$F8,0)</f>
        <v>0</v>
      </c>
      <c r="S8" s="989">
        <f>IF($C8=4,$F8,0)</f>
        <v>0</v>
      </c>
      <c r="T8" s="989">
        <f>IF($C8=5,$F8,0)</f>
        <v>0</v>
      </c>
      <c r="U8" s="989">
        <f>IF($C8=1,$M8,0)</f>
        <v>3096</v>
      </c>
      <c r="V8" s="989">
        <f>IF($C8=2,$M8,0)</f>
        <v>0</v>
      </c>
      <c r="W8" s="989">
        <f>IF($C8=3,$M8,0)</f>
        <v>0</v>
      </c>
      <c r="X8" s="989">
        <f>IF($C8=4,$M8,0)</f>
        <v>0</v>
      </c>
      <c r="Y8" s="989">
        <f>IF($C8=5,$M8,0)</f>
        <v>0</v>
      </c>
      <c r="Z8" s="1006"/>
      <c r="AA8" s="1006"/>
      <c r="AB8" s="1006"/>
      <c r="AC8" s="1006"/>
      <c r="AD8" s="1006"/>
      <c r="AE8" s="1006"/>
      <c r="AF8" s="1006"/>
      <c r="AG8" s="1006"/>
      <c r="AH8" s="1006"/>
      <c r="AI8" s="1006"/>
      <c r="AJ8" s="1006"/>
      <c r="AK8" s="1006"/>
      <c r="AL8" s="1006"/>
      <c r="AM8" s="1006"/>
    </row>
    <row r="9" spans="2:39">
      <c r="B9" s="1009" t="s">
        <v>309</v>
      </c>
      <c r="C9" s="1010">
        <v>1</v>
      </c>
      <c r="D9" s="1011">
        <v>0.01</v>
      </c>
      <c r="E9" s="1012" t="s">
        <v>544</v>
      </c>
      <c r="F9" s="1013">
        <v>40</v>
      </c>
      <c r="G9" s="1011">
        <v>0.04</v>
      </c>
      <c r="H9" s="1036">
        <f t="shared" ref="H9:H56" si="0">IF(B9="","",ROUND((I9*$L$4),3))</f>
        <v>5.3999999999999999E-2</v>
      </c>
      <c r="I9" s="1015">
        <v>30</v>
      </c>
      <c r="J9" s="1015">
        <v>2</v>
      </c>
      <c r="K9" s="1015">
        <v>16</v>
      </c>
      <c r="L9" s="1015">
        <v>20</v>
      </c>
      <c r="M9" s="1037">
        <f t="shared" ref="M9:M63" si="1">IF(B9="","",IF(G9="N/D",0,IF(G9=0,0,IF(G9&gt;H9,0,(ROUND((((POWER((((J9-(K9*$L$4))*$L$4)+(G9-D9)),2))*L9*0.5)/$L$4),3)*1000)))))</f>
        <v>6288</v>
      </c>
      <c r="N9" s="1037">
        <f t="shared" ref="N9:N58" si="2">IF(B9="","",F9+M9)</f>
        <v>6328</v>
      </c>
      <c r="P9" s="989">
        <f t="shared" ref="P9:P57" si="3">IF($C9=1,$F9,0)</f>
        <v>40</v>
      </c>
      <c r="Q9" s="989">
        <f t="shared" ref="Q9:Q57" si="4">IF($C9=2,$F9,0)</f>
        <v>0</v>
      </c>
      <c r="R9" s="989">
        <f t="shared" ref="R9:R57" si="5">IF($C9=3,$F9,0)</f>
        <v>0</v>
      </c>
      <c r="S9" s="989">
        <f t="shared" ref="S9:S57" si="6">IF($C9=4,$F9,0)</f>
        <v>0</v>
      </c>
      <c r="T9" s="989">
        <f t="shared" ref="T9:T57" si="7">IF($C9=5,$F9,0)</f>
        <v>0</v>
      </c>
      <c r="U9" s="989">
        <f t="shared" ref="U9:U57" si="8">IF($C9=1,$M9,0)</f>
        <v>6288</v>
      </c>
      <c r="V9" s="989">
        <f t="shared" ref="V9:V57" si="9">IF($C9=2,$M9,0)</f>
        <v>0</v>
      </c>
      <c r="W9" s="989">
        <f t="shared" ref="W9:W57" si="10">IF($C9=3,$M9,0)</f>
        <v>0</v>
      </c>
      <c r="X9" s="989">
        <f t="shared" ref="X9:X57" si="11">IF($C9=4,$M9,0)</f>
        <v>0</v>
      </c>
      <c r="Y9" s="989">
        <f t="shared" ref="Y9:Y57" si="12">IF($C9=5,$M9,0)</f>
        <v>0</v>
      </c>
      <c r="Z9" s="1006"/>
      <c r="AA9" s="1006"/>
      <c r="AB9" s="1006"/>
      <c r="AC9" s="1006"/>
      <c r="AD9" s="1006"/>
      <c r="AE9" s="1006"/>
      <c r="AF9" s="1006"/>
      <c r="AG9" s="1006"/>
      <c r="AH9" s="1006"/>
      <c r="AI9" s="1006"/>
      <c r="AJ9" s="1006"/>
      <c r="AK9" s="1006"/>
      <c r="AL9" s="1006"/>
      <c r="AM9" s="1006"/>
    </row>
    <row r="10" spans="2:39">
      <c r="B10" s="1009" t="s">
        <v>310</v>
      </c>
      <c r="C10" s="1010">
        <v>2</v>
      </c>
      <c r="D10" s="1011">
        <v>0.02</v>
      </c>
      <c r="E10" s="1012" t="s">
        <v>544</v>
      </c>
      <c r="F10" s="1013">
        <v>40</v>
      </c>
      <c r="G10" s="1011">
        <v>0.01</v>
      </c>
      <c r="H10" s="1036">
        <f t="shared" si="0"/>
        <v>5.3999999999999999E-2</v>
      </c>
      <c r="I10" s="1015">
        <v>30</v>
      </c>
      <c r="J10" s="1015">
        <v>2</v>
      </c>
      <c r="K10" s="1015">
        <v>16</v>
      </c>
      <c r="L10" s="1015">
        <v>20</v>
      </c>
      <c r="M10" s="1037">
        <f t="shared" si="1"/>
        <v>235</v>
      </c>
      <c r="N10" s="1037">
        <f t="shared" si="2"/>
        <v>275</v>
      </c>
      <c r="P10" s="989">
        <f t="shared" si="3"/>
        <v>0</v>
      </c>
      <c r="Q10" s="989">
        <f t="shared" si="4"/>
        <v>40</v>
      </c>
      <c r="R10" s="989">
        <f t="shared" si="5"/>
        <v>0</v>
      </c>
      <c r="S10" s="989">
        <f t="shared" si="6"/>
        <v>0</v>
      </c>
      <c r="T10" s="989">
        <f t="shared" si="7"/>
        <v>0</v>
      </c>
      <c r="U10" s="989">
        <f t="shared" si="8"/>
        <v>0</v>
      </c>
      <c r="V10" s="989">
        <f t="shared" si="9"/>
        <v>235</v>
      </c>
      <c r="W10" s="989">
        <f t="shared" si="10"/>
        <v>0</v>
      </c>
      <c r="X10" s="989">
        <f t="shared" si="11"/>
        <v>0</v>
      </c>
      <c r="Y10" s="989">
        <f t="shared" si="12"/>
        <v>0</v>
      </c>
      <c r="Z10" s="1006"/>
      <c r="AA10" s="1006"/>
      <c r="AB10" s="1006"/>
      <c r="AC10" s="1006"/>
      <c r="AD10" s="1006"/>
      <c r="AE10" s="1006"/>
      <c r="AF10" s="1006"/>
      <c r="AG10" s="1006"/>
      <c r="AH10" s="1006"/>
      <c r="AI10" s="1006"/>
      <c r="AJ10" s="1006"/>
      <c r="AK10" s="1006"/>
      <c r="AL10" s="1006"/>
      <c r="AM10" s="1006"/>
    </row>
    <row r="11" spans="2:39">
      <c r="B11" s="1009" t="s">
        <v>312</v>
      </c>
      <c r="C11" s="1010">
        <v>1</v>
      </c>
      <c r="D11" s="1011">
        <v>5.0000000000000001E-3</v>
      </c>
      <c r="E11" s="1012" t="s">
        <v>544</v>
      </c>
      <c r="F11" s="1013">
        <v>4</v>
      </c>
      <c r="G11" s="1011">
        <v>0.02</v>
      </c>
      <c r="H11" s="1036">
        <f t="shared" si="0"/>
        <v>5.3999999999999999E-2</v>
      </c>
      <c r="I11" s="1015">
        <v>30</v>
      </c>
      <c r="J11" s="1015">
        <v>2</v>
      </c>
      <c r="K11" s="1015">
        <v>16</v>
      </c>
      <c r="L11" s="1015">
        <v>20</v>
      </c>
      <c r="M11" s="1037">
        <f t="shared" si="1"/>
        <v>1920</v>
      </c>
      <c r="N11" s="1037">
        <f t="shared" si="2"/>
        <v>1924</v>
      </c>
      <c r="P11" s="989">
        <f t="shared" si="3"/>
        <v>4</v>
      </c>
      <c r="Q11" s="989">
        <f t="shared" si="4"/>
        <v>0</v>
      </c>
      <c r="R11" s="989">
        <f t="shared" si="5"/>
        <v>0</v>
      </c>
      <c r="S11" s="989">
        <f t="shared" si="6"/>
        <v>0</v>
      </c>
      <c r="T11" s="989">
        <f t="shared" si="7"/>
        <v>0</v>
      </c>
      <c r="U11" s="989">
        <f t="shared" si="8"/>
        <v>1920</v>
      </c>
      <c r="V11" s="989">
        <f t="shared" si="9"/>
        <v>0</v>
      </c>
      <c r="W11" s="989">
        <f t="shared" si="10"/>
        <v>0</v>
      </c>
      <c r="X11" s="989">
        <f t="shared" si="11"/>
        <v>0</v>
      </c>
      <c r="Y11" s="989">
        <f t="shared" si="12"/>
        <v>0</v>
      </c>
      <c r="Z11" s="1006"/>
      <c r="AA11" s="1006"/>
      <c r="AB11" s="1006"/>
      <c r="AC11" s="1006"/>
      <c r="AD11" s="1006"/>
      <c r="AE11" s="1006"/>
      <c r="AF11" s="1006"/>
      <c r="AG11" s="1006"/>
      <c r="AH11" s="1006"/>
      <c r="AI11" s="1006"/>
      <c r="AJ11" s="1006"/>
      <c r="AK11" s="1006"/>
      <c r="AL11" s="1006"/>
      <c r="AM11" s="1006"/>
    </row>
    <row r="12" spans="2:39">
      <c r="B12" s="1009" t="s">
        <v>314</v>
      </c>
      <c r="C12" s="1010">
        <v>1</v>
      </c>
      <c r="D12" s="1011">
        <v>5.0000000000000001E-3</v>
      </c>
      <c r="E12" s="1012" t="s">
        <v>544</v>
      </c>
      <c r="F12" s="1013">
        <v>6</v>
      </c>
      <c r="G12" s="1011">
        <v>0.02</v>
      </c>
      <c r="H12" s="1036">
        <f t="shared" si="0"/>
        <v>5.3999999999999999E-2</v>
      </c>
      <c r="I12" s="1015">
        <v>30</v>
      </c>
      <c r="J12" s="1015">
        <v>2</v>
      </c>
      <c r="K12" s="1015">
        <v>16</v>
      </c>
      <c r="L12" s="1015">
        <v>20</v>
      </c>
      <c r="M12" s="1037">
        <f t="shared" si="1"/>
        <v>1920</v>
      </c>
      <c r="N12" s="1037">
        <f t="shared" si="2"/>
        <v>1926</v>
      </c>
      <c r="P12" s="989">
        <f t="shared" si="3"/>
        <v>6</v>
      </c>
      <c r="Q12" s="989">
        <f t="shared" si="4"/>
        <v>0</v>
      </c>
      <c r="R12" s="989">
        <f t="shared" si="5"/>
        <v>0</v>
      </c>
      <c r="S12" s="989">
        <f t="shared" si="6"/>
        <v>0</v>
      </c>
      <c r="T12" s="989">
        <f t="shared" si="7"/>
        <v>0</v>
      </c>
      <c r="U12" s="989">
        <f t="shared" si="8"/>
        <v>1920</v>
      </c>
      <c r="V12" s="989">
        <f t="shared" si="9"/>
        <v>0</v>
      </c>
      <c r="W12" s="989">
        <f t="shared" si="10"/>
        <v>0</v>
      </c>
      <c r="X12" s="989">
        <f t="shared" si="11"/>
        <v>0</v>
      </c>
      <c r="Y12" s="989">
        <f t="shared" si="12"/>
        <v>0</v>
      </c>
      <c r="Z12" s="1006"/>
      <c r="AA12" s="1006"/>
      <c r="AB12" s="1006"/>
      <c r="AC12" s="1006"/>
      <c r="AD12" s="1006"/>
      <c r="AE12" s="1006"/>
      <c r="AF12" s="1006"/>
      <c r="AG12" s="1006"/>
      <c r="AH12" s="1006"/>
      <c r="AI12" s="1006"/>
      <c r="AJ12" s="1006"/>
      <c r="AK12" s="1006"/>
      <c r="AL12" s="1006"/>
      <c r="AM12" s="1006"/>
    </row>
    <row r="13" spans="2:39">
      <c r="B13" s="1009"/>
      <c r="C13" s="1010"/>
      <c r="D13" s="1011"/>
      <c r="E13" s="1012"/>
      <c r="F13" s="1013"/>
      <c r="G13" s="1011"/>
      <c r="H13" s="1014" t="str">
        <f t="shared" si="0"/>
        <v/>
      </c>
      <c r="I13" s="1015"/>
      <c r="J13" s="1015"/>
      <c r="K13" s="1015"/>
      <c r="L13" s="1015"/>
      <c r="M13" s="1037" t="str">
        <f t="shared" si="1"/>
        <v/>
      </c>
      <c r="N13" s="1037" t="str">
        <f t="shared" si="2"/>
        <v/>
      </c>
      <c r="O13" s="1035"/>
      <c r="P13" s="989">
        <f t="shared" si="3"/>
        <v>0</v>
      </c>
      <c r="Q13" s="989">
        <f t="shared" si="4"/>
        <v>0</v>
      </c>
      <c r="R13" s="989">
        <f t="shared" si="5"/>
        <v>0</v>
      </c>
      <c r="S13" s="989">
        <f t="shared" si="6"/>
        <v>0</v>
      </c>
      <c r="T13" s="989">
        <f t="shared" si="7"/>
        <v>0</v>
      </c>
      <c r="U13" s="989">
        <f t="shared" si="8"/>
        <v>0</v>
      </c>
      <c r="V13" s="989">
        <f t="shared" si="9"/>
        <v>0</v>
      </c>
      <c r="W13" s="989">
        <f t="shared" si="10"/>
        <v>0</v>
      </c>
      <c r="X13" s="989">
        <f t="shared" si="11"/>
        <v>0</v>
      </c>
      <c r="Y13" s="989">
        <f t="shared" si="12"/>
        <v>0</v>
      </c>
      <c r="Z13" s="1006"/>
      <c r="AA13" s="1006"/>
      <c r="AB13" s="1006"/>
      <c r="AC13" s="1006"/>
      <c r="AD13" s="1006"/>
      <c r="AE13" s="1006"/>
      <c r="AF13" s="1006"/>
      <c r="AG13" s="1006"/>
      <c r="AH13" s="1006"/>
      <c r="AI13" s="1006"/>
      <c r="AJ13" s="1006"/>
      <c r="AK13" s="1006"/>
      <c r="AL13" s="1006"/>
      <c r="AM13" s="1006"/>
    </row>
    <row r="14" spans="2:39">
      <c r="B14" s="1009"/>
      <c r="C14" s="1010"/>
      <c r="D14" s="1011"/>
      <c r="E14" s="1012"/>
      <c r="F14" s="1013"/>
      <c r="G14" s="1011"/>
      <c r="H14" s="1014" t="str">
        <f t="shared" si="0"/>
        <v/>
      </c>
      <c r="I14" s="1015"/>
      <c r="J14" s="1015"/>
      <c r="K14" s="1015"/>
      <c r="L14" s="1015"/>
      <c r="M14" s="1037" t="str">
        <f t="shared" si="1"/>
        <v/>
      </c>
      <c r="N14" s="1037" t="str">
        <f t="shared" si="2"/>
        <v/>
      </c>
      <c r="P14" s="989">
        <f t="shared" si="3"/>
        <v>0</v>
      </c>
      <c r="Q14" s="989">
        <f t="shared" si="4"/>
        <v>0</v>
      </c>
      <c r="R14" s="989">
        <f t="shared" si="5"/>
        <v>0</v>
      </c>
      <c r="S14" s="989">
        <f t="shared" si="6"/>
        <v>0</v>
      </c>
      <c r="T14" s="989">
        <f t="shared" si="7"/>
        <v>0</v>
      </c>
      <c r="U14" s="989">
        <f t="shared" si="8"/>
        <v>0</v>
      </c>
      <c r="V14" s="989">
        <f t="shared" si="9"/>
        <v>0</v>
      </c>
      <c r="W14" s="989">
        <f t="shared" si="10"/>
        <v>0</v>
      </c>
      <c r="X14" s="989">
        <f t="shared" si="11"/>
        <v>0</v>
      </c>
      <c r="Y14" s="989">
        <f t="shared" si="12"/>
        <v>0</v>
      </c>
      <c r="Z14" s="1006"/>
      <c r="AA14" s="1006"/>
      <c r="AB14" s="1006"/>
      <c r="AC14" s="1006"/>
      <c r="AD14" s="1006"/>
      <c r="AE14" s="1006"/>
      <c r="AF14" s="1006"/>
      <c r="AG14" s="1006"/>
      <c r="AH14" s="1006"/>
      <c r="AI14" s="1006"/>
      <c r="AJ14" s="1006"/>
      <c r="AK14" s="1006"/>
      <c r="AL14" s="1006"/>
      <c r="AM14" s="1006"/>
    </row>
    <row r="15" spans="2:39">
      <c r="B15" s="1009"/>
      <c r="C15" s="1010"/>
      <c r="D15" s="1011"/>
      <c r="E15" s="1012"/>
      <c r="F15" s="1013"/>
      <c r="G15" s="1011"/>
      <c r="H15" s="1014" t="str">
        <f t="shared" si="0"/>
        <v/>
      </c>
      <c r="I15" s="1015"/>
      <c r="J15" s="1015"/>
      <c r="K15" s="1015"/>
      <c r="L15" s="1015"/>
      <c r="M15" s="1037" t="str">
        <f t="shared" si="1"/>
        <v/>
      </c>
      <c r="N15" s="1037" t="str">
        <f t="shared" si="2"/>
        <v/>
      </c>
      <c r="P15" s="989">
        <f t="shared" si="3"/>
        <v>0</v>
      </c>
      <c r="Q15" s="989">
        <f t="shared" si="4"/>
        <v>0</v>
      </c>
      <c r="R15" s="989">
        <f t="shared" si="5"/>
        <v>0</v>
      </c>
      <c r="S15" s="989">
        <f t="shared" si="6"/>
        <v>0</v>
      </c>
      <c r="T15" s="989">
        <f t="shared" si="7"/>
        <v>0</v>
      </c>
      <c r="U15" s="989">
        <f t="shared" si="8"/>
        <v>0</v>
      </c>
      <c r="V15" s="989">
        <f t="shared" si="9"/>
        <v>0</v>
      </c>
      <c r="W15" s="989">
        <f t="shared" si="10"/>
        <v>0</v>
      </c>
      <c r="X15" s="989">
        <f t="shared" si="11"/>
        <v>0</v>
      </c>
      <c r="Y15" s="989">
        <f t="shared" si="12"/>
        <v>0</v>
      </c>
      <c r="Z15" s="1006"/>
      <c r="AA15"/>
      <c r="AB15" s="1006"/>
      <c r="AC15" s="1006"/>
      <c r="AD15" s="1006"/>
      <c r="AE15" s="1006"/>
      <c r="AF15" s="1006"/>
      <c r="AG15" s="1006"/>
      <c r="AH15" s="1006"/>
      <c r="AI15" s="1006"/>
      <c r="AJ15" s="1006"/>
      <c r="AK15" s="1006"/>
      <c r="AL15" s="1006"/>
      <c r="AM15" s="1006"/>
    </row>
    <row r="16" spans="2:39">
      <c r="B16" s="1009"/>
      <c r="C16" s="1010"/>
      <c r="D16" s="1011"/>
      <c r="E16" s="1012"/>
      <c r="F16" s="1013"/>
      <c r="G16" s="1011"/>
      <c r="H16" s="1014" t="str">
        <f t="shared" si="0"/>
        <v/>
      </c>
      <c r="I16" s="1015"/>
      <c r="J16" s="1015"/>
      <c r="K16" s="1015"/>
      <c r="L16" s="1015"/>
      <c r="M16" s="1037" t="str">
        <f t="shared" si="1"/>
        <v/>
      </c>
      <c r="N16" s="1037" t="str">
        <f t="shared" si="2"/>
        <v/>
      </c>
      <c r="P16" s="989">
        <f t="shared" si="3"/>
        <v>0</v>
      </c>
      <c r="Q16" s="989">
        <f t="shared" si="4"/>
        <v>0</v>
      </c>
      <c r="R16" s="989">
        <f t="shared" si="5"/>
        <v>0</v>
      </c>
      <c r="S16" s="989">
        <f t="shared" si="6"/>
        <v>0</v>
      </c>
      <c r="T16" s="989">
        <f t="shared" si="7"/>
        <v>0</v>
      </c>
      <c r="U16" s="989">
        <f t="shared" si="8"/>
        <v>0</v>
      </c>
      <c r="V16" s="989">
        <f t="shared" si="9"/>
        <v>0</v>
      </c>
      <c r="W16" s="989">
        <f t="shared" si="10"/>
        <v>0</v>
      </c>
      <c r="X16" s="989">
        <f t="shared" si="11"/>
        <v>0</v>
      </c>
      <c r="Y16" s="989">
        <f t="shared" si="12"/>
        <v>0</v>
      </c>
      <c r="Z16" s="1006"/>
      <c r="AA16" s="1006"/>
      <c r="AB16" s="1006"/>
      <c r="AC16" s="1006"/>
      <c r="AD16" s="1006"/>
      <c r="AE16" s="1006"/>
      <c r="AF16" s="1006"/>
      <c r="AG16" s="1006"/>
      <c r="AH16" s="1006"/>
      <c r="AI16" s="1006"/>
      <c r="AJ16" s="1006"/>
      <c r="AK16" s="1006"/>
      <c r="AL16" s="1006"/>
      <c r="AM16" s="1006"/>
    </row>
    <row r="17" spans="2:39">
      <c r="B17" s="1009"/>
      <c r="C17" s="1010"/>
      <c r="D17" s="1011"/>
      <c r="E17" s="1012"/>
      <c r="F17" s="1013"/>
      <c r="G17" s="1011"/>
      <c r="H17" s="1014" t="str">
        <f t="shared" si="0"/>
        <v/>
      </c>
      <c r="I17" s="1015"/>
      <c r="J17" s="1015"/>
      <c r="K17" s="1015"/>
      <c r="L17" s="1015"/>
      <c r="M17" s="1037" t="str">
        <f t="shared" si="1"/>
        <v/>
      </c>
      <c r="N17" s="1037" t="str">
        <f t="shared" si="2"/>
        <v/>
      </c>
      <c r="P17" s="989">
        <f t="shared" si="3"/>
        <v>0</v>
      </c>
      <c r="Q17" s="989">
        <f t="shared" si="4"/>
        <v>0</v>
      </c>
      <c r="R17" s="989">
        <f t="shared" si="5"/>
        <v>0</v>
      </c>
      <c r="S17" s="989">
        <f t="shared" si="6"/>
        <v>0</v>
      </c>
      <c r="T17" s="989">
        <f t="shared" si="7"/>
        <v>0</v>
      </c>
      <c r="U17" s="989">
        <f t="shared" si="8"/>
        <v>0</v>
      </c>
      <c r="V17" s="989">
        <f t="shared" si="9"/>
        <v>0</v>
      </c>
      <c r="W17" s="989">
        <f t="shared" si="10"/>
        <v>0</v>
      </c>
      <c r="X17" s="989">
        <f t="shared" si="11"/>
        <v>0</v>
      </c>
      <c r="Y17" s="989">
        <f t="shared" si="12"/>
        <v>0</v>
      </c>
      <c r="Z17" s="1006"/>
      <c r="AA17" s="1006"/>
      <c r="AB17" s="1006"/>
      <c r="AC17" s="1006"/>
      <c r="AD17" s="1006"/>
      <c r="AE17" s="1006"/>
      <c r="AF17" s="1006"/>
      <c r="AG17" s="1006"/>
      <c r="AH17" s="1006"/>
      <c r="AI17" s="1006"/>
      <c r="AJ17" s="1006"/>
      <c r="AK17" s="1006"/>
      <c r="AL17" s="1006"/>
      <c r="AM17" s="1006"/>
    </row>
    <row r="18" spans="2:39">
      <c r="B18" s="1009"/>
      <c r="C18" s="1010"/>
      <c r="D18" s="1011"/>
      <c r="E18" s="1012"/>
      <c r="F18" s="1013"/>
      <c r="G18" s="1011"/>
      <c r="H18" s="1014" t="str">
        <f t="shared" si="0"/>
        <v/>
      </c>
      <c r="I18" s="1015"/>
      <c r="J18" s="1015"/>
      <c r="K18" s="1015"/>
      <c r="L18" s="1015"/>
      <c r="M18" s="1037" t="str">
        <f t="shared" si="1"/>
        <v/>
      </c>
      <c r="N18" s="1037" t="str">
        <f t="shared" si="2"/>
        <v/>
      </c>
      <c r="P18" s="989">
        <f t="shared" si="3"/>
        <v>0</v>
      </c>
      <c r="Q18" s="989">
        <f t="shared" si="4"/>
        <v>0</v>
      </c>
      <c r="R18" s="989">
        <f t="shared" si="5"/>
        <v>0</v>
      </c>
      <c r="S18" s="989">
        <f t="shared" si="6"/>
        <v>0</v>
      </c>
      <c r="T18" s="989">
        <f t="shared" si="7"/>
        <v>0</v>
      </c>
      <c r="U18" s="989">
        <f t="shared" si="8"/>
        <v>0</v>
      </c>
      <c r="V18" s="989">
        <f t="shared" si="9"/>
        <v>0</v>
      </c>
      <c r="W18" s="989">
        <f t="shared" si="10"/>
        <v>0</v>
      </c>
      <c r="X18" s="989">
        <f t="shared" si="11"/>
        <v>0</v>
      </c>
      <c r="Y18" s="989">
        <f t="shared" si="12"/>
        <v>0</v>
      </c>
      <c r="Z18" s="1006"/>
      <c r="AA18" s="1006"/>
      <c r="AB18" s="1006"/>
      <c r="AC18" s="1006"/>
      <c r="AD18" s="1006"/>
      <c r="AE18" s="1006"/>
      <c r="AF18" s="1006"/>
      <c r="AG18" s="1006"/>
      <c r="AH18" s="1006"/>
      <c r="AI18" s="1006"/>
      <c r="AJ18" s="1006"/>
      <c r="AK18" s="1006"/>
      <c r="AL18" s="1006"/>
      <c r="AM18" s="1006"/>
    </row>
    <row r="19" spans="2:39">
      <c r="B19" s="1009"/>
      <c r="C19" s="1010"/>
      <c r="D19" s="1011"/>
      <c r="E19" s="1012"/>
      <c r="F19" s="1013"/>
      <c r="G19" s="1011"/>
      <c r="H19" s="1014" t="str">
        <f t="shared" si="0"/>
        <v/>
      </c>
      <c r="I19" s="1015"/>
      <c r="J19" s="1015"/>
      <c r="K19" s="1015"/>
      <c r="L19" s="1015"/>
      <c r="M19" s="1037" t="str">
        <f t="shared" si="1"/>
        <v/>
      </c>
      <c r="N19" s="1037" t="str">
        <f t="shared" si="2"/>
        <v/>
      </c>
      <c r="P19" s="989">
        <f t="shared" si="3"/>
        <v>0</v>
      </c>
      <c r="Q19" s="989">
        <f t="shared" si="4"/>
        <v>0</v>
      </c>
      <c r="R19" s="989">
        <f t="shared" si="5"/>
        <v>0</v>
      </c>
      <c r="S19" s="989">
        <f t="shared" si="6"/>
        <v>0</v>
      </c>
      <c r="T19" s="989">
        <f t="shared" si="7"/>
        <v>0</v>
      </c>
      <c r="U19" s="989">
        <f t="shared" si="8"/>
        <v>0</v>
      </c>
      <c r="V19" s="989">
        <f t="shared" si="9"/>
        <v>0</v>
      </c>
      <c r="W19" s="989">
        <f t="shared" si="10"/>
        <v>0</v>
      </c>
      <c r="X19" s="989">
        <f t="shared" si="11"/>
        <v>0</v>
      </c>
      <c r="Y19" s="989">
        <f t="shared" si="12"/>
        <v>0</v>
      </c>
      <c r="Z19" s="1006"/>
      <c r="AA19" s="1006"/>
      <c r="AB19" s="1006"/>
      <c r="AC19" s="1006"/>
      <c r="AD19" s="1006"/>
      <c r="AE19" s="1006"/>
      <c r="AF19" s="1006"/>
      <c r="AG19" s="1006"/>
      <c r="AH19" s="1006"/>
      <c r="AI19" s="1006"/>
      <c r="AJ19" s="1006"/>
      <c r="AK19" s="1006"/>
      <c r="AL19" s="1006"/>
      <c r="AM19" s="1006"/>
    </row>
    <row r="20" spans="2:39">
      <c r="B20" s="1009"/>
      <c r="C20" s="1010"/>
      <c r="D20" s="1011"/>
      <c r="E20" s="1012"/>
      <c r="F20" s="1013"/>
      <c r="G20" s="1011"/>
      <c r="H20" s="1014" t="str">
        <f t="shared" si="0"/>
        <v/>
      </c>
      <c r="I20" s="1015"/>
      <c r="J20" s="1015"/>
      <c r="K20" s="1015"/>
      <c r="L20" s="1015"/>
      <c r="M20" s="1037" t="str">
        <f t="shared" si="1"/>
        <v/>
      </c>
      <c r="N20" s="1037" t="str">
        <f t="shared" si="2"/>
        <v/>
      </c>
      <c r="P20" s="989">
        <f t="shared" si="3"/>
        <v>0</v>
      </c>
      <c r="Q20" s="989">
        <f t="shared" si="4"/>
        <v>0</v>
      </c>
      <c r="R20" s="989">
        <f t="shared" si="5"/>
        <v>0</v>
      </c>
      <c r="S20" s="989">
        <f t="shared" si="6"/>
        <v>0</v>
      </c>
      <c r="T20" s="989">
        <f t="shared" si="7"/>
        <v>0</v>
      </c>
      <c r="U20" s="989">
        <f t="shared" si="8"/>
        <v>0</v>
      </c>
      <c r="V20" s="989">
        <f t="shared" si="9"/>
        <v>0</v>
      </c>
      <c r="W20" s="989">
        <f t="shared" si="10"/>
        <v>0</v>
      </c>
      <c r="X20" s="989">
        <f t="shared" si="11"/>
        <v>0</v>
      </c>
      <c r="Y20" s="989">
        <f t="shared" si="12"/>
        <v>0</v>
      </c>
      <c r="Z20" s="1006"/>
      <c r="AA20" s="1006"/>
      <c r="AB20" s="1006"/>
      <c r="AC20" s="1006"/>
      <c r="AD20" s="1006"/>
      <c r="AE20" s="1006"/>
      <c r="AF20" s="1006"/>
      <c r="AG20" s="1006"/>
      <c r="AH20" s="1006"/>
      <c r="AI20" s="1006"/>
      <c r="AJ20" s="1006"/>
      <c r="AK20" s="1006"/>
      <c r="AL20" s="1006"/>
      <c r="AM20" s="1006"/>
    </row>
    <row r="21" spans="2:39">
      <c r="B21" s="1009"/>
      <c r="C21" s="1010"/>
      <c r="D21" s="1011"/>
      <c r="E21" s="1012"/>
      <c r="F21" s="1013"/>
      <c r="G21" s="1011"/>
      <c r="H21" s="1014" t="str">
        <f t="shared" si="0"/>
        <v/>
      </c>
      <c r="I21" s="1015"/>
      <c r="J21" s="1015"/>
      <c r="K21" s="1015"/>
      <c r="L21" s="1015"/>
      <c r="M21" s="1037" t="str">
        <f t="shared" si="1"/>
        <v/>
      </c>
      <c r="N21" s="1037" t="str">
        <f t="shared" si="2"/>
        <v/>
      </c>
      <c r="P21" s="989">
        <f t="shared" si="3"/>
        <v>0</v>
      </c>
      <c r="Q21" s="989">
        <f t="shared" si="4"/>
        <v>0</v>
      </c>
      <c r="R21" s="989">
        <f t="shared" si="5"/>
        <v>0</v>
      </c>
      <c r="S21" s="989">
        <f t="shared" si="6"/>
        <v>0</v>
      </c>
      <c r="T21" s="989">
        <f t="shared" si="7"/>
        <v>0</v>
      </c>
      <c r="U21" s="989">
        <f t="shared" si="8"/>
        <v>0</v>
      </c>
      <c r="V21" s="989">
        <f t="shared" si="9"/>
        <v>0</v>
      </c>
      <c r="W21" s="989">
        <f t="shared" si="10"/>
        <v>0</v>
      </c>
      <c r="X21" s="989">
        <f t="shared" si="11"/>
        <v>0</v>
      </c>
      <c r="Y21" s="989">
        <f t="shared" si="12"/>
        <v>0</v>
      </c>
      <c r="Z21" s="1006"/>
      <c r="AA21" s="1006"/>
      <c r="AB21" s="1006"/>
      <c r="AC21" s="1006"/>
      <c r="AD21" s="1006"/>
      <c r="AE21" s="1006"/>
      <c r="AF21" s="1006"/>
      <c r="AG21" s="1006"/>
      <c r="AH21" s="1006"/>
      <c r="AI21" s="1006"/>
      <c r="AJ21" s="1006"/>
      <c r="AK21" s="1006"/>
      <c r="AL21" s="1006"/>
      <c r="AM21" s="1006"/>
    </row>
    <row r="22" spans="2:39">
      <c r="B22" s="1009"/>
      <c r="C22" s="1010"/>
      <c r="D22" s="1011"/>
      <c r="E22" s="1012"/>
      <c r="F22" s="1013"/>
      <c r="G22" s="1011"/>
      <c r="H22" s="1014" t="str">
        <f t="shared" si="0"/>
        <v/>
      </c>
      <c r="I22" s="1015"/>
      <c r="J22" s="1015"/>
      <c r="K22" s="1015"/>
      <c r="L22" s="1015"/>
      <c r="M22" s="1037" t="str">
        <f t="shared" si="1"/>
        <v/>
      </c>
      <c r="N22" s="1037" t="str">
        <f t="shared" si="2"/>
        <v/>
      </c>
      <c r="P22" s="989">
        <f t="shared" si="3"/>
        <v>0</v>
      </c>
      <c r="Q22" s="989">
        <f t="shared" si="4"/>
        <v>0</v>
      </c>
      <c r="R22" s="989">
        <f t="shared" si="5"/>
        <v>0</v>
      </c>
      <c r="S22" s="989">
        <f t="shared" si="6"/>
        <v>0</v>
      </c>
      <c r="T22" s="989">
        <f t="shared" si="7"/>
        <v>0</v>
      </c>
      <c r="U22" s="989">
        <f t="shared" si="8"/>
        <v>0</v>
      </c>
      <c r="V22" s="989">
        <f t="shared" si="9"/>
        <v>0</v>
      </c>
      <c r="W22" s="989">
        <f t="shared" si="10"/>
        <v>0</v>
      </c>
      <c r="X22" s="989">
        <f t="shared" si="11"/>
        <v>0</v>
      </c>
      <c r="Y22" s="989">
        <f t="shared" si="12"/>
        <v>0</v>
      </c>
      <c r="Z22" s="1006"/>
      <c r="AA22" s="1006"/>
      <c r="AB22" s="1006"/>
      <c r="AC22" s="1006"/>
      <c r="AD22" s="1006"/>
      <c r="AE22" s="1006"/>
      <c r="AF22" s="1006"/>
      <c r="AG22" s="1006"/>
      <c r="AH22" s="1006"/>
      <c r="AI22" s="1006"/>
      <c r="AJ22" s="1006"/>
      <c r="AK22" s="1006"/>
      <c r="AL22" s="1006"/>
      <c r="AM22" s="1006"/>
    </row>
    <row r="23" spans="2:39">
      <c r="B23" s="1009"/>
      <c r="C23" s="1010"/>
      <c r="D23" s="1011"/>
      <c r="E23" s="1012"/>
      <c r="F23" s="1013"/>
      <c r="G23" s="1011"/>
      <c r="H23" s="1014" t="str">
        <f t="shared" si="0"/>
        <v/>
      </c>
      <c r="I23" s="1015"/>
      <c r="J23" s="1015"/>
      <c r="K23" s="1015"/>
      <c r="L23" s="1015"/>
      <c r="M23" s="1037" t="str">
        <f t="shared" si="1"/>
        <v/>
      </c>
      <c r="N23" s="1037" t="str">
        <f t="shared" si="2"/>
        <v/>
      </c>
      <c r="P23" s="989">
        <f t="shared" si="3"/>
        <v>0</v>
      </c>
      <c r="Q23" s="989">
        <f t="shared" si="4"/>
        <v>0</v>
      </c>
      <c r="R23" s="989">
        <f t="shared" si="5"/>
        <v>0</v>
      </c>
      <c r="S23" s="989">
        <f t="shared" si="6"/>
        <v>0</v>
      </c>
      <c r="T23" s="989">
        <f t="shared" si="7"/>
        <v>0</v>
      </c>
      <c r="U23" s="989">
        <f t="shared" si="8"/>
        <v>0</v>
      </c>
      <c r="V23" s="989">
        <f t="shared" si="9"/>
        <v>0</v>
      </c>
      <c r="W23" s="989">
        <f t="shared" si="10"/>
        <v>0</v>
      </c>
      <c r="X23" s="989">
        <f t="shared" si="11"/>
        <v>0</v>
      </c>
      <c r="Y23" s="989">
        <f t="shared" si="12"/>
        <v>0</v>
      </c>
      <c r="Z23" s="1006"/>
      <c r="AA23" s="1006"/>
      <c r="AB23" s="1006"/>
      <c r="AC23" s="1006"/>
      <c r="AD23" s="1006"/>
      <c r="AE23" s="1006"/>
      <c r="AF23" s="1006"/>
      <c r="AG23" s="1006"/>
      <c r="AH23" s="1006"/>
      <c r="AI23" s="1006"/>
      <c r="AJ23" s="1006"/>
      <c r="AK23" s="1006"/>
      <c r="AL23" s="1006"/>
      <c r="AM23" s="1006"/>
    </row>
    <row r="24" spans="2:39">
      <c r="B24" s="1009"/>
      <c r="C24" s="1010"/>
      <c r="D24" s="1011"/>
      <c r="E24" s="1012"/>
      <c r="F24" s="1013"/>
      <c r="G24" s="1011"/>
      <c r="H24" s="1014" t="str">
        <f t="shared" si="0"/>
        <v/>
      </c>
      <c r="I24" s="1015"/>
      <c r="J24" s="1015"/>
      <c r="K24" s="1015"/>
      <c r="L24" s="1015"/>
      <c r="M24" s="1037" t="str">
        <f t="shared" si="1"/>
        <v/>
      </c>
      <c r="N24" s="1037" t="str">
        <f t="shared" si="2"/>
        <v/>
      </c>
      <c r="P24" s="989">
        <f t="shared" si="3"/>
        <v>0</v>
      </c>
      <c r="Q24" s="989">
        <f t="shared" si="4"/>
        <v>0</v>
      </c>
      <c r="R24" s="989">
        <f t="shared" si="5"/>
        <v>0</v>
      </c>
      <c r="S24" s="989">
        <f t="shared" si="6"/>
        <v>0</v>
      </c>
      <c r="T24" s="989">
        <f t="shared" si="7"/>
        <v>0</v>
      </c>
      <c r="U24" s="989">
        <f t="shared" si="8"/>
        <v>0</v>
      </c>
      <c r="V24" s="989">
        <f t="shared" si="9"/>
        <v>0</v>
      </c>
      <c r="W24" s="989">
        <f t="shared" si="10"/>
        <v>0</v>
      </c>
      <c r="X24" s="989">
        <f t="shared" si="11"/>
        <v>0</v>
      </c>
      <c r="Y24" s="989">
        <f t="shared" si="12"/>
        <v>0</v>
      </c>
      <c r="Z24" s="1006"/>
      <c r="AA24" s="1006"/>
      <c r="AB24" s="1006"/>
      <c r="AC24" s="1006"/>
      <c r="AD24" s="1006"/>
      <c r="AE24" s="1006"/>
      <c r="AF24" s="1006"/>
      <c r="AG24" s="1006"/>
      <c r="AH24" s="1006"/>
      <c r="AI24" s="1006"/>
      <c r="AJ24" s="1006"/>
      <c r="AK24" s="1006"/>
      <c r="AL24" s="1006"/>
      <c r="AM24" s="1006"/>
    </row>
    <row r="25" spans="2:39">
      <c r="B25" s="1009"/>
      <c r="C25" s="1010"/>
      <c r="D25" s="1011"/>
      <c r="E25" s="1012"/>
      <c r="F25" s="1013"/>
      <c r="G25" s="1011"/>
      <c r="H25" s="1014" t="str">
        <f t="shared" si="0"/>
        <v/>
      </c>
      <c r="I25" s="1015"/>
      <c r="J25" s="1015"/>
      <c r="K25" s="1015"/>
      <c r="L25" s="1015"/>
      <c r="M25" s="1037" t="str">
        <f t="shared" si="1"/>
        <v/>
      </c>
      <c r="N25" s="1037" t="str">
        <f t="shared" si="2"/>
        <v/>
      </c>
      <c r="P25" s="989">
        <f t="shared" si="3"/>
        <v>0</v>
      </c>
      <c r="Q25" s="989">
        <f t="shared" si="4"/>
        <v>0</v>
      </c>
      <c r="R25" s="989">
        <f t="shared" si="5"/>
        <v>0</v>
      </c>
      <c r="S25" s="989">
        <f t="shared" si="6"/>
        <v>0</v>
      </c>
      <c r="T25" s="989">
        <f t="shared" si="7"/>
        <v>0</v>
      </c>
      <c r="U25" s="989">
        <f t="shared" si="8"/>
        <v>0</v>
      </c>
      <c r="V25" s="989">
        <f t="shared" si="9"/>
        <v>0</v>
      </c>
      <c r="W25" s="989">
        <f t="shared" si="10"/>
        <v>0</v>
      </c>
      <c r="X25" s="989">
        <f t="shared" si="11"/>
        <v>0</v>
      </c>
      <c r="Y25" s="989">
        <f t="shared" si="12"/>
        <v>0</v>
      </c>
      <c r="Z25" s="1006"/>
      <c r="AA25" s="1006"/>
      <c r="AB25" s="1006"/>
      <c r="AC25" s="1006"/>
      <c r="AD25" s="1006"/>
      <c r="AE25" s="1006"/>
      <c r="AF25" s="1006"/>
      <c r="AG25" s="1006"/>
      <c r="AH25" s="1006"/>
      <c r="AI25" s="1006"/>
      <c r="AJ25" s="1006"/>
      <c r="AK25" s="1006"/>
      <c r="AL25" s="1006"/>
      <c r="AM25" s="1006"/>
    </row>
    <row r="26" spans="2:39">
      <c r="B26" s="1009"/>
      <c r="C26" s="1010"/>
      <c r="D26" s="1011"/>
      <c r="E26" s="1012"/>
      <c r="F26" s="1013"/>
      <c r="G26" s="1011"/>
      <c r="H26" s="1014" t="str">
        <f t="shared" si="0"/>
        <v/>
      </c>
      <c r="I26" s="1015"/>
      <c r="J26" s="1015"/>
      <c r="K26" s="1015"/>
      <c r="L26" s="1015"/>
      <c r="M26" s="1037" t="str">
        <f t="shared" si="1"/>
        <v/>
      </c>
      <c r="N26" s="1037" t="str">
        <f t="shared" si="2"/>
        <v/>
      </c>
      <c r="P26" s="989">
        <f t="shared" si="3"/>
        <v>0</v>
      </c>
      <c r="Q26" s="989">
        <f t="shared" si="4"/>
        <v>0</v>
      </c>
      <c r="R26" s="989">
        <f t="shared" si="5"/>
        <v>0</v>
      </c>
      <c r="S26" s="989">
        <f t="shared" si="6"/>
        <v>0</v>
      </c>
      <c r="T26" s="989">
        <f t="shared" si="7"/>
        <v>0</v>
      </c>
      <c r="U26" s="989">
        <f t="shared" si="8"/>
        <v>0</v>
      </c>
      <c r="V26" s="989">
        <f t="shared" si="9"/>
        <v>0</v>
      </c>
      <c r="W26" s="989">
        <f t="shared" si="10"/>
        <v>0</v>
      </c>
      <c r="X26" s="989">
        <f t="shared" si="11"/>
        <v>0</v>
      </c>
      <c r="Y26" s="989">
        <f t="shared" si="12"/>
        <v>0</v>
      </c>
      <c r="Z26" s="1006"/>
      <c r="AA26" s="1006"/>
      <c r="AB26" s="1006"/>
      <c r="AC26" s="1006"/>
      <c r="AD26" s="1006"/>
      <c r="AE26" s="1006"/>
      <c r="AF26" s="1006"/>
      <c r="AG26" s="1006"/>
      <c r="AH26" s="1006"/>
      <c r="AI26" s="1006"/>
      <c r="AJ26" s="1006"/>
      <c r="AK26" s="1006"/>
      <c r="AL26" s="1006"/>
      <c r="AM26" s="1006"/>
    </row>
    <row r="27" spans="2:39">
      <c r="B27" s="1009"/>
      <c r="C27" s="1010"/>
      <c r="D27" s="1011"/>
      <c r="E27" s="1012"/>
      <c r="F27" s="1013"/>
      <c r="G27" s="1011"/>
      <c r="H27" s="1014" t="str">
        <f t="shared" si="0"/>
        <v/>
      </c>
      <c r="I27" s="1015"/>
      <c r="J27" s="1015"/>
      <c r="K27" s="1015"/>
      <c r="L27" s="1015"/>
      <c r="M27" s="1037" t="str">
        <f t="shared" si="1"/>
        <v/>
      </c>
      <c r="N27" s="1037" t="str">
        <f t="shared" si="2"/>
        <v/>
      </c>
      <c r="P27" s="989">
        <f t="shared" si="3"/>
        <v>0</v>
      </c>
      <c r="Q27" s="989">
        <f t="shared" si="4"/>
        <v>0</v>
      </c>
      <c r="R27" s="989">
        <f t="shared" si="5"/>
        <v>0</v>
      </c>
      <c r="S27" s="989">
        <f t="shared" si="6"/>
        <v>0</v>
      </c>
      <c r="T27" s="989">
        <f t="shared" si="7"/>
        <v>0</v>
      </c>
      <c r="U27" s="989">
        <f t="shared" si="8"/>
        <v>0</v>
      </c>
      <c r="V27" s="989">
        <f t="shared" si="9"/>
        <v>0</v>
      </c>
      <c r="W27" s="989">
        <f t="shared" si="10"/>
        <v>0</v>
      </c>
      <c r="X27" s="989">
        <f t="shared" si="11"/>
        <v>0</v>
      </c>
      <c r="Y27" s="989">
        <f t="shared" si="12"/>
        <v>0</v>
      </c>
      <c r="Z27" s="1006"/>
      <c r="AA27" s="1006"/>
      <c r="AB27" s="1006"/>
      <c r="AC27" s="1006"/>
      <c r="AD27" s="1006"/>
      <c r="AE27" s="1006"/>
      <c r="AF27" s="1006"/>
      <c r="AG27" s="1006"/>
      <c r="AH27" s="1006"/>
      <c r="AI27" s="1006"/>
      <c r="AJ27" s="1006"/>
      <c r="AK27" s="1006"/>
      <c r="AL27" s="1006"/>
      <c r="AM27" s="1006"/>
    </row>
    <row r="28" spans="2:39">
      <c r="B28" s="1009"/>
      <c r="C28" s="1010"/>
      <c r="D28" s="1011"/>
      <c r="E28" s="1012"/>
      <c r="F28" s="1013"/>
      <c r="G28" s="1011"/>
      <c r="H28" s="1014" t="str">
        <f t="shared" si="0"/>
        <v/>
      </c>
      <c r="I28" s="1015"/>
      <c r="J28" s="1015"/>
      <c r="K28" s="1015"/>
      <c r="L28" s="1015"/>
      <c r="M28" s="1037" t="str">
        <f t="shared" si="1"/>
        <v/>
      </c>
      <c r="N28" s="1037" t="str">
        <f t="shared" si="2"/>
        <v/>
      </c>
      <c r="P28" s="989">
        <f t="shared" si="3"/>
        <v>0</v>
      </c>
      <c r="Q28" s="989">
        <f t="shared" si="4"/>
        <v>0</v>
      </c>
      <c r="R28" s="989">
        <f t="shared" si="5"/>
        <v>0</v>
      </c>
      <c r="S28" s="989">
        <f t="shared" si="6"/>
        <v>0</v>
      </c>
      <c r="T28" s="989">
        <f t="shared" si="7"/>
        <v>0</v>
      </c>
      <c r="U28" s="989">
        <f t="shared" si="8"/>
        <v>0</v>
      </c>
      <c r="V28" s="989">
        <f t="shared" si="9"/>
        <v>0</v>
      </c>
      <c r="W28" s="989">
        <f t="shared" si="10"/>
        <v>0</v>
      </c>
      <c r="X28" s="989">
        <f t="shared" si="11"/>
        <v>0</v>
      </c>
      <c r="Y28" s="989">
        <f t="shared" si="12"/>
        <v>0</v>
      </c>
      <c r="Z28" s="1006"/>
      <c r="AA28" s="1006"/>
      <c r="AB28" s="1006"/>
      <c r="AC28" s="1006"/>
      <c r="AD28" s="1006"/>
      <c r="AE28" s="1006"/>
      <c r="AF28" s="1006"/>
      <c r="AG28" s="1006"/>
      <c r="AH28" s="1006"/>
      <c r="AI28" s="1006"/>
      <c r="AJ28" s="1006"/>
      <c r="AK28" s="1006"/>
      <c r="AL28" s="1006"/>
      <c r="AM28" s="1006"/>
    </row>
    <row r="29" spans="2:39">
      <c r="B29" s="1009"/>
      <c r="C29" s="1010"/>
      <c r="D29" s="1011"/>
      <c r="E29" s="1012"/>
      <c r="F29" s="1013"/>
      <c r="G29" s="1011"/>
      <c r="H29" s="1014" t="str">
        <f t="shared" si="0"/>
        <v/>
      </c>
      <c r="I29" s="1015"/>
      <c r="J29" s="1015"/>
      <c r="K29" s="1015"/>
      <c r="L29" s="1015"/>
      <c r="M29" s="1037" t="str">
        <f t="shared" si="1"/>
        <v/>
      </c>
      <c r="N29" s="1037" t="str">
        <f t="shared" si="2"/>
        <v/>
      </c>
      <c r="P29" s="989">
        <f t="shared" si="3"/>
        <v>0</v>
      </c>
      <c r="Q29" s="989">
        <f t="shared" si="4"/>
        <v>0</v>
      </c>
      <c r="R29" s="989">
        <f t="shared" si="5"/>
        <v>0</v>
      </c>
      <c r="S29" s="989">
        <f t="shared" si="6"/>
        <v>0</v>
      </c>
      <c r="T29" s="989">
        <f t="shared" si="7"/>
        <v>0</v>
      </c>
      <c r="U29" s="989">
        <f t="shared" si="8"/>
        <v>0</v>
      </c>
      <c r="V29" s="989">
        <f t="shared" si="9"/>
        <v>0</v>
      </c>
      <c r="W29" s="989">
        <f t="shared" si="10"/>
        <v>0</v>
      </c>
      <c r="X29" s="989">
        <f t="shared" si="11"/>
        <v>0</v>
      </c>
      <c r="Y29" s="989">
        <f t="shared" si="12"/>
        <v>0</v>
      </c>
      <c r="Z29" s="1006"/>
      <c r="AA29" s="1006"/>
      <c r="AB29" s="1006"/>
      <c r="AC29" s="1006"/>
      <c r="AD29" s="1006"/>
      <c r="AE29" s="1006"/>
      <c r="AF29" s="1006"/>
      <c r="AG29" s="1006"/>
      <c r="AH29" s="1006"/>
      <c r="AI29" s="1006"/>
      <c r="AJ29" s="1006"/>
      <c r="AK29" s="1006"/>
      <c r="AL29" s="1006"/>
      <c r="AM29" s="1006"/>
    </row>
    <row r="30" spans="2:39">
      <c r="B30" s="1009"/>
      <c r="C30" s="1010"/>
      <c r="D30" s="1011"/>
      <c r="E30" s="1012"/>
      <c r="F30" s="1013"/>
      <c r="G30" s="1011"/>
      <c r="H30" s="1014" t="str">
        <f t="shared" si="0"/>
        <v/>
      </c>
      <c r="I30" s="1015"/>
      <c r="J30" s="1015"/>
      <c r="K30" s="1015"/>
      <c r="L30" s="1015"/>
      <c r="M30" s="1037" t="str">
        <f t="shared" si="1"/>
        <v/>
      </c>
      <c r="N30" s="1037" t="str">
        <f t="shared" si="2"/>
        <v/>
      </c>
      <c r="P30" s="989">
        <f t="shared" si="3"/>
        <v>0</v>
      </c>
      <c r="Q30" s="989">
        <f t="shared" si="4"/>
        <v>0</v>
      </c>
      <c r="R30" s="989">
        <f t="shared" si="5"/>
        <v>0</v>
      </c>
      <c r="S30" s="989">
        <f t="shared" si="6"/>
        <v>0</v>
      </c>
      <c r="T30" s="989">
        <f t="shared" si="7"/>
        <v>0</v>
      </c>
      <c r="U30" s="989">
        <f t="shared" si="8"/>
        <v>0</v>
      </c>
      <c r="V30" s="989">
        <f t="shared" si="9"/>
        <v>0</v>
      </c>
      <c r="W30" s="989">
        <f t="shared" si="10"/>
        <v>0</v>
      </c>
      <c r="X30" s="989">
        <f t="shared" si="11"/>
        <v>0</v>
      </c>
      <c r="Y30" s="989">
        <f t="shared" si="12"/>
        <v>0</v>
      </c>
      <c r="Z30" s="1006"/>
      <c r="AA30" s="1006"/>
      <c r="AB30" s="1006"/>
      <c r="AC30" s="1006"/>
      <c r="AD30" s="1006"/>
      <c r="AE30" s="1006"/>
      <c r="AF30" s="1006"/>
      <c r="AG30" s="1006"/>
      <c r="AH30" s="1006"/>
      <c r="AI30" s="1006"/>
      <c r="AJ30" s="1006"/>
      <c r="AK30" s="1006"/>
      <c r="AL30" s="1006"/>
      <c r="AM30" s="1006"/>
    </row>
    <row r="31" spans="2:39">
      <c r="B31" s="1009"/>
      <c r="C31" s="1010"/>
      <c r="D31" s="1011"/>
      <c r="E31" s="1012"/>
      <c r="F31" s="1013"/>
      <c r="G31" s="1011"/>
      <c r="H31" s="1014" t="str">
        <f t="shared" si="0"/>
        <v/>
      </c>
      <c r="I31" s="1015"/>
      <c r="J31" s="1015"/>
      <c r="K31" s="1015"/>
      <c r="L31" s="1015"/>
      <c r="M31" s="1037" t="str">
        <f t="shared" si="1"/>
        <v/>
      </c>
      <c r="N31" s="1037" t="str">
        <f t="shared" si="2"/>
        <v/>
      </c>
      <c r="P31" s="989">
        <f t="shared" si="3"/>
        <v>0</v>
      </c>
      <c r="Q31" s="989">
        <f t="shared" si="4"/>
        <v>0</v>
      </c>
      <c r="R31" s="989">
        <f t="shared" si="5"/>
        <v>0</v>
      </c>
      <c r="S31" s="989">
        <f t="shared" si="6"/>
        <v>0</v>
      </c>
      <c r="T31" s="989">
        <f t="shared" si="7"/>
        <v>0</v>
      </c>
      <c r="U31" s="989">
        <f t="shared" si="8"/>
        <v>0</v>
      </c>
      <c r="V31" s="989">
        <f t="shared" si="9"/>
        <v>0</v>
      </c>
      <c r="W31" s="989">
        <f t="shared" si="10"/>
        <v>0</v>
      </c>
      <c r="X31" s="989">
        <f t="shared" si="11"/>
        <v>0</v>
      </c>
      <c r="Y31" s="989">
        <f t="shared" si="12"/>
        <v>0</v>
      </c>
      <c r="Z31" s="1006"/>
      <c r="AA31" s="1006"/>
      <c r="AB31" s="1006"/>
      <c r="AC31" s="1006"/>
      <c r="AD31" s="1006"/>
      <c r="AE31" s="1006"/>
      <c r="AF31" s="1006"/>
      <c r="AG31" s="1006"/>
      <c r="AH31" s="1006"/>
      <c r="AI31" s="1006"/>
      <c r="AJ31" s="1006"/>
      <c r="AK31" s="1006"/>
      <c r="AL31" s="1006"/>
      <c r="AM31" s="1006"/>
    </row>
    <row r="32" spans="2:39">
      <c r="B32" s="1009"/>
      <c r="C32" s="1010"/>
      <c r="D32" s="1011"/>
      <c r="E32" s="1012"/>
      <c r="F32" s="1013"/>
      <c r="G32" s="1011"/>
      <c r="H32" s="1014" t="str">
        <f t="shared" si="0"/>
        <v/>
      </c>
      <c r="I32" s="1015"/>
      <c r="J32" s="1015"/>
      <c r="K32" s="1015"/>
      <c r="L32" s="1015"/>
      <c r="M32" s="1037" t="str">
        <f t="shared" si="1"/>
        <v/>
      </c>
      <c r="N32" s="1037" t="str">
        <f t="shared" si="2"/>
        <v/>
      </c>
      <c r="P32" s="989">
        <f t="shared" si="3"/>
        <v>0</v>
      </c>
      <c r="Q32" s="989">
        <f t="shared" si="4"/>
        <v>0</v>
      </c>
      <c r="R32" s="989">
        <f t="shared" si="5"/>
        <v>0</v>
      </c>
      <c r="S32" s="989">
        <f t="shared" si="6"/>
        <v>0</v>
      </c>
      <c r="T32" s="989">
        <f t="shared" si="7"/>
        <v>0</v>
      </c>
      <c r="U32" s="989">
        <f t="shared" si="8"/>
        <v>0</v>
      </c>
      <c r="V32" s="989">
        <f t="shared" si="9"/>
        <v>0</v>
      </c>
      <c r="W32" s="989">
        <f t="shared" si="10"/>
        <v>0</v>
      </c>
      <c r="X32" s="989">
        <f t="shared" si="11"/>
        <v>0</v>
      </c>
      <c r="Y32" s="989">
        <f t="shared" si="12"/>
        <v>0</v>
      </c>
      <c r="Z32" s="1006"/>
      <c r="AA32" s="1006"/>
      <c r="AB32" s="1006"/>
      <c r="AC32" s="1006"/>
      <c r="AD32" s="1006"/>
      <c r="AE32" s="1006"/>
      <c r="AF32" s="1006"/>
      <c r="AG32" s="1006"/>
      <c r="AH32" s="1006"/>
      <c r="AI32" s="1006"/>
      <c r="AJ32" s="1006"/>
      <c r="AK32" s="1006"/>
      <c r="AL32" s="1006"/>
      <c r="AM32" s="1006"/>
    </row>
    <row r="33" spans="2:39">
      <c r="B33" s="1009"/>
      <c r="C33" s="1010"/>
      <c r="D33" s="1011"/>
      <c r="E33" s="1012"/>
      <c r="F33" s="1013"/>
      <c r="G33" s="1011"/>
      <c r="H33" s="1014" t="str">
        <f t="shared" si="0"/>
        <v/>
      </c>
      <c r="I33" s="1015"/>
      <c r="J33" s="1015"/>
      <c r="K33" s="1015"/>
      <c r="L33" s="1015"/>
      <c r="M33" s="1037" t="str">
        <f t="shared" si="1"/>
        <v/>
      </c>
      <c r="N33" s="1037" t="str">
        <f t="shared" si="2"/>
        <v/>
      </c>
      <c r="P33" s="989">
        <f t="shared" si="3"/>
        <v>0</v>
      </c>
      <c r="Q33" s="989">
        <f t="shared" si="4"/>
        <v>0</v>
      </c>
      <c r="R33" s="989">
        <f t="shared" si="5"/>
        <v>0</v>
      </c>
      <c r="S33" s="989">
        <f t="shared" si="6"/>
        <v>0</v>
      </c>
      <c r="T33" s="989">
        <f t="shared" si="7"/>
        <v>0</v>
      </c>
      <c r="U33" s="989">
        <f t="shared" si="8"/>
        <v>0</v>
      </c>
      <c r="V33" s="989">
        <f t="shared" si="9"/>
        <v>0</v>
      </c>
      <c r="W33" s="989">
        <f t="shared" si="10"/>
        <v>0</v>
      </c>
      <c r="X33" s="989">
        <f t="shared" si="11"/>
        <v>0</v>
      </c>
      <c r="Y33" s="989">
        <f t="shared" si="12"/>
        <v>0</v>
      </c>
      <c r="Z33" s="1006"/>
      <c r="AA33" s="1006"/>
      <c r="AB33" s="1006"/>
      <c r="AC33" s="1006"/>
      <c r="AD33" s="1006"/>
      <c r="AE33" s="1006"/>
      <c r="AF33" s="1006"/>
      <c r="AG33" s="1006"/>
      <c r="AH33" s="1006"/>
      <c r="AI33" s="1006"/>
      <c r="AJ33" s="1006"/>
      <c r="AK33" s="1006"/>
      <c r="AL33" s="1006"/>
      <c r="AM33" s="1006"/>
    </row>
    <row r="34" spans="2:39">
      <c r="B34" s="1009"/>
      <c r="C34" s="1010"/>
      <c r="D34" s="1011"/>
      <c r="E34" s="1012"/>
      <c r="F34" s="1013"/>
      <c r="G34" s="1011"/>
      <c r="H34" s="1014" t="str">
        <f t="shared" si="0"/>
        <v/>
      </c>
      <c r="I34" s="1015"/>
      <c r="J34" s="1015"/>
      <c r="K34" s="1015"/>
      <c r="L34" s="1015"/>
      <c r="M34" s="1037" t="str">
        <f t="shared" si="1"/>
        <v/>
      </c>
      <c r="N34" s="1037" t="str">
        <f t="shared" si="2"/>
        <v/>
      </c>
      <c r="P34" s="989">
        <f t="shared" si="3"/>
        <v>0</v>
      </c>
      <c r="Q34" s="989">
        <f t="shared" si="4"/>
        <v>0</v>
      </c>
      <c r="R34" s="989">
        <f t="shared" si="5"/>
        <v>0</v>
      </c>
      <c r="S34" s="989">
        <f t="shared" si="6"/>
        <v>0</v>
      </c>
      <c r="T34" s="989">
        <f t="shared" si="7"/>
        <v>0</v>
      </c>
      <c r="U34" s="989">
        <f t="shared" si="8"/>
        <v>0</v>
      </c>
      <c r="V34" s="989">
        <f t="shared" si="9"/>
        <v>0</v>
      </c>
      <c r="W34" s="989">
        <f t="shared" si="10"/>
        <v>0</v>
      </c>
      <c r="X34" s="989">
        <f t="shared" si="11"/>
        <v>0</v>
      </c>
      <c r="Y34" s="989">
        <f t="shared" si="12"/>
        <v>0</v>
      </c>
      <c r="Z34" s="1006"/>
      <c r="AA34" s="1006"/>
      <c r="AB34" s="1006"/>
      <c r="AC34" s="1006"/>
      <c r="AD34" s="1006"/>
      <c r="AE34" s="1006"/>
      <c r="AF34" s="1006"/>
      <c r="AG34" s="1006"/>
      <c r="AH34" s="1006"/>
      <c r="AI34" s="1006"/>
      <c r="AJ34" s="1006"/>
      <c r="AK34" s="1006"/>
      <c r="AL34" s="1006"/>
      <c r="AM34" s="1006"/>
    </row>
    <row r="35" spans="2:39">
      <c r="B35" s="1009"/>
      <c r="C35" s="1010"/>
      <c r="D35" s="1011"/>
      <c r="E35" s="1012"/>
      <c r="F35" s="1013"/>
      <c r="G35" s="1011"/>
      <c r="H35" s="1014" t="str">
        <f t="shared" si="0"/>
        <v/>
      </c>
      <c r="I35" s="1015"/>
      <c r="J35" s="1015"/>
      <c r="K35" s="1015"/>
      <c r="L35" s="1015"/>
      <c r="M35" s="1037" t="str">
        <f t="shared" si="1"/>
        <v/>
      </c>
      <c r="N35" s="1037" t="str">
        <f t="shared" si="2"/>
        <v/>
      </c>
      <c r="P35" s="989">
        <f t="shared" si="3"/>
        <v>0</v>
      </c>
      <c r="Q35" s="989">
        <f t="shared" si="4"/>
        <v>0</v>
      </c>
      <c r="R35" s="989">
        <f t="shared" si="5"/>
        <v>0</v>
      </c>
      <c r="S35" s="989">
        <f t="shared" si="6"/>
        <v>0</v>
      </c>
      <c r="T35" s="989">
        <f t="shared" si="7"/>
        <v>0</v>
      </c>
      <c r="U35" s="989">
        <f t="shared" si="8"/>
        <v>0</v>
      </c>
      <c r="V35" s="989">
        <f t="shared" si="9"/>
        <v>0</v>
      </c>
      <c r="W35" s="989">
        <f t="shared" si="10"/>
        <v>0</v>
      </c>
      <c r="X35" s="989">
        <f t="shared" si="11"/>
        <v>0</v>
      </c>
      <c r="Y35" s="989">
        <f t="shared" si="12"/>
        <v>0</v>
      </c>
      <c r="Z35" s="1006"/>
      <c r="AA35" s="1006"/>
      <c r="AB35" s="1006"/>
      <c r="AC35" s="1006"/>
      <c r="AD35" s="1006"/>
      <c r="AE35" s="1006"/>
      <c r="AF35" s="1006"/>
      <c r="AG35" s="1006"/>
      <c r="AH35" s="1006"/>
      <c r="AI35" s="1006"/>
      <c r="AJ35" s="1006"/>
      <c r="AK35" s="1006"/>
      <c r="AL35" s="1006"/>
      <c r="AM35" s="1006"/>
    </row>
    <row r="36" spans="2:39">
      <c r="B36" s="1009"/>
      <c r="C36" s="1010"/>
      <c r="D36" s="1011"/>
      <c r="E36" s="1012"/>
      <c r="F36" s="1013"/>
      <c r="G36" s="1011"/>
      <c r="H36" s="1014" t="str">
        <f t="shared" si="0"/>
        <v/>
      </c>
      <c r="I36" s="1015"/>
      <c r="J36" s="1015"/>
      <c r="K36" s="1015"/>
      <c r="L36" s="1015"/>
      <c r="M36" s="1037" t="str">
        <f t="shared" si="1"/>
        <v/>
      </c>
      <c r="N36" s="1037" t="str">
        <f t="shared" si="2"/>
        <v/>
      </c>
      <c r="P36" s="989">
        <f t="shared" si="3"/>
        <v>0</v>
      </c>
      <c r="Q36" s="989">
        <f t="shared" si="4"/>
        <v>0</v>
      </c>
      <c r="R36" s="989">
        <f t="shared" si="5"/>
        <v>0</v>
      </c>
      <c r="S36" s="989">
        <f t="shared" si="6"/>
        <v>0</v>
      </c>
      <c r="T36" s="989">
        <f t="shared" si="7"/>
        <v>0</v>
      </c>
      <c r="U36" s="989">
        <f t="shared" si="8"/>
        <v>0</v>
      </c>
      <c r="V36" s="989">
        <f t="shared" si="9"/>
        <v>0</v>
      </c>
      <c r="W36" s="989">
        <f t="shared" si="10"/>
        <v>0</v>
      </c>
      <c r="X36" s="989">
        <f t="shared" si="11"/>
        <v>0</v>
      </c>
      <c r="Y36" s="989">
        <f t="shared" si="12"/>
        <v>0</v>
      </c>
      <c r="Z36" s="1006"/>
      <c r="AA36" s="1006"/>
      <c r="AB36" s="1006"/>
      <c r="AC36" s="1006"/>
      <c r="AD36" s="1006"/>
      <c r="AE36" s="1006"/>
      <c r="AF36" s="1006"/>
      <c r="AG36" s="1006"/>
      <c r="AH36" s="1006"/>
      <c r="AI36" s="1006"/>
      <c r="AJ36" s="1006"/>
      <c r="AK36" s="1006"/>
      <c r="AL36" s="1006"/>
      <c r="AM36" s="1006"/>
    </row>
    <row r="37" spans="2:39">
      <c r="B37" s="1009"/>
      <c r="C37" s="1010"/>
      <c r="D37" s="1011"/>
      <c r="E37" s="1012"/>
      <c r="F37" s="1013"/>
      <c r="G37" s="1011"/>
      <c r="H37" s="1014" t="str">
        <f t="shared" si="0"/>
        <v/>
      </c>
      <c r="I37" s="1015"/>
      <c r="J37" s="1015"/>
      <c r="K37" s="1015"/>
      <c r="L37" s="1015"/>
      <c r="M37" s="1037" t="str">
        <f t="shared" si="1"/>
        <v/>
      </c>
      <c r="N37" s="1037" t="str">
        <f t="shared" si="2"/>
        <v/>
      </c>
      <c r="P37" s="989">
        <f t="shared" si="3"/>
        <v>0</v>
      </c>
      <c r="Q37" s="989">
        <f t="shared" si="4"/>
        <v>0</v>
      </c>
      <c r="R37" s="989">
        <f t="shared" si="5"/>
        <v>0</v>
      </c>
      <c r="S37" s="989">
        <f t="shared" si="6"/>
        <v>0</v>
      </c>
      <c r="T37" s="989">
        <f t="shared" si="7"/>
        <v>0</v>
      </c>
      <c r="U37" s="989">
        <f t="shared" si="8"/>
        <v>0</v>
      </c>
      <c r="V37" s="989">
        <f t="shared" si="9"/>
        <v>0</v>
      </c>
      <c r="W37" s="989">
        <f t="shared" si="10"/>
        <v>0</v>
      </c>
      <c r="X37" s="989">
        <f t="shared" si="11"/>
        <v>0</v>
      </c>
      <c r="Y37" s="989">
        <f t="shared" si="12"/>
        <v>0</v>
      </c>
      <c r="Z37" s="1006"/>
      <c r="AA37" s="1006"/>
      <c r="AB37" s="1006"/>
      <c r="AC37" s="1006"/>
      <c r="AD37" s="1006"/>
      <c r="AE37" s="1006"/>
      <c r="AF37" s="1006"/>
      <c r="AG37" s="1006"/>
      <c r="AH37" s="1006"/>
      <c r="AI37" s="1006"/>
      <c r="AJ37" s="1006"/>
      <c r="AK37" s="1006"/>
      <c r="AL37" s="1006"/>
      <c r="AM37" s="1006"/>
    </row>
    <row r="38" spans="2:39">
      <c r="B38" s="1009"/>
      <c r="C38" s="1010"/>
      <c r="D38" s="1011"/>
      <c r="E38" s="1012"/>
      <c r="F38" s="1013"/>
      <c r="G38" s="1011"/>
      <c r="H38" s="1014" t="str">
        <f t="shared" si="0"/>
        <v/>
      </c>
      <c r="I38" s="1015"/>
      <c r="J38" s="1015"/>
      <c r="K38" s="1015"/>
      <c r="L38" s="1015"/>
      <c r="M38" s="1037" t="str">
        <f t="shared" si="1"/>
        <v/>
      </c>
      <c r="N38" s="1037" t="str">
        <f t="shared" si="2"/>
        <v/>
      </c>
      <c r="P38" s="989">
        <f t="shared" si="3"/>
        <v>0</v>
      </c>
      <c r="Q38" s="989">
        <f t="shared" si="4"/>
        <v>0</v>
      </c>
      <c r="R38" s="989">
        <f t="shared" si="5"/>
        <v>0</v>
      </c>
      <c r="S38" s="989">
        <f t="shared" si="6"/>
        <v>0</v>
      </c>
      <c r="T38" s="989">
        <f t="shared" si="7"/>
        <v>0</v>
      </c>
      <c r="U38" s="989">
        <f t="shared" si="8"/>
        <v>0</v>
      </c>
      <c r="V38" s="989">
        <f t="shared" si="9"/>
        <v>0</v>
      </c>
      <c r="W38" s="989">
        <f t="shared" si="10"/>
        <v>0</v>
      </c>
      <c r="X38" s="989">
        <f t="shared" si="11"/>
        <v>0</v>
      </c>
      <c r="Y38" s="989">
        <f t="shared" si="12"/>
        <v>0</v>
      </c>
      <c r="Z38" s="1006"/>
      <c r="AA38" s="1006"/>
      <c r="AB38" s="1006"/>
      <c r="AC38" s="1006"/>
      <c r="AD38" s="1006"/>
      <c r="AE38" s="1006"/>
      <c r="AF38" s="1006"/>
      <c r="AG38" s="1006"/>
      <c r="AH38" s="1006"/>
      <c r="AI38" s="1006"/>
      <c r="AJ38" s="1006"/>
      <c r="AK38" s="1006"/>
      <c r="AL38" s="1006"/>
      <c r="AM38" s="1006"/>
    </row>
    <row r="39" spans="2:39">
      <c r="B39" s="1009"/>
      <c r="C39" s="1010"/>
      <c r="D39" s="1011"/>
      <c r="E39" s="1012"/>
      <c r="F39" s="1013"/>
      <c r="G39" s="1011"/>
      <c r="H39" s="1014" t="str">
        <f t="shared" si="0"/>
        <v/>
      </c>
      <c r="I39" s="1015"/>
      <c r="J39" s="1015"/>
      <c r="K39" s="1015"/>
      <c r="L39" s="1015"/>
      <c r="M39" s="1037" t="str">
        <f t="shared" si="1"/>
        <v/>
      </c>
      <c r="N39" s="1037" t="str">
        <f t="shared" si="2"/>
        <v/>
      </c>
      <c r="P39" s="989">
        <f t="shared" si="3"/>
        <v>0</v>
      </c>
      <c r="Q39" s="989">
        <f t="shared" si="4"/>
        <v>0</v>
      </c>
      <c r="R39" s="989">
        <f t="shared" si="5"/>
        <v>0</v>
      </c>
      <c r="S39" s="989">
        <f t="shared" si="6"/>
        <v>0</v>
      </c>
      <c r="T39" s="989">
        <f t="shared" si="7"/>
        <v>0</v>
      </c>
      <c r="U39" s="989">
        <f t="shared" si="8"/>
        <v>0</v>
      </c>
      <c r="V39" s="989">
        <f t="shared" si="9"/>
        <v>0</v>
      </c>
      <c r="W39" s="989">
        <f t="shared" si="10"/>
        <v>0</v>
      </c>
      <c r="X39" s="989">
        <f t="shared" si="11"/>
        <v>0</v>
      </c>
      <c r="Y39" s="989">
        <f t="shared" si="12"/>
        <v>0</v>
      </c>
      <c r="Z39" s="1006"/>
      <c r="AA39" s="1006"/>
      <c r="AB39" s="1006"/>
      <c r="AC39" s="1006"/>
      <c r="AD39" s="1006"/>
      <c r="AE39" s="1006"/>
      <c r="AF39" s="1006"/>
      <c r="AG39" s="1006"/>
      <c r="AH39" s="1006"/>
      <c r="AI39" s="1006"/>
      <c r="AJ39" s="1006"/>
      <c r="AK39" s="1006"/>
      <c r="AL39" s="1006"/>
      <c r="AM39" s="1006"/>
    </row>
    <row r="40" spans="2:39">
      <c r="B40" s="1009"/>
      <c r="C40" s="1010"/>
      <c r="D40" s="1011"/>
      <c r="E40" s="1012"/>
      <c r="F40" s="1013"/>
      <c r="G40" s="1011"/>
      <c r="H40" s="1014" t="str">
        <f t="shared" si="0"/>
        <v/>
      </c>
      <c r="I40" s="1015"/>
      <c r="J40" s="1015"/>
      <c r="K40" s="1015"/>
      <c r="L40" s="1015"/>
      <c r="M40" s="1037" t="str">
        <f t="shared" si="1"/>
        <v/>
      </c>
      <c r="N40" s="1037" t="str">
        <f t="shared" si="2"/>
        <v/>
      </c>
      <c r="P40" s="989">
        <f t="shared" si="3"/>
        <v>0</v>
      </c>
      <c r="Q40" s="989">
        <f t="shared" si="4"/>
        <v>0</v>
      </c>
      <c r="R40" s="989">
        <f t="shared" si="5"/>
        <v>0</v>
      </c>
      <c r="S40" s="989">
        <f t="shared" si="6"/>
        <v>0</v>
      </c>
      <c r="T40" s="989">
        <f t="shared" si="7"/>
        <v>0</v>
      </c>
      <c r="U40" s="989">
        <f t="shared" si="8"/>
        <v>0</v>
      </c>
      <c r="V40" s="989">
        <f t="shared" si="9"/>
        <v>0</v>
      </c>
      <c r="W40" s="989">
        <f t="shared" si="10"/>
        <v>0</v>
      </c>
      <c r="X40" s="989">
        <f t="shared" si="11"/>
        <v>0</v>
      </c>
      <c r="Y40" s="989">
        <f t="shared" si="12"/>
        <v>0</v>
      </c>
      <c r="Z40" s="1006"/>
      <c r="AA40" s="1006"/>
      <c r="AB40" s="1006"/>
      <c r="AC40" s="1006"/>
      <c r="AD40" s="1006"/>
      <c r="AE40" s="1006"/>
      <c r="AF40" s="1006"/>
      <c r="AG40" s="1006"/>
      <c r="AH40" s="1006"/>
      <c r="AI40" s="1006"/>
      <c r="AJ40" s="1006"/>
      <c r="AK40" s="1006"/>
      <c r="AL40" s="1006"/>
      <c r="AM40" s="1006"/>
    </row>
    <row r="41" spans="2:39">
      <c r="B41" s="1009"/>
      <c r="C41" s="1010"/>
      <c r="D41" s="1011"/>
      <c r="E41" s="1012"/>
      <c r="F41" s="1013"/>
      <c r="G41" s="1011"/>
      <c r="H41" s="1014" t="str">
        <f t="shared" si="0"/>
        <v/>
      </c>
      <c r="I41" s="1015"/>
      <c r="J41" s="1015"/>
      <c r="K41" s="1015"/>
      <c r="L41" s="1015"/>
      <c r="M41" s="1037" t="str">
        <f t="shared" si="1"/>
        <v/>
      </c>
      <c r="N41" s="1037" t="str">
        <f t="shared" si="2"/>
        <v/>
      </c>
      <c r="P41" s="989">
        <f t="shared" si="3"/>
        <v>0</v>
      </c>
      <c r="Q41" s="989">
        <f t="shared" si="4"/>
        <v>0</v>
      </c>
      <c r="R41" s="989">
        <f t="shared" si="5"/>
        <v>0</v>
      </c>
      <c r="S41" s="989">
        <f t="shared" si="6"/>
        <v>0</v>
      </c>
      <c r="T41" s="989">
        <f t="shared" si="7"/>
        <v>0</v>
      </c>
      <c r="U41" s="989">
        <f t="shared" si="8"/>
        <v>0</v>
      </c>
      <c r="V41" s="989">
        <f t="shared" si="9"/>
        <v>0</v>
      </c>
      <c r="W41" s="989">
        <f t="shared" si="10"/>
        <v>0</v>
      </c>
      <c r="X41" s="989">
        <f t="shared" si="11"/>
        <v>0</v>
      </c>
      <c r="Y41" s="989">
        <f t="shared" si="12"/>
        <v>0</v>
      </c>
      <c r="Z41" s="1006"/>
      <c r="AA41" s="1006"/>
      <c r="AB41" s="1006"/>
      <c r="AC41" s="1006"/>
      <c r="AD41" s="1006"/>
      <c r="AE41" s="1006"/>
      <c r="AF41" s="1006"/>
      <c r="AG41" s="1006"/>
      <c r="AH41" s="1006"/>
      <c r="AI41" s="1006"/>
      <c r="AJ41" s="1006"/>
      <c r="AK41" s="1006"/>
      <c r="AL41" s="1006"/>
      <c r="AM41" s="1006"/>
    </row>
    <row r="42" spans="2:39">
      <c r="B42" s="1009"/>
      <c r="C42" s="1010"/>
      <c r="D42" s="1011"/>
      <c r="E42" s="1012"/>
      <c r="F42" s="1013"/>
      <c r="G42" s="1011"/>
      <c r="H42" s="1014" t="str">
        <f t="shared" si="0"/>
        <v/>
      </c>
      <c r="I42" s="1015"/>
      <c r="J42" s="1015"/>
      <c r="K42" s="1015"/>
      <c r="L42" s="1015"/>
      <c r="M42" s="1037" t="str">
        <f t="shared" si="1"/>
        <v/>
      </c>
      <c r="N42" s="1037" t="str">
        <f t="shared" si="2"/>
        <v/>
      </c>
      <c r="P42" s="989">
        <f t="shared" si="3"/>
        <v>0</v>
      </c>
      <c r="Q42" s="989">
        <f t="shared" si="4"/>
        <v>0</v>
      </c>
      <c r="R42" s="989">
        <f t="shared" si="5"/>
        <v>0</v>
      </c>
      <c r="S42" s="989">
        <f t="shared" si="6"/>
        <v>0</v>
      </c>
      <c r="T42" s="989">
        <f t="shared" si="7"/>
        <v>0</v>
      </c>
      <c r="U42" s="989">
        <f t="shared" si="8"/>
        <v>0</v>
      </c>
      <c r="V42" s="989">
        <f t="shared" si="9"/>
        <v>0</v>
      </c>
      <c r="W42" s="989">
        <f t="shared" si="10"/>
        <v>0</v>
      </c>
      <c r="X42" s="989">
        <f t="shared" si="11"/>
        <v>0</v>
      </c>
      <c r="Y42" s="989">
        <f t="shared" si="12"/>
        <v>0</v>
      </c>
      <c r="Z42" s="1006"/>
      <c r="AA42" s="1006"/>
      <c r="AB42" s="1006"/>
      <c r="AC42" s="1006"/>
      <c r="AD42" s="1006"/>
      <c r="AE42" s="1006"/>
      <c r="AF42" s="1006"/>
      <c r="AG42" s="1006"/>
      <c r="AH42" s="1006"/>
      <c r="AI42" s="1006"/>
      <c r="AJ42" s="1006"/>
      <c r="AK42" s="1006"/>
      <c r="AL42" s="1006"/>
      <c r="AM42" s="1006"/>
    </row>
    <row r="43" spans="2:39">
      <c r="B43" s="1009"/>
      <c r="C43" s="1010"/>
      <c r="D43" s="1011"/>
      <c r="E43" s="1012"/>
      <c r="F43" s="1013"/>
      <c r="G43" s="1011"/>
      <c r="H43" s="1014" t="str">
        <f t="shared" si="0"/>
        <v/>
      </c>
      <c r="I43" s="1015"/>
      <c r="J43" s="1015"/>
      <c r="K43" s="1015"/>
      <c r="L43" s="1015"/>
      <c r="M43" s="1037" t="str">
        <f t="shared" si="1"/>
        <v/>
      </c>
      <c r="N43" s="1037" t="str">
        <f t="shared" si="2"/>
        <v/>
      </c>
      <c r="P43" s="989">
        <f t="shared" si="3"/>
        <v>0</v>
      </c>
      <c r="Q43" s="989">
        <f t="shared" si="4"/>
        <v>0</v>
      </c>
      <c r="R43" s="989">
        <f t="shared" si="5"/>
        <v>0</v>
      </c>
      <c r="S43" s="989">
        <f t="shared" si="6"/>
        <v>0</v>
      </c>
      <c r="T43" s="989">
        <f t="shared" si="7"/>
        <v>0</v>
      </c>
      <c r="U43" s="989">
        <f t="shared" si="8"/>
        <v>0</v>
      </c>
      <c r="V43" s="989">
        <f t="shared" si="9"/>
        <v>0</v>
      </c>
      <c r="W43" s="989">
        <f t="shared" si="10"/>
        <v>0</v>
      </c>
      <c r="X43" s="989">
        <f t="shared" si="11"/>
        <v>0</v>
      </c>
      <c r="Y43" s="989">
        <f t="shared" si="12"/>
        <v>0</v>
      </c>
      <c r="Z43" s="1006"/>
      <c r="AA43" s="1006"/>
      <c r="AB43" s="1006"/>
      <c r="AC43" s="1006"/>
      <c r="AD43" s="1006"/>
      <c r="AE43" s="1006"/>
      <c r="AF43" s="1006"/>
      <c r="AG43" s="1006"/>
      <c r="AH43" s="1006"/>
      <c r="AI43" s="1006"/>
      <c r="AJ43" s="1006"/>
      <c r="AK43" s="1006"/>
      <c r="AL43" s="1006"/>
      <c r="AM43" s="1006"/>
    </row>
    <row r="44" spans="2:39">
      <c r="B44" s="1009"/>
      <c r="C44" s="1010"/>
      <c r="D44" s="1011"/>
      <c r="E44" s="1012"/>
      <c r="F44" s="1013"/>
      <c r="G44" s="1011"/>
      <c r="H44" s="1014" t="str">
        <f t="shared" si="0"/>
        <v/>
      </c>
      <c r="I44" s="1015"/>
      <c r="J44" s="1015"/>
      <c r="K44" s="1015"/>
      <c r="L44" s="1015"/>
      <c r="M44" s="1037" t="str">
        <f t="shared" si="1"/>
        <v/>
      </c>
      <c r="N44" s="1037" t="str">
        <f t="shared" si="2"/>
        <v/>
      </c>
      <c r="P44" s="989">
        <f t="shared" si="3"/>
        <v>0</v>
      </c>
      <c r="Q44" s="989">
        <f t="shared" si="4"/>
        <v>0</v>
      </c>
      <c r="R44" s="989">
        <f t="shared" si="5"/>
        <v>0</v>
      </c>
      <c r="S44" s="989">
        <f t="shared" si="6"/>
        <v>0</v>
      </c>
      <c r="T44" s="989">
        <f t="shared" si="7"/>
        <v>0</v>
      </c>
      <c r="U44" s="989">
        <f t="shared" si="8"/>
        <v>0</v>
      </c>
      <c r="V44" s="989">
        <f t="shared" si="9"/>
        <v>0</v>
      </c>
      <c r="W44" s="989">
        <f t="shared" si="10"/>
        <v>0</v>
      </c>
      <c r="X44" s="989">
        <f t="shared" si="11"/>
        <v>0</v>
      </c>
      <c r="Y44" s="989">
        <f t="shared" si="12"/>
        <v>0</v>
      </c>
      <c r="Z44" s="1006"/>
      <c r="AA44" s="1006"/>
      <c r="AB44" s="1006"/>
      <c r="AC44" s="1006"/>
      <c r="AD44" s="1006"/>
      <c r="AE44" s="1006"/>
      <c r="AF44" s="1006"/>
      <c r="AG44" s="1006"/>
      <c r="AH44" s="1006"/>
      <c r="AI44" s="1006"/>
      <c r="AJ44" s="1006"/>
      <c r="AK44" s="1006"/>
      <c r="AL44" s="1006"/>
      <c r="AM44" s="1006"/>
    </row>
    <row r="45" spans="2:39">
      <c r="B45" s="1009"/>
      <c r="C45" s="1010"/>
      <c r="D45" s="1011"/>
      <c r="E45" s="1012"/>
      <c r="F45" s="1013"/>
      <c r="G45" s="1011"/>
      <c r="H45" s="1014" t="str">
        <f t="shared" si="0"/>
        <v/>
      </c>
      <c r="I45" s="1015"/>
      <c r="J45" s="1015"/>
      <c r="K45" s="1015"/>
      <c r="L45" s="1015"/>
      <c r="M45" s="1037" t="str">
        <f t="shared" si="1"/>
        <v/>
      </c>
      <c r="N45" s="1037" t="str">
        <f t="shared" si="2"/>
        <v/>
      </c>
      <c r="P45" s="989">
        <f t="shared" si="3"/>
        <v>0</v>
      </c>
      <c r="Q45" s="989">
        <f t="shared" si="4"/>
        <v>0</v>
      </c>
      <c r="R45" s="989">
        <f t="shared" si="5"/>
        <v>0</v>
      </c>
      <c r="S45" s="989">
        <f t="shared" si="6"/>
        <v>0</v>
      </c>
      <c r="T45" s="989">
        <f t="shared" si="7"/>
        <v>0</v>
      </c>
      <c r="U45" s="989">
        <f t="shared" si="8"/>
        <v>0</v>
      </c>
      <c r="V45" s="989">
        <f t="shared" si="9"/>
        <v>0</v>
      </c>
      <c r="W45" s="989">
        <f t="shared" si="10"/>
        <v>0</v>
      </c>
      <c r="X45" s="989">
        <f t="shared" si="11"/>
        <v>0</v>
      </c>
      <c r="Y45" s="989">
        <f t="shared" si="12"/>
        <v>0</v>
      </c>
      <c r="Z45" s="1006"/>
      <c r="AA45" s="1006"/>
      <c r="AB45" s="1006"/>
      <c r="AC45" s="1006"/>
      <c r="AD45" s="1006"/>
      <c r="AE45" s="1006"/>
      <c r="AF45" s="1006"/>
      <c r="AG45" s="1006"/>
      <c r="AH45" s="1006"/>
      <c r="AI45" s="1006"/>
      <c r="AJ45" s="1006"/>
      <c r="AK45" s="1006"/>
      <c r="AL45" s="1006"/>
      <c r="AM45" s="1006"/>
    </row>
    <row r="46" spans="2:39">
      <c r="B46" s="1009"/>
      <c r="C46" s="1010"/>
      <c r="D46" s="1011"/>
      <c r="E46" s="1012"/>
      <c r="F46" s="1013"/>
      <c r="G46" s="1011"/>
      <c r="H46" s="1014" t="str">
        <f t="shared" si="0"/>
        <v/>
      </c>
      <c r="I46" s="1015"/>
      <c r="J46" s="1015"/>
      <c r="K46" s="1015"/>
      <c r="L46" s="1015"/>
      <c r="M46" s="1037" t="str">
        <f t="shared" si="1"/>
        <v/>
      </c>
      <c r="N46" s="1037" t="str">
        <f t="shared" si="2"/>
        <v/>
      </c>
      <c r="P46" s="989">
        <f t="shared" si="3"/>
        <v>0</v>
      </c>
      <c r="Q46" s="989">
        <f t="shared" si="4"/>
        <v>0</v>
      </c>
      <c r="R46" s="989">
        <f t="shared" si="5"/>
        <v>0</v>
      </c>
      <c r="S46" s="989">
        <f t="shared" si="6"/>
        <v>0</v>
      </c>
      <c r="T46" s="989">
        <f t="shared" si="7"/>
        <v>0</v>
      </c>
      <c r="U46" s="989">
        <f t="shared" si="8"/>
        <v>0</v>
      </c>
      <c r="V46" s="989">
        <f t="shared" si="9"/>
        <v>0</v>
      </c>
      <c r="W46" s="989">
        <f t="shared" si="10"/>
        <v>0</v>
      </c>
      <c r="X46" s="989">
        <f t="shared" si="11"/>
        <v>0</v>
      </c>
      <c r="Y46" s="989">
        <f t="shared" si="12"/>
        <v>0</v>
      </c>
      <c r="Z46" s="1006"/>
      <c r="AA46" s="1006"/>
      <c r="AB46" s="1006"/>
      <c r="AC46" s="1006"/>
      <c r="AD46" s="1006"/>
      <c r="AE46" s="1006"/>
      <c r="AF46" s="1006"/>
      <c r="AG46" s="1006"/>
      <c r="AH46" s="1006"/>
      <c r="AI46" s="1006"/>
      <c r="AJ46" s="1006"/>
      <c r="AK46" s="1006"/>
      <c r="AL46" s="1006"/>
      <c r="AM46" s="1006"/>
    </row>
    <row r="47" spans="2:39">
      <c r="B47" s="1009"/>
      <c r="C47" s="1010"/>
      <c r="D47" s="1011"/>
      <c r="E47" s="1012"/>
      <c r="F47" s="1013"/>
      <c r="G47" s="1011"/>
      <c r="H47" s="1014" t="str">
        <f t="shared" si="0"/>
        <v/>
      </c>
      <c r="I47" s="1015"/>
      <c r="J47" s="1015"/>
      <c r="K47" s="1015"/>
      <c r="L47" s="1015"/>
      <c r="M47" s="1037" t="str">
        <f t="shared" si="1"/>
        <v/>
      </c>
      <c r="N47" s="1037" t="str">
        <f t="shared" si="2"/>
        <v/>
      </c>
      <c r="P47" s="989">
        <f t="shared" si="3"/>
        <v>0</v>
      </c>
      <c r="Q47" s="989">
        <f t="shared" si="4"/>
        <v>0</v>
      </c>
      <c r="R47" s="989">
        <f t="shared" si="5"/>
        <v>0</v>
      </c>
      <c r="S47" s="989">
        <f t="shared" si="6"/>
        <v>0</v>
      </c>
      <c r="T47" s="989">
        <f t="shared" si="7"/>
        <v>0</v>
      </c>
      <c r="U47" s="989">
        <f t="shared" si="8"/>
        <v>0</v>
      </c>
      <c r="V47" s="989">
        <f t="shared" si="9"/>
        <v>0</v>
      </c>
      <c r="W47" s="989">
        <f t="shared" si="10"/>
        <v>0</v>
      </c>
      <c r="X47" s="989">
        <f t="shared" si="11"/>
        <v>0</v>
      </c>
      <c r="Y47" s="989">
        <f t="shared" si="12"/>
        <v>0</v>
      </c>
      <c r="Z47" s="1006"/>
      <c r="AA47" s="1006"/>
      <c r="AB47" s="1006"/>
      <c r="AC47" s="1006"/>
      <c r="AD47" s="1006"/>
      <c r="AE47" s="1006"/>
      <c r="AF47" s="1006"/>
      <c r="AG47" s="1006"/>
      <c r="AH47" s="1006"/>
      <c r="AI47" s="1006"/>
      <c r="AJ47" s="1006"/>
      <c r="AK47" s="1006"/>
      <c r="AL47" s="1006"/>
      <c r="AM47" s="1006"/>
    </row>
    <row r="48" spans="2:39">
      <c r="B48" s="1009"/>
      <c r="C48" s="1010"/>
      <c r="D48" s="1011"/>
      <c r="E48" s="1012"/>
      <c r="F48" s="1013"/>
      <c r="G48" s="1011"/>
      <c r="H48" s="1014" t="str">
        <f t="shared" si="0"/>
        <v/>
      </c>
      <c r="I48" s="1015"/>
      <c r="J48" s="1015"/>
      <c r="K48" s="1015"/>
      <c r="L48" s="1015"/>
      <c r="M48" s="1037" t="str">
        <f t="shared" si="1"/>
        <v/>
      </c>
      <c r="N48" s="1037" t="str">
        <f t="shared" si="2"/>
        <v/>
      </c>
      <c r="P48" s="989">
        <f t="shared" si="3"/>
        <v>0</v>
      </c>
      <c r="Q48" s="989">
        <f t="shared" si="4"/>
        <v>0</v>
      </c>
      <c r="R48" s="989">
        <f t="shared" si="5"/>
        <v>0</v>
      </c>
      <c r="S48" s="989">
        <f t="shared" si="6"/>
        <v>0</v>
      </c>
      <c r="T48" s="989">
        <f t="shared" si="7"/>
        <v>0</v>
      </c>
      <c r="U48" s="989">
        <f t="shared" si="8"/>
        <v>0</v>
      </c>
      <c r="V48" s="989">
        <f t="shared" si="9"/>
        <v>0</v>
      </c>
      <c r="W48" s="989">
        <f t="shared" si="10"/>
        <v>0</v>
      </c>
      <c r="X48" s="989">
        <f t="shared" si="11"/>
        <v>0</v>
      </c>
      <c r="Y48" s="989">
        <f t="shared" si="12"/>
        <v>0</v>
      </c>
      <c r="Z48" s="1006"/>
      <c r="AA48" s="1006"/>
      <c r="AB48" s="1006"/>
      <c r="AC48" s="1006"/>
      <c r="AD48" s="1006"/>
      <c r="AE48" s="1006"/>
      <c r="AF48" s="1006"/>
      <c r="AG48" s="1006"/>
      <c r="AH48" s="1006"/>
      <c r="AI48" s="1006"/>
      <c r="AJ48" s="1006"/>
      <c r="AK48" s="1006"/>
      <c r="AL48" s="1006"/>
      <c r="AM48" s="1006"/>
    </row>
    <row r="49" spans="2:39">
      <c r="B49" s="1009"/>
      <c r="C49" s="1010"/>
      <c r="D49" s="1011"/>
      <c r="E49" s="1012"/>
      <c r="F49" s="1013"/>
      <c r="G49" s="1011"/>
      <c r="H49" s="1014" t="str">
        <f t="shared" si="0"/>
        <v/>
      </c>
      <c r="I49" s="1015"/>
      <c r="J49" s="1015"/>
      <c r="K49" s="1015"/>
      <c r="L49" s="1015"/>
      <c r="M49" s="1037" t="str">
        <f t="shared" si="1"/>
        <v/>
      </c>
      <c r="N49" s="1037" t="str">
        <f t="shared" si="2"/>
        <v/>
      </c>
      <c r="P49" s="989">
        <f t="shared" si="3"/>
        <v>0</v>
      </c>
      <c r="Q49" s="989">
        <f t="shared" si="4"/>
        <v>0</v>
      </c>
      <c r="R49" s="989">
        <f t="shared" si="5"/>
        <v>0</v>
      </c>
      <c r="S49" s="989">
        <f t="shared" si="6"/>
        <v>0</v>
      </c>
      <c r="T49" s="989">
        <f t="shared" si="7"/>
        <v>0</v>
      </c>
      <c r="U49" s="989">
        <f t="shared" si="8"/>
        <v>0</v>
      </c>
      <c r="V49" s="989">
        <f t="shared" si="9"/>
        <v>0</v>
      </c>
      <c r="W49" s="989">
        <f t="shared" si="10"/>
        <v>0</v>
      </c>
      <c r="X49" s="989">
        <f t="shared" si="11"/>
        <v>0</v>
      </c>
      <c r="Y49" s="989">
        <f t="shared" si="12"/>
        <v>0</v>
      </c>
      <c r="Z49" s="1006"/>
      <c r="AA49" s="1006"/>
      <c r="AB49" s="1006"/>
      <c r="AC49" s="1006"/>
      <c r="AD49" s="1006"/>
      <c r="AE49" s="1006"/>
      <c r="AF49" s="1006"/>
      <c r="AG49" s="1006"/>
      <c r="AH49" s="1006"/>
      <c r="AI49" s="1006"/>
      <c r="AJ49" s="1006"/>
      <c r="AK49" s="1006"/>
      <c r="AL49" s="1006"/>
      <c r="AM49" s="1006"/>
    </row>
    <row r="50" spans="2:39">
      <c r="B50" s="1009"/>
      <c r="C50" s="1010"/>
      <c r="D50" s="1011"/>
      <c r="E50" s="1012"/>
      <c r="F50" s="1013"/>
      <c r="G50" s="1011"/>
      <c r="H50" s="1014" t="str">
        <f t="shared" si="0"/>
        <v/>
      </c>
      <c r="I50" s="1015"/>
      <c r="J50" s="1015"/>
      <c r="K50" s="1015"/>
      <c r="L50" s="1015"/>
      <c r="M50" s="1037" t="str">
        <f t="shared" si="1"/>
        <v/>
      </c>
      <c r="N50" s="1037" t="str">
        <f t="shared" si="2"/>
        <v/>
      </c>
      <c r="P50" s="989">
        <f t="shared" si="3"/>
        <v>0</v>
      </c>
      <c r="Q50" s="989">
        <f t="shared" si="4"/>
        <v>0</v>
      </c>
      <c r="R50" s="989">
        <f t="shared" si="5"/>
        <v>0</v>
      </c>
      <c r="S50" s="989">
        <f t="shared" si="6"/>
        <v>0</v>
      </c>
      <c r="T50" s="989">
        <f t="shared" si="7"/>
        <v>0</v>
      </c>
      <c r="U50" s="989">
        <f t="shared" si="8"/>
        <v>0</v>
      </c>
      <c r="V50" s="989">
        <f t="shared" si="9"/>
        <v>0</v>
      </c>
      <c r="W50" s="989">
        <f t="shared" si="10"/>
        <v>0</v>
      </c>
      <c r="X50" s="989">
        <f t="shared" si="11"/>
        <v>0</v>
      </c>
      <c r="Y50" s="989">
        <f t="shared" si="12"/>
        <v>0</v>
      </c>
      <c r="Z50" s="1006"/>
      <c r="AA50" s="1006"/>
      <c r="AB50" s="1006"/>
      <c r="AC50" s="1006"/>
      <c r="AD50" s="1006"/>
      <c r="AE50" s="1006"/>
      <c r="AF50" s="1006"/>
      <c r="AG50" s="1006"/>
      <c r="AH50" s="1006"/>
      <c r="AI50" s="1006"/>
      <c r="AJ50" s="1006"/>
      <c r="AK50" s="1006"/>
      <c r="AL50" s="1006"/>
      <c r="AM50" s="1006"/>
    </row>
    <row r="51" spans="2:39">
      <c r="B51" s="1009"/>
      <c r="C51" s="1010"/>
      <c r="D51" s="1011"/>
      <c r="E51" s="1012"/>
      <c r="F51" s="1013"/>
      <c r="G51" s="1011"/>
      <c r="H51" s="1014" t="str">
        <f t="shared" si="0"/>
        <v/>
      </c>
      <c r="I51" s="1015"/>
      <c r="J51" s="1015"/>
      <c r="K51" s="1015"/>
      <c r="L51" s="1015"/>
      <c r="M51" s="1037" t="str">
        <f t="shared" si="1"/>
        <v/>
      </c>
      <c r="N51" s="1037" t="str">
        <f t="shared" si="2"/>
        <v/>
      </c>
      <c r="P51" s="989">
        <f t="shared" si="3"/>
        <v>0</v>
      </c>
      <c r="Q51" s="989">
        <f t="shared" si="4"/>
        <v>0</v>
      </c>
      <c r="R51" s="989">
        <f t="shared" si="5"/>
        <v>0</v>
      </c>
      <c r="S51" s="989">
        <f t="shared" si="6"/>
        <v>0</v>
      </c>
      <c r="T51" s="989">
        <f t="shared" si="7"/>
        <v>0</v>
      </c>
      <c r="U51" s="989">
        <f t="shared" si="8"/>
        <v>0</v>
      </c>
      <c r="V51" s="989">
        <f t="shared" si="9"/>
        <v>0</v>
      </c>
      <c r="W51" s="989">
        <f t="shared" si="10"/>
        <v>0</v>
      </c>
      <c r="X51" s="989">
        <f t="shared" si="11"/>
        <v>0</v>
      </c>
      <c r="Y51" s="989">
        <f t="shared" si="12"/>
        <v>0</v>
      </c>
      <c r="Z51" s="1006"/>
      <c r="AA51" s="1006"/>
      <c r="AB51" s="1006"/>
      <c r="AC51" s="1006"/>
      <c r="AD51" s="1006"/>
      <c r="AE51" s="1006"/>
      <c r="AF51" s="1006"/>
      <c r="AG51" s="1006"/>
      <c r="AH51" s="1006"/>
      <c r="AI51" s="1006"/>
      <c r="AJ51" s="1006"/>
      <c r="AK51" s="1006"/>
      <c r="AL51" s="1006"/>
      <c r="AM51" s="1006"/>
    </row>
    <row r="52" spans="2:39">
      <c r="B52" s="1009"/>
      <c r="C52" s="1010"/>
      <c r="D52" s="1011"/>
      <c r="E52" s="1012"/>
      <c r="F52" s="1013"/>
      <c r="G52" s="1011"/>
      <c r="H52" s="1014" t="str">
        <f t="shared" si="0"/>
        <v/>
      </c>
      <c r="I52" s="1015"/>
      <c r="J52" s="1015"/>
      <c r="K52" s="1015"/>
      <c r="L52" s="1015"/>
      <c r="M52" s="1037" t="str">
        <f t="shared" si="1"/>
        <v/>
      </c>
      <c r="N52" s="1037" t="str">
        <f t="shared" si="2"/>
        <v/>
      </c>
      <c r="P52" s="989">
        <f t="shared" si="3"/>
        <v>0</v>
      </c>
      <c r="Q52" s="989">
        <f t="shared" si="4"/>
        <v>0</v>
      </c>
      <c r="R52" s="989">
        <f t="shared" si="5"/>
        <v>0</v>
      </c>
      <c r="S52" s="989">
        <f t="shared" si="6"/>
        <v>0</v>
      </c>
      <c r="T52" s="989">
        <f t="shared" si="7"/>
        <v>0</v>
      </c>
      <c r="U52" s="989">
        <f t="shared" si="8"/>
        <v>0</v>
      </c>
      <c r="V52" s="989">
        <f t="shared" si="9"/>
        <v>0</v>
      </c>
      <c r="W52" s="989">
        <f t="shared" si="10"/>
        <v>0</v>
      </c>
      <c r="X52" s="989">
        <f t="shared" si="11"/>
        <v>0</v>
      </c>
      <c r="Y52" s="989">
        <f t="shared" si="12"/>
        <v>0</v>
      </c>
      <c r="Z52" s="1006"/>
      <c r="AA52" s="1006"/>
      <c r="AB52" s="1006"/>
      <c r="AC52" s="1006"/>
      <c r="AD52" s="1006"/>
      <c r="AE52" s="1006"/>
      <c r="AF52" s="1006"/>
      <c r="AG52" s="1006"/>
      <c r="AH52" s="1006"/>
      <c r="AI52" s="1006"/>
      <c r="AJ52" s="1006"/>
      <c r="AK52" s="1006"/>
      <c r="AL52" s="1006"/>
      <c r="AM52" s="1006"/>
    </row>
    <row r="53" spans="2:39">
      <c r="B53" s="1009"/>
      <c r="C53" s="1010"/>
      <c r="D53" s="1011"/>
      <c r="E53" s="1012"/>
      <c r="F53" s="1013"/>
      <c r="G53" s="1011"/>
      <c r="H53" s="1014" t="str">
        <f t="shared" si="0"/>
        <v/>
      </c>
      <c r="I53" s="1015"/>
      <c r="J53" s="1015"/>
      <c r="K53" s="1015"/>
      <c r="L53" s="1015"/>
      <c r="M53" s="1037" t="str">
        <f t="shared" si="1"/>
        <v/>
      </c>
      <c r="N53" s="1037" t="str">
        <f t="shared" si="2"/>
        <v/>
      </c>
      <c r="P53" s="989">
        <f t="shared" si="3"/>
        <v>0</v>
      </c>
      <c r="Q53" s="989">
        <f t="shared" si="4"/>
        <v>0</v>
      </c>
      <c r="R53" s="989">
        <f t="shared" si="5"/>
        <v>0</v>
      </c>
      <c r="S53" s="989">
        <f t="shared" si="6"/>
        <v>0</v>
      </c>
      <c r="T53" s="989">
        <f t="shared" si="7"/>
        <v>0</v>
      </c>
      <c r="U53" s="989">
        <f t="shared" si="8"/>
        <v>0</v>
      </c>
      <c r="V53" s="989">
        <f t="shared" si="9"/>
        <v>0</v>
      </c>
      <c r="W53" s="989">
        <f t="shared" si="10"/>
        <v>0</v>
      </c>
      <c r="X53" s="989">
        <f t="shared" si="11"/>
        <v>0</v>
      </c>
      <c r="Y53" s="989">
        <f t="shared" si="12"/>
        <v>0</v>
      </c>
      <c r="Z53" s="1006"/>
      <c r="AA53" s="1006"/>
      <c r="AB53" s="1006"/>
      <c r="AC53" s="1006"/>
      <c r="AD53" s="1006"/>
      <c r="AE53" s="1006"/>
      <c r="AF53" s="1006"/>
      <c r="AG53" s="1006"/>
      <c r="AH53" s="1006"/>
      <c r="AI53" s="1006"/>
      <c r="AJ53" s="1006"/>
      <c r="AK53" s="1006"/>
      <c r="AL53" s="1006"/>
      <c r="AM53" s="1006"/>
    </row>
    <row r="54" spans="2:39">
      <c r="B54" s="1009"/>
      <c r="C54" s="1010"/>
      <c r="D54" s="1011"/>
      <c r="E54" s="1012"/>
      <c r="F54" s="1013"/>
      <c r="G54" s="1011"/>
      <c r="H54" s="1014" t="str">
        <f t="shared" si="0"/>
        <v/>
      </c>
      <c r="I54" s="1015"/>
      <c r="J54" s="1015"/>
      <c r="K54" s="1015"/>
      <c r="L54" s="1015"/>
      <c r="M54" s="1037" t="str">
        <f t="shared" si="1"/>
        <v/>
      </c>
      <c r="N54" s="1037" t="str">
        <f t="shared" si="2"/>
        <v/>
      </c>
      <c r="P54" s="989">
        <f t="shared" si="3"/>
        <v>0</v>
      </c>
      <c r="Q54" s="989">
        <f t="shared" si="4"/>
        <v>0</v>
      </c>
      <c r="R54" s="989">
        <f t="shared" si="5"/>
        <v>0</v>
      </c>
      <c r="S54" s="989">
        <f t="shared" si="6"/>
        <v>0</v>
      </c>
      <c r="T54" s="989">
        <f t="shared" si="7"/>
        <v>0</v>
      </c>
      <c r="U54" s="989">
        <f t="shared" si="8"/>
        <v>0</v>
      </c>
      <c r="V54" s="989">
        <f t="shared" si="9"/>
        <v>0</v>
      </c>
      <c r="W54" s="989">
        <f t="shared" si="10"/>
        <v>0</v>
      </c>
      <c r="X54" s="989">
        <f t="shared" si="11"/>
        <v>0</v>
      </c>
      <c r="Y54" s="989">
        <f t="shared" si="12"/>
        <v>0</v>
      </c>
      <c r="Z54" s="1006"/>
      <c r="AA54" s="1006"/>
      <c r="AB54" s="1006"/>
      <c r="AC54" s="1006"/>
      <c r="AD54" s="1006"/>
      <c r="AE54" s="1006"/>
      <c r="AF54" s="1006"/>
      <c r="AG54" s="1006"/>
      <c r="AH54" s="1006"/>
      <c r="AI54" s="1006"/>
      <c r="AJ54" s="1006"/>
      <c r="AK54" s="1006"/>
      <c r="AL54" s="1006"/>
      <c r="AM54" s="1006"/>
    </row>
    <row r="55" spans="2:39">
      <c r="B55" s="1009"/>
      <c r="C55" s="1010"/>
      <c r="D55" s="1011"/>
      <c r="E55" s="1012"/>
      <c r="F55" s="1013"/>
      <c r="G55" s="1011"/>
      <c r="H55" s="1014" t="str">
        <f t="shared" si="0"/>
        <v/>
      </c>
      <c r="I55" s="1015"/>
      <c r="J55" s="1015"/>
      <c r="K55" s="1015"/>
      <c r="L55" s="1015"/>
      <c r="M55" s="1037" t="str">
        <f t="shared" si="1"/>
        <v/>
      </c>
      <c r="N55" s="1037" t="str">
        <f t="shared" si="2"/>
        <v/>
      </c>
      <c r="P55" s="989">
        <f t="shared" si="3"/>
        <v>0</v>
      </c>
      <c r="Q55" s="989">
        <f t="shared" si="4"/>
        <v>0</v>
      </c>
      <c r="R55" s="989">
        <f t="shared" si="5"/>
        <v>0</v>
      </c>
      <c r="S55" s="989">
        <f t="shared" si="6"/>
        <v>0</v>
      </c>
      <c r="T55" s="989">
        <f t="shared" si="7"/>
        <v>0</v>
      </c>
      <c r="U55" s="989">
        <f t="shared" si="8"/>
        <v>0</v>
      </c>
      <c r="V55" s="989">
        <f t="shared" si="9"/>
        <v>0</v>
      </c>
      <c r="W55" s="989">
        <f t="shared" si="10"/>
        <v>0</v>
      </c>
      <c r="X55" s="989">
        <f t="shared" si="11"/>
        <v>0</v>
      </c>
      <c r="Y55" s="989">
        <f t="shared" si="12"/>
        <v>0</v>
      </c>
      <c r="Z55" s="1006"/>
      <c r="AA55" s="1006"/>
      <c r="AB55" s="1006"/>
      <c r="AC55" s="1006"/>
      <c r="AD55" s="1006"/>
      <c r="AE55" s="1006"/>
      <c r="AF55" s="1006"/>
      <c r="AG55" s="1006"/>
      <c r="AH55" s="1006"/>
      <c r="AI55" s="1006"/>
      <c r="AJ55" s="1006"/>
      <c r="AK55" s="1006"/>
      <c r="AL55" s="1006"/>
      <c r="AM55" s="1006"/>
    </row>
    <row r="56" spans="2:39">
      <c r="B56" s="1009"/>
      <c r="C56" s="1010"/>
      <c r="D56" s="1011"/>
      <c r="E56" s="1012"/>
      <c r="F56" s="1013"/>
      <c r="G56" s="1011"/>
      <c r="H56" s="1014" t="str">
        <f t="shared" si="0"/>
        <v/>
      </c>
      <c r="I56" s="1015"/>
      <c r="J56" s="1015"/>
      <c r="K56" s="1015"/>
      <c r="L56" s="1015"/>
      <c r="M56" s="1037" t="str">
        <f t="shared" si="1"/>
        <v/>
      </c>
      <c r="N56" s="1037" t="str">
        <f t="shared" si="2"/>
        <v/>
      </c>
      <c r="P56" s="989">
        <f t="shared" si="3"/>
        <v>0</v>
      </c>
      <c r="Q56" s="989">
        <f t="shared" si="4"/>
        <v>0</v>
      </c>
      <c r="R56" s="989">
        <f t="shared" si="5"/>
        <v>0</v>
      </c>
      <c r="S56" s="989">
        <f t="shared" si="6"/>
        <v>0</v>
      </c>
      <c r="T56" s="989">
        <f t="shared" si="7"/>
        <v>0</v>
      </c>
      <c r="U56" s="989">
        <f t="shared" si="8"/>
        <v>0</v>
      </c>
      <c r="V56" s="989">
        <f t="shared" si="9"/>
        <v>0</v>
      </c>
      <c r="W56" s="989">
        <f t="shared" si="10"/>
        <v>0</v>
      </c>
      <c r="X56" s="989">
        <f t="shared" si="11"/>
        <v>0</v>
      </c>
      <c r="Y56" s="989">
        <f t="shared" si="12"/>
        <v>0</v>
      </c>
      <c r="Z56" s="1006"/>
      <c r="AA56" s="1006"/>
      <c r="AB56" s="1006"/>
      <c r="AC56" s="1006"/>
      <c r="AD56" s="1006"/>
      <c r="AE56" s="1006"/>
      <c r="AF56" s="1006"/>
      <c r="AG56" s="1006"/>
      <c r="AH56" s="1006"/>
      <c r="AI56" s="1006"/>
      <c r="AJ56" s="1006"/>
      <c r="AK56" s="1006"/>
      <c r="AL56" s="1006"/>
      <c r="AM56" s="1006"/>
    </row>
    <row r="57" spans="2:39">
      <c r="B57" s="1009"/>
      <c r="C57" s="1016"/>
      <c r="D57" s="1011"/>
      <c r="E57" s="1012"/>
      <c r="F57" s="1013"/>
      <c r="G57" s="1011"/>
      <c r="H57" s="1014" t="str">
        <f>IF(B57="","",ROUND((I57*$L$4),3))</f>
        <v/>
      </c>
      <c r="I57" s="1015"/>
      <c r="J57" s="1015"/>
      <c r="K57" s="1015"/>
      <c r="L57" s="1015"/>
      <c r="M57" s="1037" t="str">
        <f t="shared" si="1"/>
        <v/>
      </c>
      <c r="N57" s="1037" t="str">
        <f t="shared" si="2"/>
        <v/>
      </c>
      <c r="P57" s="989">
        <f t="shared" si="3"/>
        <v>0</v>
      </c>
      <c r="Q57" s="989">
        <f t="shared" si="4"/>
        <v>0</v>
      </c>
      <c r="R57" s="989">
        <f t="shared" si="5"/>
        <v>0</v>
      </c>
      <c r="S57" s="989">
        <f t="shared" si="6"/>
        <v>0</v>
      </c>
      <c r="T57" s="989">
        <f t="shared" si="7"/>
        <v>0</v>
      </c>
      <c r="U57" s="989">
        <f t="shared" si="8"/>
        <v>0</v>
      </c>
      <c r="V57" s="989">
        <f t="shared" si="9"/>
        <v>0</v>
      </c>
      <c r="W57" s="989">
        <f t="shared" si="10"/>
        <v>0</v>
      </c>
      <c r="X57" s="989">
        <f t="shared" si="11"/>
        <v>0</v>
      </c>
      <c r="Y57" s="989">
        <f t="shared" si="12"/>
        <v>0</v>
      </c>
      <c r="Z57" s="1006"/>
      <c r="AA57" s="1006"/>
      <c r="AB57" s="1006"/>
      <c r="AC57" s="1006"/>
      <c r="AD57" s="1006"/>
      <c r="AE57" s="1006"/>
      <c r="AF57" s="1006"/>
      <c r="AG57" s="1006"/>
      <c r="AH57" s="1006"/>
      <c r="AI57" s="1006"/>
      <c r="AJ57" s="1006"/>
      <c r="AK57" s="1006"/>
      <c r="AL57" s="1006"/>
      <c r="AM57" s="1006"/>
    </row>
    <row r="58" spans="2:39">
      <c r="B58" s="990" t="s">
        <v>545</v>
      </c>
      <c r="C58" s="990"/>
      <c r="D58" s="990"/>
      <c r="E58" s="990"/>
      <c r="F58" s="991">
        <f>IF([2]Data!$G$15&gt;1,0,SUM(F8:F57))</f>
        <v>145</v>
      </c>
      <c r="G58" s="990"/>
      <c r="H58" s="992"/>
      <c r="I58" s="993"/>
      <c r="J58" s="994"/>
      <c r="K58" s="993"/>
      <c r="L58" s="993"/>
      <c r="M58" s="987">
        <f t="shared" si="1"/>
        <v>0</v>
      </c>
      <c r="N58" s="988">
        <f t="shared" si="2"/>
        <v>145</v>
      </c>
      <c r="P58" s="995">
        <f>SUM(P8:P57)</f>
        <v>105</v>
      </c>
      <c r="Q58" s="995">
        <f t="shared" ref="Q58:Y58" si="13">SUM(Q8:Q57)</f>
        <v>40</v>
      </c>
      <c r="R58" s="995">
        <f t="shared" si="13"/>
        <v>0</v>
      </c>
      <c r="S58" s="995">
        <f t="shared" si="13"/>
        <v>0</v>
      </c>
      <c r="T58" s="995">
        <f t="shared" si="13"/>
        <v>0</v>
      </c>
      <c r="U58" s="995">
        <f t="shared" si="13"/>
        <v>13224</v>
      </c>
      <c r="V58" s="995">
        <f t="shared" si="13"/>
        <v>235</v>
      </c>
      <c r="W58" s="995">
        <f t="shared" si="13"/>
        <v>0</v>
      </c>
      <c r="X58" s="995">
        <f t="shared" si="13"/>
        <v>0</v>
      </c>
      <c r="Y58" s="995">
        <f t="shared" si="13"/>
        <v>0</v>
      </c>
      <c r="Z58" s="1006"/>
      <c r="AA58" s="1006"/>
      <c r="AB58" s="1006"/>
      <c r="AC58" s="1006"/>
      <c r="AD58" s="1006"/>
      <c r="AE58" s="1006"/>
      <c r="AF58" s="1006"/>
      <c r="AG58" s="1006"/>
      <c r="AH58" s="1006"/>
      <c r="AI58" s="1006"/>
      <c r="AJ58" s="1006"/>
      <c r="AK58" s="1006"/>
      <c r="AL58" s="1006"/>
      <c r="AM58" s="1006"/>
    </row>
    <row r="59" spans="2:39">
      <c r="B59" s="996" t="s">
        <v>546</v>
      </c>
      <c r="C59" s="997"/>
      <c r="D59" s="997"/>
      <c r="E59" s="998"/>
      <c r="F59" s="991">
        <f>P58</f>
        <v>105</v>
      </c>
      <c r="G59" s="999"/>
      <c r="H59" s="992"/>
      <c r="I59" s="993"/>
      <c r="J59" s="994"/>
      <c r="K59" s="993"/>
      <c r="L59" s="1000"/>
      <c r="M59" s="987">
        <f t="shared" si="1"/>
        <v>0</v>
      </c>
      <c r="N59" s="987">
        <f>F59+M59</f>
        <v>105</v>
      </c>
      <c r="Z59" s="1006"/>
      <c r="AA59" s="1006"/>
      <c r="AB59" s="1006"/>
      <c r="AC59" s="1006"/>
      <c r="AD59" s="1006"/>
      <c r="AE59" s="1006"/>
      <c r="AF59" s="1006"/>
      <c r="AG59" s="1006"/>
      <c r="AH59" s="1006"/>
      <c r="AI59" s="1006"/>
      <c r="AJ59" s="1006"/>
      <c r="AK59" s="1006"/>
      <c r="AL59" s="1006"/>
      <c r="AM59" s="1006"/>
    </row>
    <row r="60" spans="2:39">
      <c r="B60" s="996" t="s">
        <v>547</v>
      </c>
      <c r="C60" s="997"/>
      <c r="D60" s="997"/>
      <c r="E60" s="998"/>
      <c r="F60" s="991">
        <f>Q58</f>
        <v>40</v>
      </c>
      <c r="G60" s="999"/>
      <c r="H60" s="992"/>
      <c r="I60" s="993"/>
      <c r="J60" s="994"/>
      <c r="K60" s="993"/>
      <c r="L60" s="1000"/>
      <c r="M60" s="987">
        <f t="shared" si="1"/>
        <v>0</v>
      </c>
      <c r="N60" s="987">
        <f>F60+M60</f>
        <v>40</v>
      </c>
      <c r="Z60" s="1006"/>
      <c r="AA60" s="1006"/>
      <c r="AB60" s="1006"/>
      <c r="AC60" s="1006"/>
      <c r="AD60" s="1006"/>
      <c r="AE60" s="1006"/>
      <c r="AF60" s="1006"/>
      <c r="AG60" s="1006"/>
      <c r="AH60" s="1006"/>
      <c r="AI60" s="1006"/>
      <c r="AJ60" s="1006"/>
      <c r="AK60" s="1006"/>
      <c r="AL60" s="1006"/>
      <c r="AM60" s="1006"/>
    </row>
    <row r="61" spans="2:39">
      <c r="B61" s="996" t="s">
        <v>548</v>
      </c>
      <c r="C61" s="997"/>
      <c r="D61" s="997"/>
      <c r="E61" s="998"/>
      <c r="F61" s="991">
        <f>R58</f>
        <v>0</v>
      </c>
      <c r="G61" s="999"/>
      <c r="H61" s="992"/>
      <c r="I61" s="993"/>
      <c r="J61" s="994"/>
      <c r="K61" s="993"/>
      <c r="L61" s="1000"/>
      <c r="M61" s="987">
        <f t="shared" si="1"/>
        <v>0</v>
      </c>
      <c r="N61" s="987">
        <f>F61+M61</f>
        <v>0</v>
      </c>
      <c r="Z61" s="1006"/>
      <c r="AA61" s="1006"/>
      <c r="AB61" s="1006"/>
      <c r="AC61" s="1006"/>
      <c r="AD61" s="1006"/>
      <c r="AE61" s="1006"/>
      <c r="AF61" s="1006"/>
      <c r="AG61" s="1006"/>
      <c r="AH61" s="1006"/>
      <c r="AI61" s="1006"/>
      <c r="AJ61" s="1006"/>
      <c r="AK61" s="1006"/>
      <c r="AL61" s="1006"/>
      <c r="AM61" s="1006"/>
    </row>
    <row r="62" spans="2:39">
      <c r="B62" s="996" t="s">
        <v>549</v>
      </c>
      <c r="C62" s="997"/>
      <c r="D62" s="997"/>
      <c r="E62" s="998"/>
      <c r="F62" s="1001">
        <f>S58</f>
        <v>0</v>
      </c>
      <c r="G62" s="999"/>
      <c r="H62" s="992"/>
      <c r="I62" s="993"/>
      <c r="J62" s="994"/>
      <c r="K62" s="993"/>
      <c r="L62" s="1000"/>
      <c r="M62" s="987">
        <f t="shared" si="1"/>
        <v>0</v>
      </c>
      <c r="N62" s="987">
        <f>F62+M62</f>
        <v>0</v>
      </c>
      <c r="Z62" s="1006"/>
      <c r="AA62" s="1006"/>
      <c r="AB62" s="1006"/>
      <c r="AC62" s="1006"/>
      <c r="AD62" s="1006"/>
      <c r="AE62" s="1006"/>
      <c r="AF62" s="1006"/>
      <c r="AG62" s="1006"/>
      <c r="AH62" s="1006"/>
      <c r="AI62" s="1006"/>
      <c r="AJ62" s="1006"/>
      <c r="AK62" s="1006"/>
      <c r="AL62" s="1006"/>
      <c r="AM62" s="1006"/>
    </row>
    <row r="63" spans="2:39">
      <c r="B63" s="996" t="s">
        <v>550</v>
      </c>
      <c r="C63" s="997"/>
      <c r="D63" s="997"/>
      <c r="E63" s="998"/>
      <c r="F63" s="991">
        <f>T58</f>
        <v>0</v>
      </c>
      <c r="G63" s="999"/>
      <c r="H63" s="992"/>
      <c r="I63" s="993"/>
      <c r="J63" s="994"/>
      <c r="K63" s="993"/>
      <c r="L63" s="1000"/>
      <c r="M63" s="987">
        <f t="shared" si="1"/>
        <v>0</v>
      </c>
      <c r="N63" s="987">
        <f>F63+M63</f>
        <v>0</v>
      </c>
      <c r="Z63" s="1006"/>
      <c r="AA63" s="1006"/>
      <c r="AB63" s="1006"/>
      <c r="AC63" s="1006"/>
      <c r="AD63" s="1006"/>
      <c r="AE63" s="1006"/>
      <c r="AF63" s="1006"/>
      <c r="AG63" s="1006"/>
      <c r="AH63" s="1006"/>
      <c r="AI63" s="1006"/>
      <c r="AJ63" s="1006"/>
      <c r="AK63" s="1006"/>
      <c r="AL63" s="1006"/>
      <c r="AM63" s="1006"/>
    </row>
    <row r="64" spans="2:39">
      <c r="B64" s="1002"/>
      <c r="C64" s="1003"/>
      <c r="D64" s="1003"/>
      <c r="E64" s="1003"/>
      <c r="F64" s="1003"/>
      <c r="G64" s="1003"/>
      <c r="H64" s="1003"/>
      <c r="I64" s="1003"/>
      <c r="J64" s="1003"/>
      <c r="K64" s="1003"/>
      <c r="L64" s="1003"/>
      <c r="M64" s="1003"/>
      <c r="N64" s="1003"/>
      <c r="O64" s="497"/>
      <c r="Z64" s="497"/>
      <c r="AA64" s="1006"/>
      <c r="AB64" s="1006"/>
      <c r="AC64" s="1006"/>
      <c r="AD64" s="1006"/>
      <c r="AE64" s="1006"/>
      <c r="AF64" s="1006"/>
      <c r="AG64" s="1006"/>
      <c r="AH64" s="1006"/>
      <c r="AI64" s="1006"/>
      <c r="AJ64" s="1006"/>
      <c r="AK64" s="1006"/>
      <c r="AL64" s="1006"/>
      <c r="AM64" s="1006"/>
    </row>
    <row r="65" spans="2:39">
      <c r="B65" s="1006"/>
      <c r="C65" s="1006"/>
      <c r="D65" s="1006"/>
      <c r="E65" s="1006"/>
      <c r="F65" s="1006"/>
      <c r="G65" s="1007"/>
      <c r="H65" s="1008"/>
      <c r="I65" s="1006"/>
      <c r="J65" s="1006"/>
      <c r="K65" s="1006"/>
      <c r="L65" s="1006"/>
      <c r="M65" s="1006"/>
      <c r="N65" s="1006"/>
      <c r="Z65" s="1006"/>
      <c r="AA65" s="1006"/>
      <c r="AB65" s="1006"/>
      <c r="AC65" s="1006"/>
      <c r="AD65" s="1006"/>
      <c r="AE65" s="1006"/>
      <c r="AF65" s="1006"/>
      <c r="AG65" s="1006"/>
      <c r="AH65" s="1006"/>
      <c r="AI65" s="1006"/>
      <c r="AJ65" s="1006"/>
      <c r="AK65" s="1006"/>
      <c r="AL65" s="1006"/>
      <c r="AM65" s="1006"/>
    </row>
    <row r="66" spans="2:39">
      <c r="B66" s="1006"/>
      <c r="C66" s="1006"/>
      <c r="D66" s="1006"/>
      <c r="E66" s="1006"/>
      <c r="F66" s="1006"/>
      <c r="G66" s="1007"/>
      <c r="H66" s="1008"/>
      <c r="I66" s="1006"/>
      <c r="J66" s="1006"/>
      <c r="K66" s="1006"/>
      <c r="L66" s="1006"/>
      <c r="M66" s="1006"/>
      <c r="N66" s="1006"/>
      <c r="Z66" s="1006"/>
      <c r="AA66" s="1006"/>
      <c r="AB66" s="1006"/>
      <c r="AC66" s="1006"/>
      <c r="AD66" s="1006"/>
      <c r="AE66" s="1006"/>
      <c r="AF66" s="1006"/>
      <c r="AG66" s="1006"/>
      <c r="AH66" s="1006"/>
      <c r="AI66" s="1006"/>
      <c r="AJ66" s="1006"/>
      <c r="AK66" s="1006"/>
      <c r="AL66" s="1006"/>
      <c r="AM66" s="1006"/>
    </row>
    <row r="67" spans="2:39">
      <c r="B67" s="1006"/>
      <c r="C67" s="1006"/>
      <c r="D67" s="1006"/>
      <c r="E67" s="1006"/>
      <c r="F67" s="1006"/>
      <c r="G67" s="1007"/>
      <c r="H67" s="1008"/>
      <c r="I67" s="1006"/>
      <c r="J67" s="1006"/>
      <c r="K67" s="1006"/>
      <c r="L67" s="1006"/>
      <c r="M67" s="1006"/>
      <c r="N67" s="1006"/>
      <c r="Z67" s="1006"/>
      <c r="AA67" s="1006"/>
      <c r="AB67" s="1006"/>
      <c r="AC67" s="1006"/>
      <c r="AD67" s="1006"/>
      <c r="AE67" s="1006"/>
      <c r="AF67" s="1006"/>
      <c r="AG67" s="1006"/>
      <c r="AH67" s="1006"/>
      <c r="AI67" s="1006"/>
      <c r="AJ67" s="1006"/>
      <c r="AK67" s="1006"/>
      <c r="AL67" s="1006"/>
      <c r="AM67" s="1006"/>
    </row>
    <row r="68" spans="2:39">
      <c r="B68" s="1006"/>
      <c r="C68" s="1006"/>
      <c r="D68" s="1006"/>
      <c r="E68" s="1006"/>
      <c r="F68" s="1006"/>
      <c r="G68" s="1007"/>
      <c r="H68" s="1008"/>
      <c r="I68" s="1006"/>
      <c r="J68" s="1006"/>
      <c r="K68" s="1006"/>
      <c r="L68" s="1006"/>
      <c r="M68" s="1006"/>
      <c r="N68" s="1006"/>
      <c r="Z68" s="1006"/>
      <c r="AA68" s="1006"/>
      <c r="AB68" s="1006"/>
      <c r="AC68" s="1006"/>
      <c r="AD68" s="1006"/>
      <c r="AE68" s="1006"/>
      <c r="AF68" s="1006"/>
      <c r="AG68" s="1006"/>
      <c r="AH68" s="1006"/>
      <c r="AI68" s="1006"/>
      <c r="AJ68" s="1006"/>
      <c r="AK68" s="1006"/>
      <c r="AL68" s="1006"/>
      <c r="AM68" s="1006"/>
    </row>
    <row r="69" spans="2:39">
      <c r="B69" s="1006"/>
      <c r="C69" s="1006"/>
      <c r="D69" s="1006"/>
      <c r="E69" s="1006"/>
      <c r="F69" s="1006"/>
      <c r="G69" s="1007"/>
      <c r="H69" s="1008"/>
      <c r="I69" s="1006"/>
      <c r="J69" s="1006"/>
      <c r="K69" s="1006"/>
      <c r="L69" s="1006"/>
      <c r="M69" s="1006"/>
      <c r="N69" s="1006"/>
      <c r="Z69" s="1006"/>
      <c r="AA69" s="1006"/>
      <c r="AB69" s="1006"/>
      <c r="AC69" s="1006"/>
      <c r="AD69" s="1006"/>
      <c r="AE69" s="1006"/>
      <c r="AF69" s="1006"/>
      <c r="AG69" s="1006"/>
      <c r="AH69" s="1006"/>
      <c r="AI69" s="1006"/>
      <c r="AJ69" s="1006"/>
      <c r="AK69" s="1006"/>
      <c r="AL69" s="1006"/>
      <c r="AM69" s="1006"/>
    </row>
    <row r="70" spans="2:39">
      <c r="B70" s="1006"/>
      <c r="C70" s="1006"/>
      <c r="D70" s="1006"/>
      <c r="E70" s="1006"/>
      <c r="F70" s="1006"/>
      <c r="G70" s="1007"/>
      <c r="H70" s="1008"/>
      <c r="I70" s="1006"/>
      <c r="J70" s="1006"/>
      <c r="K70" s="1006"/>
      <c r="L70" s="1006"/>
      <c r="M70" s="1006"/>
      <c r="N70" s="1006"/>
      <c r="Z70" s="1006"/>
      <c r="AA70" s="1006"/>
      <c r="AB70" s="1006"/>
      <c r="AC70" s="1006"/>
      <c r="AD70" s="1006"/>
      <c r="AE70" s="1006"/>
      <c r="AF70" s="1006"/>
      <c r="AG70" s="1006"/>
      <c r="AH70" s="1006"/>
      <c r="AI70" s="1006"/>
      <c r="AJ70" s="1006"/>
      <c r="AK70" s="1006"/>
      <c r="AL70" s="1006"/>
      <c r="AM70" s="1006"/>
    </row>
    <row r="71" spans="2:39">
      <c r="B71" s="1006"/>
      <c r="C71" s="1006"/>
      <c r="D71" s="1006"/>
      <c r="E71" s="1006"/>
      <c r="F71" s="1006"/>
      <c r="G71" s="1007"/>
      <c r="H71" s="1008"/>
      <c r="I71" s="1006"/>
      <c r="J71" s="1006"/>
      <c r="K71" s="1006"/>
      <c r="L71" s="1006"/>
      <c r="M71" s="1006"/>
      <c r="N71" s="1006"/>
      <c r="Z71" s="1006"/>
      <c r="AA71" s="1006"/>
      <c r="AB71" s="1006"/>
      <c r="AC71" s="1006"/>
      <c r="AD71" s="1006"/>
      <c r="AE71" s="1006"/>
      <c r="AF71" s="1006"/>
      <c r="AG71" s="1006"/>
      <c r="AH71" s="1006"/>
      <c r="AI71" s="1006"/>
      <c r="AJ71" s="1006"/>
      <c r="AK71" s="1006"/>
      <c r="AL71" s="1006"/>
      <c r="AM71" s="1006"/>
    </row>
    <row r="72" spans="2:39">
      <c r="B72" s="1006"/>
      <c r="C72" s="1006"/>
      <c r="D72" s="1006"/>
      <c r="E72" s="1006"/>
      <c r="F72" s="1006"/>
      <c r="G72" s="1007"/>
      <c r="H72" s="1008"/>
      <c r="I72" s="1006"/>
      <c r="J72" s="1006"/>
      <c r="K72" s="1006"/>
      <c r="L72" s="1006"/>
      <c r="M72" s="1006"/>
      <c r="N72" s="1006"/>
      <c r="Z72" s="1006"/>
      <c r="AA72" s="1006"/>
      <c r="AB72" s="1006"/>
      <c r="AC72" s="1006"/>
      <c r="AD72" s="1006"/>
      <c r="AE72" s="1006"/>
      <c r="AF72" s="1006"/>
      <c r="AG72" s="1006"/>
      <c r="AH72" s="1006"/>
      <c r="AI72" s="1006"/>
      <c r="AJ72" s="1006"/>
      <c r="AK72" s="1006"/>
      <c r="AL72" s="1006"/>
      <c r="AM72" s="1006"/>
    </row>
    <row r="73" spans="2:39">
      <c r="B73" s="1006"/>
      <c r="C73" s="1006"/>
      <c r="D73" s="1006"/>
      <c r="E73" s="1006"/>
      <c r="F73" s="1006"/>
      <c r="G73" s="1007"/>
      <c r="H73" s="1008"/>
      <c r="I73" s="1006"/>
      <c r="J73" s="1006"/>
      <c r="K73" s="1006"/>
      <c r="L73" s="1006"/>
      <c r="M73" s="1006"/>
      <c r="N73" s="1006"/>
      <c r="Z73" s="1006"/>
      <c r="AA73" s="1006"/>
      <c r="AB73" s="1006"/>
      <c r="AC73" s="1006"/>
      <c r="AD73" s="1006"/>
      <c r="AE73" s="1006"/>
      <c r="AF73" s="1006"/>
      <c r="AG73" s="1006"/>
      <c r="AH73" s="1006"/>
      <c r="AI73" s="1006"/>
      <c r="AJ73" s="1006"/>
      <c r="AK73" s="1006"/>
      <c r="AL73" s="1006"/>
      <c r="AM73" s="1006"/>
    </row>
    <row r="74" spans="2:39">
      <c r="B74" s="1006"/>
      <c r="C74" s="1006"/>
      <c r="D74" s="1006"/>
      <c r="E74" s="1006"/>
      <c r="F74" s="1006"/>
      <c r="G74" s="1007"/>
      <c r="H74" s="1008"/>
      <c r="I74" s="1006"/>
      <c r="J74" s="1006"/>
      <c r="K74" s="1006"/>
      <c r="L74" s="1006"/>
      <c r="M74" s="1006"/>
      <c r="N74" s="1006"/>
      <c r="Z74" s="1006"/>
      <c r="AA74" s="1006"/>
      <c r="AB74" s="1006"/>
      <c r="AC74" s="1006"/>
      <c r="AD74" s="1006"/>
      <c r="AE74" s="1006"/>
      <c r="AF74" s="1006"/>
      <c r="AG74" s="1006"/>
      <c r="AH74" s="1006"/>
      <c r="AI74" s="1006"/>
      <c r="AJ74" s="1006"/>
      <c r="AK74" s="1006"/>
      <c r="AL74" s="1006"/>
      <c r="AM74" s="1006"/>
    </row>
    <row r="75" spans="2:39">
      <c r="B75" s="1006"/>
      <c r="C75" s="1006"/>
      <c r="D75" s="1006"/>
      <c r="E75" s="1006"/>
      <c r="F75" s="1006"/>
      <c r="G75" s="1007"/>
      <c r="H75" s="1008"/>
      <c r="I75" s="1006"/>
      <c r="J75" s="1006"/>
      <c r="K75" s="1006"/>
      <c r="L75" s="1006"/>
      <c r="M75" s="1006"/>
      <c r="N75" s="1006"/>
      <c r="Z75" s="1006"/>
      <c r="AA75" s="1006"/>
      <c r="AB75" s="1006"/>
      <c r="AC75" s="1006"/>
      <c r="AD75" s="1006"/>
      <c r="AE75" s="1006"/>
      <c r="AF75" s="1006"/>
      <c r="AG75" s="1006"/>
      <c r="AH75" s="1006"/>
      <c r="AI75" s="1006"/>
      <c r="AJ75" s="1006"/>
      <c r="AK75" s="1006"/>
      <c r="AL75" s="1006"/>
      <c r="AM75" s="1006"/>
    </row>
    <row r="76" spans="2:39">
      <c r="B76" s="1006"/>
      <c r="C76" s="1006"/>
      <c r="D76" s="1006"/>
      <c r="E76" s="1006"/>
      <c r="F76" s="1006"/>
      <c r="G76" s="1007"/>
      <c r="H76" s="1008"/>
      <c r="I76" s="1006"/>
      <c r="J76" s="1006"/>
      <c r="K76" s="1006"/>
      <c r="L76" s="1006"/>
      <c r="M76" s="1006"/>
      <c r="N76" s="1006"/>
      <c r="Z76" s="1006"/>
      <c r="AA76" s="1006"/>
      <c r="AB76" s="1006"/>
      <c r="AC76" s="1006"/>
      <c r="AD76" s="1006"/>
      <c r="AE76" s="1006"/>
      <c r="AF76" s="1006"/>
      <c r="AG76" s="1006"/>
      <c r="AH76" s="1006"/>
      <c r="AI76" s="1006"/>
      <c r="AJ76" s="1006"/>
      <c r="AK76" s="1006"/>
      <c r="AL76" s="1006"/>
      <c r="AM76" s="1006"/>
    </row>
    <row r="77" spans="2:39">
      <c r="B77" s="1006"/>
      <c r="C77" s="1006"/>
      <c r="D77" s="1006"/>
      <c r="E77" s="1006"/>
      <c r="F77" s="1006"/>
      <c r="G77" s="1007"/>
      <c r="H77" s="1008"/>
      <c r="I77" s="1006"/>
      <c r="J77" s="1006"/>
      <c r="K77" s="1006"/>
      <c r="L77" s="1006"/>
      <c r="M77" s="1006"/>
      <c r="N77" s="1006"/>
      <c r="Z77" s="1006"/>
      <c r="AA77" s="1006"/>
      <c r="AB77" s="1006"/>
      <c r="AC77" s="1006"/>
      <c r="AD77" s="1006"/>
      <c r="AE77" s="1006"/>
      <c r="AF77" s="1006"/>
      <c r="AG77" s="1006"/>
      <c r="AH77" s="1006"/>
      <c r="AI77" s="1006"/>
      <c r="AJ77" s="1006"/>
      <c r="AK77" s="1006"/>
      <c r="AL77" s="1006"/>
      <c r="AM77" s="1006"/>
    </row>
    <row r="78" spans="2:39">
      <c r="B78" s="1006"/>
      <c r="C78" s="1006"/>
      <c r="D78" s="1006"/>
      <c r="E78" s="1006"/>
      <c r="F78" s="1006"/>
      <c r="G78" s="1007"/>
      <c r="H78" s="1008"/>
      <c r="I78" s="1006"/>
      <c r="J78" s="1006"/>
      <c r="K78" s="1006"/>
      <c r="L78" s="1006"/>
      <c r="M78" s="1006"/>
      <c r="N78" s="1006"/>
      <c r="Z78" s="1006"/>
      <c r="AA78" s="1006"/>
      <c r="AB78" s="1006"/>
      <c r="AC78" s="1006"/>
      <c r="AD78" s="1006"/>
      <c r="AE78" s="1006"/>
      <c r="AF78" s="1006"/>
      <c r="AG78" s="1006"/>
      <c r="AH78" s="1006"/>
      <c r="AI78" s="1006"/>
      <c r="AJ78" s="1006"/>
      <c r="AK78" s="1006"/>
      <c r="AL78" s="1006"/>
      <c r="AM78" s="1006"/>
    </row>
    <row r="79" spans="2:39">
      <c r="B79" s="1006"/>
      <c r="C79" s="1006"/>
      <c r="D79" s="1006"/>
      <c r="E79" s="1006"/>
      <c r="F79" s="1006"/>
      <c r="G79" s="1007"/>
      <c r="H79" s="1008"/>
      <c r="I79" s="1006"/>
      <c r="J79" s="1006"/>
      <c r="K79" s="1006"/>
      <c r="L79" s="1006"/>
      <c r="M79" s="1006"/>
      <c r="N79" s="1006"/>
      <c r="Z79" s="1006"/>
      <c r="AA79" s="1006"/>
      <c r="AB79" s="1006"/>
      <c r="AC79" s="1006"/>
      <c r="AD79" s="1006"/>
      <c r="AE79" s="1006"/>
      <c r="AF79" s="1006"/>
      <c r="AG79" s="1006"/>
      <c r="AH79" s="1006"/>
      <c r="AI79" s="1006"/>
      <c r="AJ79" s="1006"/>
      <c r="AK79" s="1006"/>
      <c r="AL79" s="1006"/>
      <c r="AM79" s="1006"/>
    </row>
    <row r="80" spans="2:39">
      <c r="B80" s="1006"/>
      <c r="C80" s="1006"/>
      <c r="D80" s="1006"/>
      <c r="E80" s="1006"/>
      <c r="F80" s="1006"/>
      <c r="G80" s="1007"/>
      <c r="H80" s="1008"/>
      <c r="I80" s="1006"/>
      <c r="J80" s="1006"/>
      <c r="K80" s="1006"/>
      <c r="L80" s="1006"/>
      <c r="M80" s="1006"/>
      <c r="N80" s="1006"/>
      <c r="Z80" s="1006"/>
      <c r="AA80" s="1006"/>
      <c r="AB80" s="1006"/>
      <c r="AC80" s="1006"/>
      <c r="AD80" s="1006"/>
      <c r="AE80" s="1006"/>
      <c r="AF80" s="1006"/>
      <c r="AG80" s="1006"/>
      <c r="AH80" s="1006"/>
      <c r="AI80" s="1006"/>
      <c r="AJ80" s="1006"/>
      <c r="AK80" s="1006"/>
      <c r="AL80" s="1006"/>
      <c r="AM80" s="1006"/>
    </row>
    <row r="81" spans="2:39">
      <c r="B81" s="1006"/>
      <c r="C81" s="1006"/>
      <c r="D81" s="1006"/>
      <c r="E81" s="1006"/>
      <c r="F81" s="1006"/>
      <c r="G81" s="1007"/>
      <c r="H81" s="1008"/>
      <c r="I81" s="1006"/>
      <c r="J81" s="1006"/>
      <c r="K81" s="1006"/>
      <c r="L81" s="1006"/>
      <c r="M81" s="1006"/>
      <c r="N81" s="1006"/>
      <c r="Z81" s="1006"/>
      <c r="AA81" s="1006"/>
      <c r="AB81" s="1006"/>
      <c r="AC81" s="1006"/>
      <c r="AD81" s="1006"/>
      <c r="AE81" s="1006"/>
      <c r="AF81" s="1006"/>
      <c r="AG81" s="1006"/>
      <c r="AH81" s="1006"/>
      <c r="AI81" s="1006"/>
      <c r="AJ81" s="1006"/>
      <c r="AK81" s="1006"/>
      <c r="AL81" s="1006"/>
      <c r="AM81" s="1006"/>
    </row>
    <row r="82" spans="2:39">
      <c r="B82" s="1006"/>
      <c r="C82" s="1006"/>
      <c r="D82" s="1006"/>
      <c r="E82" s="1006"/>
      <c r="F82" s="1006"/>
      <c r="G82" s="1007"/>
      <c r="H82" s="1008"/>
      <c r="I82" s="1006"/>
      <c r="J82" s="1006"/>
      <c r="K82" s="1006"/>
      <c r="L82" s="1006"/>
      <c r="M82" s="1006"/>
      <c r="N82" s="1006"/>
      <c r="Z82" s="1006"/>
      <c r="AA82" s="1006"/>
      <c r="AB82" s="1006"/>
      <c r="AC82" s="1006"/>
      <c r="AD82" s="1006"/>
      <c r="AE82" s="1006"/>
      <c r="AF82" s="1006"/>
      <c r="AG82" s="1006"/>
      <c r="AH82" s="1006"/>
      <c r="AI82" s="1006"/>
      <c r="AJ82" s="1006"/>
      <c r="AK82" s="1006"/>
      <c r="AL82" s="1006"/>
      <c r="AM82" s="1006"/>
    </row>
    <row r="83" spans="2:39">
      <c r="B83" s="1006"/>
      <c r="C83" s="1006"/>
      <c r="D83" s="1006"/>
      <c r="E83" s="1006"/>
      <c r="F83" s="1006"/>
      <c r="G83" s="1007"/>
      <c r="H83" s="1008"/>
      <c r="I83" s="1006"/>
      <c r="J83" s="1006"/>
      <c r="K83" s="1006"/>
      <c r="L83" s="1006"/>
      <c r="M83" s="1006"/>
      <c r="N83" s="1006"/>
      <c r="Z83" s="1006"/>
      <c r="AA83" s="1006"/>
      <c r="AB83" s="1006"/>
      <c r="AC83" s="1006"/>
      <c r="AD83" s="1006"/>
      <c r="AE83" s="1006"/>
      <c r="AF83" s="1006"/>
      <c r="AG83" s="1006"/>
      <c r="AH83" s="1006"/>
      <c r="AI83" s="1006"/>
      <c r="AJ83" s="1006"/>
      <c r="AK83" s="1006"/>
      <c r="AL83" s="1006"/>
      <c r="AM83" s="1006"/>
    </row>
    <row r="84" spans="2:39">
      <c r="B84" s="1006"/>
      <c r="C84" s="1006"/>
      <c r="D84" s="1006"/>
      <c r="E84" s="1006"/>
      <c r="F84" s="1006"/>
      <c r="G84" s="1007"/>
      <c r="H84" s="1008"/>
      <c r="I84" s="1006"/>
      <c r="J84" s="1006"/>
      <c r="K84" s="1006"/>
      <c r="L84" s="1006"/>
      <c r="M84" s="1006"/>
      <c r="N84" s="1006"/>
      <c r="Z84" s="1006"/>
      <c r="AA84" s="1006"/>
      <c r="AB84" s="1006"/>
      <c r="AC84" s="1006"/>
      <c r="AD84" s="1006"/>
      <c r="AE84" s="1006"/>
      <c r="AF84" s="1006"/>
      <c r="AG84" s="1006"/>
      <c r="AH84" s="1006"/>
      <c r="AI84" s="1006"/>
      <c r="AJ84" s="1006"/>
      <c r="AK84" s="1006"/>
      <c r="AL84" s="1006"/>
      <c r="AM84" s="1006"/>
    </row>
    <row r="85" spans="2:39">
      <c r="B85" s="1006"/>
      <c r="C85" s="1006"/>
      <c r="D85" s="1006"/>
      <c r="E85" s="1006"/>
      <c r="F85" s="1006"/>
      <c r="G85" s="1007"/>
      <c r="H85" s="1008"/>
      <c r="I85" s="1006"/>
      <c r="J85" s="1006"/>
      <c r="K85" s="1006"/>
      <c r="L85" s="1006"/>
      <c r="M85" s="1006"/>
      <c r="N85" s="1006"/>
      <c r="Z85" s="1006"/>
      <c r="AA85" s="1006"/>
      <c r="AB85" s="1006"/>
      <c r="AC85" s="1006"/>
      <c r="AD85" s="1006"/>
      <c r="AE85" s="1006"/>
      <c r="AF85" s="1006"/>
      <c r="AG85" s="1006"/>
      <c r="AH85" s="1006"/>
      <c r="AI85" s="1006"/>
      <c r="AJ85" s="1006"/>
      <c r="AK85" s="1006"/>
      <c r="AL85" s="1006"/>
      <c r="AM85" s="1006"/>
    </row>
    <row r="86" spans="2:39">
      <c r="B86" s="1006"/>
      <c r="C86" s="1006"/>
      <c r="D86" s="1006"/>
      <c r="E86" s="1006"/>
      <c r="F86" s="1006"/>
      <c r="G86" s="1007"/>
      <c r="H86" s="1008"/>
      <c r="I86" s="1006"/>
      <c r="J86" s="1006"/>
      <c r="K86" s="1006"/>
      <c r="L86" s="1006"/>
      <c r="M86" s="1006"/>
      <c r="N86" s="1006"/>
      <c r="Z86" s="1006"/>
      <c r="AA86" s="1006"/>
      <c r="AB86" s="1006"/>
      <c r="AC86" s="1006"/>
      <c r="AD86" s="1006"/>
      <c r="AE86" s="1006"/>
      <c r="AF86" s="1006"/>
      <c r="AG86" s="1006"/>
      <c r="AH86" s="1006"/>
      <c r="AI86" s="1006"/>
      <c r="AJ86" s="1006"/>
      <c r="AK86" s="1006"/>
      <c r="AL86" s="1006"/>
      <c r="AM86" s="1006"/>
    </row>
    <row r="87" spans="2:39">
      <c r="B87" s="1006"/>
      <c r="C87" s="1006"/>
      <c r="D87" s="1006"/>
      <c r="E87" s="1006"/>
      <c r="F87" s="1006"/>
      <c r="G87" s="1007"/>
      <c r="H87" s="1008"/>
      <c r="I87" s="1006"/>
      <c r="J87" s="1006"/>
      <c r="K87" s="1006"/>
      <c r="L87" s="1006"/>
      <c r="M87" s="1006"/>
      <c r="N87" s="1006"/>
      <c r="Z87" s="1006"/>
      <c r="AA87" s="1006"/>
      <c r="AB87" s="1006"/>
      <c r="AC87" s="1006"/>
      <c r="AD87" s="1006"/>
      <c r="AE87" s="1006"/>
      <c r="AF87" s="1006"/>
      <c r="AG87" s="1006"/>
      <c r="AH87" s="1006"/>
      <c r="AI87" s="1006"/>
      <c r="AJ87" s="1006"/>
      <c r="AK87" s="1006"/>
      <c r="AL87" s="1006"/>
      <c r="AM87" s="1006"/>
    </row>
    <row r="88" spans="2:39">
      <c r="B88" s="1006"/>
      <c r="C88" s="1006"/>
      <c r="D88" s="1006"/>
      <c r="E88" s="1006"/>
      <c r="F88" s="1006"/>
      <c r="G88" s="1007"/>
      <c r="H88" s="1008"/>
      <c r="I88" s="1006"/>
      <c r="J88" s="1006"/>
      <c r="K88" s="1006"/>
      <c r="L88" s="1006"/>
      <c r="M88" s="1006"/>
      <c r="N88" s="1006"/>
      <c r="Z88" s="1006"/>
      <c r="AA88" s="1006"/>
      <c r="AB88" s="1006"/>
      <c r="AC88" s="1006"/>
      <c r="AD88" s="1006"/>
      <c r="AE88" s="1006"/>
      <c r="AF88" s="1006"/>
      <c r="AG88" s="1006"/>
      <c r="AH88" s="1006"/>
      <c r="AI88" s="1006"/>
      <c r="AJ88" s="1006"/>
      <c r="AK88" s="1006"/>
      <c r="AL88" s="1006"/>
      <c r="AM88" s="1006"/>
    </row>
    <row r="89" spans="2:39">
      <c r="B89" s="1006"/>
      <c r="C89" s="1006"/>
      <c r="D89" s="1006"/>
      <c r="E89" s="1006"/>
      <c r="F89" s="1006"/>
      <c r="G89" s="1007"/>
      <c r="H89" s="1008"/>
      <c r="I89" s="1006"/>
      <c r="J89" s="1006"/>
      <c r="K89" s="1006"/>
      <c r="L89" s="1006"/>
      <c r="M89" s="1006"/>
      <c r="N89" s="1006"/>
      <c r="Z89" s="1006"/>
      <c r="AA89" s="1006"/>
      <c r="AB89" s="1006"/>
      <c r="AC89" s="1006"/>
      <c r="AD89" s="1006"/>
      <c r="AE89" s="1006"/>
      <c r="AF89" s="1006"/>
      <c r="AG89" s="1006"/>
      <c r="AH89" s="1006"/>
      <c r="AI89" s="1006"/>
      <c r="AJ89" s="1006"/>
      <c r="AK89" s="1006"/>
      <c r="AL89" s="1006"/>
      <c r="AM89" s="1006"/>
    </row>
    <row r="90" spans="2:39">
      <c r="B90" s="1006"/>
      <c r="C90" s="1006"/>
      <c r="D90" s="1006"/>
      <c r="E90" s="1006"/>
      <c r="F90" s="1006"/>
      <c r="G90" s="1007"/>
      <c r="H90" s="1008"/>
      <c r="I90" s="1006"/>
      <c r="J90" s="1006"/>
      <c r="K90" s="1006"/>
      <c r="L90" s="1006"/>
      <c r="M90" s="1006"/>
      <c r="N90" s="1006"/>
      <c r="Z90" s="1006"/>
      <c r="AA90" s="1006"/>
      <c r="AB90" s="1006"/>
      <c r="AC90" s="1006"/>
      <c r="AD90" s="1006"/>
      <c r="AE90" s="1006"/>
      <c r="AF90" s="1006"/>
      <c r="AG90" s="1006"/>
      <c r="AH90" s="1006"/>
      <c r="AI90" s="1006"/>
      <c r="AJ90" s="1006"/>
      <c r="AK90" s="1006"/>
      <c r="AL90" s="1006"/>
      <c r="AM90" s="1006"/>
    </row>
    <row r="91" spans="2:39">
      <c r="B91" s="1006"/>
      <c r="C91" s="1006"/>
      <c r="D91" s="1006"/>
      <c r="E91" s="1006"/>
      <c r="F91" s="1006"/>
      <c r="G91" s="1007"/>
      <c r="H91" s="1008"/>
      <c r="I91" s="1006"/>
      <c r="J91" s="1006"/>
      <c r="K91" s="1006"/>
      <c r="L91" s="1006"/>
      <c r="M91" s="1006"/>
      <c r="N91" s="1006"/>
      <c r="Z91" s="1006"/>
      <c r="AA91" s="1006"/>
      <c r="AB91" s="1006"/>
      <c r="AC91" s="1006"/>
      <c r="AD91" s="1006"/>
      <c r="AE91" s="1006"/>
      <c r="AF91" s="1006"/>
      <c r="AG91" s="1006"/>
      <c r="AH91" s="1006"/>
      <c r="AI91" s="1006"/>
      <c r="AJ91" s="1006"/>
      <c r="AK91" s="1006"/>
      <c r="AL91" s="1006"/>
      <c r="AM91" s="1006"/>
    </row>
    <row r="92" spans="2:39">
      <c r="B92" s="1006"/>
      <c r="C92" s="1006"/>
      <c r="D92" s="1006"/>
      <c r="E92" s="1006"/>
      <c r="F92" s="1006"/>
      <c r="G92" s="1007"/>
      <c r="H92" s="1008"/>
      <c r="I92" s="1006"/>
      <c r="J92" s="1006"/>
      <c r="K92" s="1006"/>
      <c r="L92" s="1006"/>
      <c r="M92" s="1006"/>
      <c r="N92" s="1006"/>
      <c r="Z92" s="1006"/>
      <c r="AA92" s="1006"/>
      <c r="AB92" s="1006"/>
      <c r="AC92" s="1006"/>
      <c r="AD92" s="1006"/>
      <c r="AE92" s="1006"/>
      <c r="AF92" s="1006"/>
      <c r="AG92" s="1006"/>
      <c r="AH92" s="1006"/>
      <c r="AI92" s="1006"/>
      <c r="AJ92" s="1006"/>
      <c r="AK92" s="1006"/>
      <c r="AL92" s="1006"/>
      <c r="AM92" s="1006"/>
    </row>
    <row r="93" spans="2:39">
      <c r="B93" s="1006"/>
      <c r="C93" s="1006"/>
      <c r="D93" s="1006"/>
      <c r="E93" s="1006"/>
      <c r="F93" s="1006"/>
      <c r="G93" s="1007"/>
      <c r="H93" s="1008"/>
      <c r="I93" s="1006"/>
      <c r="J93" s="1006"/>
      <c r="K93" s="1006"/>
      <c r="L93" s="1006"/>
      <c r="M93" s="1006"/>
      <c r="N93" s="1006"/>
      <c r="Z93" s="1006"/>
      <c r="AA93" s="1006"/>
      <c r="AB93" s="1006"/>
      <c r="AC93" s="1006"/>
      <c r="AD93" s="1006"/>
      <c r="AE93" s="1006"/>
      <c r="AF93" s="1006"/>
      <c r="AG93" s="1006"/>
      <c r="AH93" s="1006"/>
      <c r="AI93" s="1006"/>
      <c r="AJ93" s="1006"/>
      <c r="AK93" s="1006"/>
      <c r="AL93" s="1006"/>
      <c r="AM93" s="1006"/>
    </row>
    <row r="94" spans="2:39">
      <c r="B94" s="1006"/>
      <c r="C94" s="1006"/>
      <c r="D94" s="1006"/>
      <c r="E94" s="1006"/>
      <c r="F94" s="1006"/>
      <c r="G94" s="1007"/>
      <c r="H94" s="1008"/>
      <c r="I94" s="1006"/>
      <c r="J94" s="1006"/>
      <c r="K94" s="1006"/>
      <c r="L94" s="1006"/>
      <c r="M94" s="1006"/>
      <c r="N94" s="1006"/>
      <c r="Z94" s="1006"/>
      <c r="AA94" s="1006"/>
      <c r="AB94" s="1006"/>
      <c r="AC94" s="1006"/>
      <c r="AD94" s="1006"/>
      <c r="AE94" s="1006"/>
      <c r="AF94" s="1006"/>
      <c r="AG94" s="1006"/>
      <c r="AH94" s="1006"/>
      <c r="AI94" s="1006"/>
      <c r="AJ94" s="1006"/>
      <c r="AK94" s="1006"/>
      <c r="AL94" s="1006"/>
      <c r="AM94" s="1006"/>
    </row>
    <row r="95" spans="2:39">
      <c r="B95" s="1006"/>
      <c r="C95" s="1006"/>
      <c r="D95" s="1006"/>
      <c r="E95" s="1006"/>
      <c r="F95" s="1006"/>
      <c r="G95" s="1007"/>
      <c r="H95" s="1008"/>
      <c r="I95" s="1006"/>
      <c r="J95" s="1006"/>
      <c r="K95" s="1006"/>
      <c r="L95" s="1006"/>
      <c r="M95" s="1006"/>
      <c r="N95" s="1006"/>
      <c r="Z95" s="1006"/>
      <c r="AA95" s="1006"/>
      <c r="AB95" s="1006"/>
      <c r="AC95" s="1006"/>
      <c r="AD95" s="1006"/>
      <c r="AE95" s="1006"/>
      <c r="AF95" s="1006"/>
      <c r="AG95" s="1006"/>
      <c r="AH95" s="1006"/>
      <c r="AI95" s="1006"/>
      <c r="AJ95" s="1006"/>
      <c r="AK95" s="1006"/>
      <c r="AL95" s="1006"/>
      <c r="AM95" s="1006"/>
    </row>
    <row r="96" spans="2:39">
      <c r="B96" s="1006"/>
      <c r="C96" s="1006"/>
      <c r="D96" s="1006"/>
      <c r="E96" s="1006"/>
      <c r="F96" s="1006"/>
      <c r="G96" s="1007"/>
      <c r="H96" s="1008"/>
      <c r="I96" s="1006"/>
      <c r="J96" s="1006"/>
      <c r="K96" s="1006"/>
      <c r="L96" s="1006"/>
      <c r="M96" s="1006"/>
      <c r="N96" s="1006"/>
      <c r="Z96" s="1006"/>
      <c r="AA96" s="1006"/>
      <c r="AB96" s="1006"/>
      <c r="AC96" s="1006"/>
      <c r="AD96" s="1006"/>
      <c r="AE96" s="1006"/>
      <c r="AF96" s="1006"/>
      <c r="AG96" s="1006"/>
      <c r="AH96" s="1006"/>
      <c r="AI96" s="1006"/>
      <c r="AJ96" s="1006"/>
      <c r="AK96" s="1006"/>
      <c r="AL96" s="1006"/>
      <c r="AM96" s="1006"/>
    </row>
    <row r="97" spans="2:39">
      <c r="B97" s="1006"/>
      <c r="C97" s="1006"/>
      <c r="D97" s="1006"/>
      <c r="E97" s="1006"/>
      <c r="F97" s="1006"/>
      <c r="G97" s="1007"/>
      <c r="H97" s="1008"/>
      <c r="I97" s="1006"/>
      <c r="J97" s="1006"/>
      <c r="K97" s="1006"/>
      <c r="L97" s="1006"/>
      <c r="M97" s="1006"/>
      <c r="N97" s="1006"/>
      <c r="Z97" s="1006"/>
      <c r="AA97" s="1006"/>
      <c r="AB97" s="1006"/>
      <c r="AC97" s="1006"/>
      <c r="AD97" s="1006"/>
      <c r="AE97" s="1006"/>
      <c r="AF97" s="1006"/>
      <c r="AG97" s="1006"/>
      <c r="AH97" s="1006"/>
      <c r="AI97" s="1006"/>
      <c r="AJ97" s="1006"/>
      <c r="AK97" s="1006"/>
      <c r="AL97" s="1006"/>
      <c r="AM97" s="1006"/>
    </row>
    <row r="98" spans="2:39">
      <c r="B98" s="1006"/>
      <c r="C98" s="1006"/>
      <c r="D98" s="1006"/>
      <c r="E98" s="1006"/>
      <c r="F98" s="1006"/>
      <c r="G98" s="1007"/>
      <c r="H98" s="1008"/>
      <c r="I98" s="1006"/>
      <c r="J98" s="1006"/>
      <c r="K98" s="1006"/>
      <c r="L98" s="1006"/>
      <c r="M98" s="1006"/>
      <c r="N98" s="1006"/>
      <c r="Z98" s="1006"/>
      <c r="AA98" s="1006"/>
      <c r="AB98" s="1006"/>
      <c r="AC98" s="1006"/>
      <c r="AD98" s="1006"/>
      <c r="AE98" s="1006"/>
      <c r="AF98" s="1006"/>
      <c r="AG98" s="1006"/>
      <c r="AH98" s="1006"/>
      <c r="AI98" s="1006"/>
      <c r="AJ98" s="1006"/>
      <c r="AK98" s="1006"/>
      <c r="AL98" s="1006"/>
      <c r="AM98" s="1006"/>
    </row>
    <row r="99" spans="2:39">
      <c r="B99" s="1006"/>
      <c r="C99" s="1006"/>
      <c r="D99" s="1006"/>
      <c r="E99" s="1006"/>
      <c r="F99" s="1006"/>
      <c r="G99" s="1007"/>
      <c r="H99" s="1008"/>
      <c r="I99" s="1006"/>
      <c r="J99" s="1006"/>
      <c r="K99" s="1006"/>
      <c r="L99" s="1006"/>
      <c r="M99" s="1006"/>
      <c r="N99" s="1006"/>
      <c r="Z99" s="1006"/>
      <c r="AA99" s="1006"/>
      <c r="AB99" s="1006"/>
      <c r="AC99" s="1006"/>
      <c r="AD99" s="1006"/>
      <c r="AE99" s="1006"/>
      <c r="AF99" s="1006"/>
      <c r="AG99" s="1006"/>
      <c r="AH99" s="1006"/>
      <c r="AI99" s="1006"/>
      <c r="AJ99" s="1006"/>
      <c r="AK99" s="1006"/>
      <c r="AL99" s="1006"/>
      <c r="AM99" s="1006"/>
    </row>
    <row r="100" spans="2:39">
      <c r="B100" s="1006"/>
      <c r="C100" s="1006"/>
      <c r="D100" s="1006"/>
      <c r="E100" s="1006"/>
      <c r="F100" s="1006"/>
      <c r="G100" s="1007"/>
      <c r="H100" s="1008"/>
      <c r="I100" s="1006"/>
      <c r="J100" s="1006"/>
      <c r="K100" s="1006"/>
      <c r="L100" s="1006"/>
      <c r="M100" s="1006"/>
      <c r="N100" s="1006"/>
      <c r="Z100" s="1006"/>
      <c r="AA100" s="1006"/>
      <c r="AB100" s="1006"/>
      <c r="AC100" s="1006"/>
      <c r="AD100" s="1006"/>
      <c r="AE100" s="1006"/>
      <c r="AF100" s="1006"/>
      <c r="AG100" s="1006"/>
      <c r="AH100" s="1006"/>
      <c r="AI100" s="1006"/>
      <c r="AJ100" s="1006"/>
      <c r="AK100" s="1006"/>
      <c r="AL100" s="1006"/>
      <c r="AM100" s="1006"/>
    </row>
    <row r="101" spans="2:39">
      <c r="B101" s="1006"/>
      <c r="C101" s="1006"/>
      <c r="D101" s="1006"/>
      <c r="E101" s="1006"/>
      <c r="F101" s="1006"/>
      <c r="G101" s="1007"/>
      <c r="H101" s="1008"/>
      <c r="I101" s="1006"/>
      <c r="J101" s="1006"/>
      <c r="K101" s="1006"/>
      <c r="L101" s="1006"/>
      <c r="M101" s="1006"/>
      <c r="N101" s="1006"/>
      <c r="Z101" s="1006"/>
      <c r="AA101" s="1006"/>
      <c r="AB101" s="1006"/>
      <c r="AC101" s="1006"/>
      <c r="AD101" s="1006"/>
      <c r="AE101" s="1006"/>
      <c r="AF101" s="1006"/>
      <c r="AG101" s="1006"/>
      <c r="AH101" s="1006"/>
      <c r="AI101" s="1006"/>
      <c r="AJ101" s="1006"/>
      <c r="AK101" s="1006"/>
      <c r="AL101" s="1006"/>
      <c r="AM101" s="1006"/>
    </row>
    <row r="102" spans="2:39">
      <c r="B102" s="1006"/>
      <c r="C102" s="1006"/>
      <c r="D102" s="1006"/>
      <c r="E102" s="1006"/>
      <c r="F102" s="1006"/>
      <c r="G102" s="1007"/>
      <c r="H102" s="1008"/>
      <c r="I102" s="1006"/>
      <c r="J102" s="1006"/>
      <c r="K102" s="1006"/>
      <c r="L102" s="1006"/>
      <c r="M102" s="1006"/>
      <c r="N102" s="1006"/>
      <c r="Z102" s="1006"/>
      <c r="AA102" s="1006"/>
      <c r="AB102" s="1006"/>
      <c r="AC102" s="1006"/>
      <c r="AD102" s="1006"/>
      <c r="AE102" s="1006"/>
      <c r="AF102" s="1006"/>
      <c r="AG102" s="1006"/>
      <c r="AH102" s="1006"/>
      <c r="AI102" s="1006"/>
      <c r="AJ102" s="1006"/>
      <c r="AK102" s="1006"/>
      <c r="AL102" s="1006"/>
      <c r="AM102" s="1006"/>
    </row>
    <row r="103" spans="2:39">
      <c r="B103" s="1006"/>
      <c r="C103" s="1006"/>
      <c r="D103" s="1006"/>
      <c r="E103" s="1006"/>
      <c r="F103" s="1006"/>
      <c r="G103" s="1007"/>
      <c r="H103" s="1008"/>
      <c r="I103" s="1006"/>
      <c r="J103" s="1006"/>
      <c r="K103" s="1006"/>
      <c r="L103" s="1006"/>
      <c r="M103" s="1006"/>
      <c r="N103" s="1006"/>
      <c r="Z103" s="1006"/>
      <c r="AA103" s="1006"/>
      <c r="AB103" s="1006"/>
      <c r="AC103" s="1006"/>
      <c r="AD103" s="1006"/>
      <c r="AE103" s="1006"/>
      <c r="AF103" s="1006"/>
      <c r="AG103" s="1006"/>
      <c r="AH103" s="1006"/>
      <c r="AI103" s="1006"/>
      <c r="AJ103" s="1006"/>
      <c r="AK103" s="1006"/>
      <c r="AL103" s="1006"/>
      <c r="AM103" s="1006"/>
    </row>
    <row r="104" spans="2:39">
      <c r="B104" s="1006"/>
      <c r="C104" s="1006"/>
      <c r="D104" s="1006"/>
      <c r="E104" s="1006"/>
      <c r="F104" s="1006"/>
      <c r="G104" s="1007"/>
      <c r="H104" s="1008"/>
      <c r="I104" s="1006"/>
      <c r="J104" s="1006"/>
      <c r="K104" s="1006"/>
      <c r="L104" s="1006"/>
      <c r="M104" s="1006"/>
      <c r="N104" s="1006"/>
      <c r="Z104" s="1006"/>
      <c r="AA104" s="1006"/>
      <c r="AB104" s="1006"/>
      <c r="AC104" s="1006"/>
      <c r="AD104" s="1006"/>
      <c r="AE104" s="1006"/>
      <c r="AF104" s="1006"/>
      <c r="AG104" s="1006"/>
      <c r="AH104" s="1006"/>
      <c r="AI104" s="1006"/>
      <c r="AJ104" s="1006"/>
      <c r="AK104" s="1006"/>
      <c r="AL104" s="1006"/>
      <c r="AM104" s="1006"/>
    </row>
    <row r="105" spans="2:39">
      <c r="B105" s="1006"/>
      <c r="C105" s="1006"/>
      <c r="D105" s="1006"/>
      <c r="E105" s="1006"/>
      <c r="F105" s="1006"/>
      <c r="G105" s="1007"/>
      <c r="H105" s="1008"/>
      <c r="I105" s="1006"/>
      <c r="J105" s="1006"/>
      <c r="K105" s="1006"/>
      <c r="L105" s="1006"/>
      <c r="M105" s="1006"/>
      <c r="N105" s="1006"/>
      <c r="Z105" s="1006"/>
      <c r="AA105" s="1006"/>
      <c r="AB105" s="1006"/>
      <c r="AC105" s="1006"/>
      <c r="AD105" s="1006"/>
      <c r="AE105" s="1006"/>
      <c r="AF105" s="1006"/>
      <c r="AG105" s="1006"/>
      <c r="AH105" s="1006"/>
      <c r="AI105" s="1006"/>
      <c r="AJ105" s="1006"/>
      <c r="AK105" s="1006"/>
      <c r="AL105" s="1006"/>
      <c r="AM105" s="1006"/>
    </row>
    <row r="106" spans="2:39">
      <c r="B106" s="1006"/>
      <c r="C106" s="1006"/>
      <c r="D106" s="1006"/>
      <c r="E106" s="1006"/>
      <c r="F106" s="1006"/>
      <c r="G106" s="1007"/>
      <c r="H106" s="1008"/>
      <c r="I106" s="1006"/>
      <c r="J106" s="1006"/>
      <c r="K106" s="1006"/>
      <c r="L106" s="1006"/>
      <c r="M106" s="1006"/>
      <c r="N106" s="1006"/>
      <c r="Z106" s="1006"/>
      <c r="AA106" s="1006"/>
      <c r="AB106" s="1006"/>
      <c r="AC106" s="1006"/>
      <c r="AD106" s="1006"/>
      <c r="AE106" s="1006"/>
      <c r="AF106" s="1006"/>
      <c r="AG106" s="1006"/>
      <c r="AH106" s="1006"/>
      <c r="AI106" s="1006"/>
      <c r="AJ106" s="1006"/>
      <c r="AK106" s="1006"/>
      <c r="AL106" s="1006"/>
      <c r="AM106" s="1006"/>
    </row>
    <row r="107" spans="2:39">
      <c r="B107" s="1006"/>
      <c r="C107" s="1006"/>
      <c r="D107" s="1006"/>
      <c r="E107" s="1006"/>
      <c r="F107" s="1006"/>
      <c r="G107" s="1007"/>
      <c r="H107" s="1008"/>
      <c r="I107" s="1006"/>
      <c r="J107" s="1006"/>
      <c r="K107" s="1006"/>
      <c r="L107" s="1006"/>
      <c r="M107" s="1006"/>
      <c r="N107" s="1006"/>
      <c r="Z107" s="1006"/>
      <c r="AA107" s="1006"/>
      <c r="AB107" s="1006"/>
      <c r="AC107" s="1006"/>
      <c r="AD107" s="1006"/>
      <c r="AE107" s="1006"/>
      <c r="AF107" s="1006"/>
      <c r="AG107" s="1006"/>
      <c r="AH107" s="1006"/>
      <c r="AI107" s="1006"/>
      <c r="AJ107" s="1006"/>
      <c r="AK107" s="1006"/>
      <c r="AL107" s="1006"/>
      <c r="AM107" s="1006"/>
    </row>
    <row r="108" spans="2:39">
      <c r="B108" s="1006"/>
      <c r="C108" s="1006"/>
      <c r="D108" s="1006"/>
      <c r="E108" s="1006"/>
      <c r="F108" s="1006"/>
      <c r="G108" s="1007"/>
      <c r="H108" s="1008"/>
      <c r="I108" s="1006"/>
      <c r="J108" s="1006"/>
      <c r="K108" s="1006"/>
      <c r="L108" s="1006"/>
      <c r="M108" s="1006"/>
      <c r="N108" s="1006"/>
      <c r="Z108" s="1006"/>
      <c r="AA108" s="1006"/>
      <c r="AB108" s="1006"/>
      <c r="AC108" s="1006"/>
      <c r="AD108" s="1006"/>
      <c r="AE108" s="1006"/>
      <c r="AF108" s="1006"/>
      <c r="AG108" s="1006"/>
      <c r="AH108" s="1006"/>
      <c r="AI108" s="1006"/>
      <c r="AJ108" s="1006"/>
      <c r="AK108" s="1006"/>
      <c r="AL108" s="1006"/>
      <c r="AM108" s="1006"/>
    </row>
    <row r="109" spans="2:39">
      <c r="B109" s="1006"/>
      <c r="C109" s="1006"/>
      <c r="D109" s="1006"/>
      <c r="E109" s="1006"/>
      <c r="F109" s="1006"/>
      <c r="G109" s="1007"/>
      <c r="H109" s="1008"/>
      <c r="I109" s="1006"/>
      <c r="J109" s="1006"/>
      <c r="K109" s="1006"/>
      <c r="L109" s="1006"/>
      <c r="M109" s="1006"/>
      <c r="N109" s="1006"/>
      <c r="Z109" s="1006"/>
      <c r="AA109" s="1006"/>
      <c r="AB109" s="1006"/>
      <c r="AC109" s="1006"/>
      <c r="AD109" s="1006"/>
      <c r="AE109" s="1006"/>
      <c r="AF109" s="1006"/>
      <c r="AG109" s="1006"/>
      <c r="AH109" s="1006"/>
      <c r="AI109" s="1006"/>
      <c r="AJ109" s="1006"/>
      <c r="AK109" s="1006"/>
      <c r="AL109" s="1006"/>
      <c r="AM109" s="1006"/>
    </row>
    <row r="110" spans="2:39">
      <c r="B110" s="1006"/>
      <c r="C110" s="1006"/>
      <c r="D110" s="1006"/>
      <c r="E110" s="1006"/>
      <c r="F110" s="1006"/>
      <c r="G110" s="1007"/>
      <c r="H110" s="1008"/>
      <c r="I110" s="1006"/>
      <c r="J110" s="1006"/>
      <c r="K110" s="1006"/>
      <c r="L110" s="1006"/>
      <c r="M110" s="1006"/>
      <c r="N110" s="1006"/>
      <c r="Z110" s="1006"/>
      <c r="AA110" s="1006"/>
      <c r="AB110" s="1006"/>
      <c r="AC110" s="1006"/>
      <c r="AD110" s="1006"/>
      <c r="AE110" s="1006"/>
      <c r="AF110" s="1006"/>
      <c r="AG110" s="1006"/>
      <c r="AH110" s="1006"/>
      <c r="AI110" s="1006"/>
      <c r="AJ110" s="1006"/>
      <c r="AK110" s="1006"/>
      <c r="AL110" s="1006"/>
      <c r="AM110" s="1006"/>
    </row>
    <row r="111" spans="2:39">
      <c r="B111" s="1006"/>
      <c r="C111" s="1006"/>
      <c r="D111" s="1006"/>
      <c r="E111" s="1006"/>
      <c r="F111" s="1006"/>
      <c r="G111" s="1007"/>
      <c r="H111" s="1008"/>
      <c r="I111" s="1006"/>
      <c r="J111" s="1006"/>
      <c r="K111" s="1006"/>
      <c r="L111" s="1006"/>
      <c r="M111" s="1006"/>
      <c r="N111" s="1006"/>
      <c r="Z111" s="1006"/>
      <c r="AA111" s="1006"/>
      <c r="AB111" s="1006"/>
      <c r="AC111" s="1006"/>
      <c r="AD111" s="1006"/>
      <c r="AE111" s="1006"/>
      <c r="AF111" s="1006"/>
      <c r="AG111" s="1006"/>
      <c r="AH111" s="1006"/>
      <c r="AI111" s="1006"/>
      <c r="AJ111" s="1006"/>
      <c r="AK111" s="1006"/>
      <c r="AL111" s="1006"/>
      <c r="AM111" s="1006"/>
    </row>
    <row r="112" spans="2:39">
      <c r="B112" s="1006"/>
      <c r="C112" s="1006"/>
      <c r="D112" s="1006"/>
      <c r="E112" s="1006"/>
      <c r="F112" s="1006"/>
      <c r="G112" s="1007"/>
      <c r="H112" s="1008"/>
      <c r="I112" s="1006"/>
      <c r="J112" s="1006"/>
      <c r="K112" s="1006"/>
      <c r="L112" s="1006"/>
      <c r="M112" s="1006"/>
      <c r="N112" s="1006"/>
      <c r="Z112" s="1006"/>
      <c r="AA112" s="1006"/>
      <c r="AB112" s="1006"/>
      <c r="AC112" s="1006"/>
      <c r="AD112" s="1006"/>
      <c r="AE112" s="1006"/>
      <c r="AF112" s="1006"/>
      <c r="AG112" s="1006"/>
      <c r="AH112" s="1006"/>
      <c r="AI112" s="1006"/>
      <c r="AJ112" s="1006"/>
      <c r="AK112" s="1006"/>
      <c r="AL112" s="1006"/>
      <c r="AM112" s="1006"/>
    </row>
    <row r="113" spans="2:39">
      <c r="B113" s="1006"/>
      <c r="C113" s="1006"/>
      <c r="D113" s="1006"/>
      <c r="E113" s="1006"/>
      <c r="F113" s="1006"/>
      <c r="G113" s="1007"/>
      <c r="H113" s="1008"/>
      <c r="I113" s="1006"/>
      <c r="J113" s="1006"/>
      <c r="K113" s="1006"/>
      <c r="L113" s="1006"/>
      <c r="M113" s="1006"/>
      <c r="N113" s="1006"/>
      <c r="Z113" s="1006"/>
      <c r="AA113" s="1006"/>
      <c r="AB113" s="1006"/>
      <c r="AC113" s="1006"/>
      <c r="AD113" s="1006"/>
      <c r="AE113" s="1006"/>
      <c r="AF113" s="1006"/>
      <c r="AG113" s="1006"/>
      <c r="AH113" s="1006"/>
      <c r="AI113" s="1006"/>
      <c r="AJ113" s="1006"/>
      <c r="AK113" s="1006"/>
      <c r="AL113" s="1006"/>
      <c r="AM113" s="1006"/>
    </row>
    <row r="114" spans="2:39">
      <c r="B114" s="1006"/>
      <c r="C114" s="1006"/>
      <c r="D114" s="1006"/>
      <c r="E114" s="1006"/>
      <c r="F114" s="1006"/>
      <c r="G114" s="1007"/>
      <c r="H114" s="1008"/>
      <c r="I114" s="1006"/>
      <c r="J114" s="1006"/>
      <c r="K114" s="1006"/>
      <c r="L114" s="1006"/>
      <c r="M114" s="1006"/>
      <c r="N114" s="1006"/>
      <c r="Z114" s="1006"/>
      <c r="AA114" s="1006"/>
      <c r="AB114" s="1006"/>
      <c r="AC114" s="1006"/>
      <c r="AD114" s="1006"/>
      <c r="AE114" s="1006"/>
      <c r="AF114" s="1006"/>
      <c r="AG114" s="1006"/>
      <c r="AH114" s="1006"/>
      <c r="AI114" s="1006"/>
      <c r="AJ114" s="1006"/>
      <c r="AK114" s="1006"/>
      <c r="AL114" s="1006"/>
      <c r="AM114" s="1006"/>
    </row>
    <row r="115" spans="2:39">
      <c r="B115" s="1006"/>
      <c r="C115" s="1006"/>
      <c r="D115" s="1006"/>
      <c r="E115" s="1006"/>
      <c r="F115" s="1006"/>
      <c r="G115" s="1007"/>
      <c r="H115" s="1008"/>
      <c r="I115" s="1006"/>
      <c r="J115" s="1006"/>
      <c r="K115" s="1006"/>
      <c r="L115" s="1006"/>
      <c r="M115" s="1006"/>
      <c r="N115" s="1006"/>
      <c r="Z115" s="1006"/>
      <c r="AA115" s="1006"/>
      <c r="AB115" s="1006"/>
      <c r="AC115" s="1006"/>
      <c r="AD115" s="1006"/>
      <c r="AE115" s="1006"/>
      <c r="AF115" s="1006"/>
      <c r="AG115" s="1006"/>
      <c r="AH115" s="1006"/>
      <c r="AI115" s="1006"/>
      <c r="AJ115" s="1006"/>
      <c r="AK115" s="1006"/>
      <c r="AL115" s="1006"/>
      <c r="AM115" s="1006"/>
    </row>
    <row r="116" spans="2:39">
      <c r="B116" s="1006"/>
      <c r="C116" s="1006"/>
      <c r="D116" s="1006"/>
      <c r="E116" s="1006"/>
      <c r="F116" s="1006"/>
      <c r="G116" s="1007"/>
      <c r="H116" s="1008"/>
      <c r="I116" s="1006"/>
      <c r="J116" s="1006"/>
      <c r="K116" s="1006"/>
      <c r="L116" s="1006"/>
      <c r="M116" s="1006"/>
      <c r="N116" s="1006"/>
      <c r="Z116" s="1006"/>
      <c r="AA116" s="1006"/>
      <c r="AB116" s="1006"/>
      <c r="AC116" s="1006"/>
      <c r="AD116" s="1006"/>
      <c r="AE116" s="1006"/>
      <c r="AF116" s="1006"/>
      <c r="AG116" s="1006"/>
      <c r="AH116" s="1006"/>
      <c r="AI116" s="1006"/>
      <c r="AJ116" s="1006"/>
      <c r="AK116" s="1006"/>
      <c r="AL116" s="1006"/>
      <c r="AM116" s="1006"/>
    </row>
    <row r="117" spans="2:39">
      <c r="B117" s="1006"/>
      <c r="C117" s="1006"/>
      <c r="D117" s="1006"/>
      <c r="E117" s="1006"/>
      <c r="F117" s="1006"/>
      <c r="G117" s="1007"/>
      <c r="H117" s="1008"/>
      <c r="I117" s="1006"/>
      <c r="J117" s="1006"/>
      <c r="K117" s="1006"/>
      <c r="L117" s="1006"/>
      <c r="M117" s="1006"/>
      <c r="N117" s="1006"/>
      <c r="Z117" s="1006"/>
      <c r="AA117" s="1006"/>
      <c r="AB117" s="1006"/>
      <c r="AC117" s="1006"/>
      <c r="AD117" s="1006"/>
      <c r="AE117" s="1006"/>
      <c r="AF117" s="1006"/>
      <c r="AG117" s="1006"/>
      <c r="AH117" s="1006"/>
      <c r="AI117" s="1006"/>
      <c r="AJ117" s="1006"/>
      <c r="AK117" s="1006"/>
      <c r="AL117" s="1006"/>
      <c r="AM117" s="1006"/>
    </row>
    <row r="118" spans="2:39">
      <c r="B118" s="1006"/>
      <c r="C118" s="1006"/>
      <c r="D118" s="1006"/>
      <c r="E118" s="1006"/>
      <c r="F118" s="1006"/>
      <c r="G118" s="1007"/>
      <c r="H118" s="1008"/>
      <c r="I118" s="1006"/>
      <c r="J118" s="1006"/>
      <c r="K118" s="1006"/>
      <c r="L118" s="1006"/>
      <c r="M118" s="1006"/>
      <c r="N118" s="1006"/>
      <c r="Z118" s="1006"/>
      <c r="AA118" s="1006"/>
      <c r="AB118" s="1006"/>
      <c r="AC118" s="1006"/>
      <c r="AD118" s="1006"/>
      <c r="AE118" s="1006"/>
      <c r="AF118" s="1006"/>
      <c r="AG118" s="1006"/>
      <c r="AH118" s="1006"/>
      <c r="AI118" s="1006"/>
      <c r="AJ118" s="1006"/>
      <c r="AK118" s="1006"/>
      <c r="AL118" s="1006"/>
      <c r="AM118" s="1006"/>
    </row>
    <row r="119" spans="2:39">
      <c r="B119" s="1006"/>
      <c r="C119" s="1006"/>
      <c r="D119" s="1006"/>
      <c r="E119" s="1006"/>
      <c r="F119" s="1006"/>
      <c r="G119" s="1007"/>
      <c r="H119" s="1008"/>
      <c r="I119" s="1006"/>
      <c r="J119" s="1006"/>
      <c r="K119" s="1006"/>
      <c r="L119" s="1006"/>
      <c r="M119" s="1006"/>
      <c r="N119" s="1006"/>
      <c r="Z119" s="1006"/>
      <c r="AA119" s="1006"/>
      <c r="AB119" s="1006"/>
      <c r="AC119" s="1006"/>
      <c r="AD119" s="1006"/>
      <c r="AE119" s="1006"/>
      <c r="AF119" s="1006"/>
      <c r="AG119" s="1006"/>
      <c r="AH119" s="1006"/>
      <c r="AI119" s="1006"/>
      <c r="AJ119" s="1006"/>
      <c r="AK119" s="1006"/>
      <c r="AL119" s="1006"/>
      <c r="AM119" s="1006"/>
    </row>
    <row r="120" spans="2:39">
      <c r="B120" s="1006"/>
      <c r="C120" s="1006"/>
      <c r="D120" s="1006"/>
      <c r="E120" s="1006"/>
      <c r="F120" s="1006"/>
      <c r="G120" s="1007"/>
      <c r="H120" s="1008"/>
      <c r="I120" s="1006"/>
      <c r="J120" s="1006"/>
      <c r="K120" s="1006"/>
      <c r="L120" s="1006"/>
      <c r="M120" s="1006"/>
      <c r="N120" s="1006"/>
    </row>
  </sheetData>
  <sheetProtection algorithmName="SHA-512" hashValue="G07fL+N30IpZ+j9A7shCQ02cAZE6IXEGWO1vBAybqqw+SFAHJyikWiDpVZml80TKdsgh+zEWqK3aFOjGxJNr+g==" saltValue="sUFz3DoQmYRidrCrXZulWA==" spinCount="100000" sheet="1" objects="1" scenarios="1"/>
  <mergeCells count="1">
    <mergeCell ref="D3:G4"/>
  </mergeCells>
  <conditionalFormatting sqref="B8:N57">
    <cfRule type="expression" dxfId="2" priority="1">
      <formula>B8=""</formula>
    </cfRule>
  </conditionalFormatting>
  <dataValidations count="4">
    <dataValidation type="list" allowBlank="1" showInputMessage="1" sqref="WVO983048:WVO983097 IZ8:IZ57 SV8:SV57 ACR8:ACR57 AMN8:AMN57 AWJ8:AWJ57 BGF8:BGF57 BQB8:BQB57 BZX8:BZX57 CJT8:CJT57 CTP8:CTP57 DDL8:DDL57 DNH8:DNH57 DXD8:DXD57 EGZ8:EGZ57 EQV8:EQV57 FAR8:FAR57 FKN8:FKN57 FUJ8:FUJ57 GEF8:GEF57 GOB8:GOB57 GXX8:GXX57 HHT8:HHT57 HRP8:HRP57 IBL8:IBL57 ILH8:ILH57 IVD8:IVD57 JEZ8:JEZ57 JOV8:JOV57 JYR8:JYR57 KIN8:KIN57 KSJ8:KSJ57 LCF8:LCF57 LMB8:LMB57 LVX8:LVX57 MFT8:MFT57 MPP8:MPP57 MZL8:MZL57 NJH8:NJH57 NTD8:NTD57 OCZ8:OCZ57 OMV8:OMV57 OWR8:OWR57 PGN8:PGN57 PQJ8:PQJ57 QAF8:QAF57 QKB8:QKB57 QTX8:QTX57 RDT8:RDT57 RNP8:RNP57 RXL8:RXL57 SHH8:SHH57 SRD8:SRD57 TAZ8:TAZ57 TKV8:TKV57 TUR8:TUR57 UEN8:UEN57 UOJ8:UOJ57 UYF8:UYF57 VIB8:VIB57 VRX8:VRX57 WBT8:WBT57 WLP8:WLP57 WVL8:WVL57 D65544:D65593 IZ65544:IZ65593 SV65544:SV65593 ACR65544:ACR65593 AMN65544:AMN65593 AWJ65544:AWJ65593 BGF65544:BGF65593 BQB65544:BQB65593 BZX65544:BZX65593 CJT65544:CJT65593 CTP65544:CTP65593 DDL65544:DDL65593 DNH65544:DNH65593 DXD65544:DXD65593 EGZ65544:EGZ65593 EQV65544:EQV65593 FAR65544:FAR65593 FKN65544:FKN65593 FUJ65544:FUJ65593 GEF65544:GEF65593 GOB65544:GOB65593 GXX65544:GXX65593 HHT65544:HHT65593 HRP65544:HRP65593 IBL65544:IBL65593 ILH65544:ILH65593 IVD65544:IVD65593 JEZ65544:JEZ65593 JOV65544:JOV65593 JYR65544:JYR65593 KIN65544:KIN65593 KSJ65544:KSJ65593 LCF65544:LCF65593 LMB65544:LMB65593 LVX65544:LVX65593 MFT65544:MFT65593 MPP65544:MPP65593 MZL65544:MZL65593 NJH65544:NJH65593 NTD65544:NTD65593 OCZ65544:OCZ65593 OMV65544:OMV65593 OWR65544:OWR65593 PGN65544:PGN65593 PQJ65544:PQJ65593 QAF65544:QAF65593 QKB65544:QKB65593 QTX65544:QTX65593 RDT65544:RDT65593 RNP65544:RNP65593 RXL65544:RXL65593 SHH65544:SHH65593 SRD65544:SRD65593 TAZ65544:TAZ65593 TKV65544:TKV65593 TUR65544:TUR65593 UEN65544:UEN65593 UOJ65544:UOJ65593 UYF65544:UYF65593 VIB65544:VIB65593 VRX65544:VRX65593 WBT65544:WBT65593 WLP65544:WLP65593 WVL65544:WVL65593 D131080:D131129 IZ131080:IZ131129 SV131080:SV131129 ACR131080:ACR131129 AMN131080:AMN131129 AWJ131080:AWJ131129 BGF131080:BGF131129 BQB131080:BQB131129 BZX131080:BZX131129 CJT131080:CJT131129 CTP131080:CTP131129 DDL131080:DDL131129 DNH131080:DNH131129 DXD131080:DXD131129 EGZ131080:EGZ131129 EQV131080:EQV131129 FAR131080:FAR131129 FKN131080:FKN131129 FUJ131080:FUJ131129 GEF131080:GEF131129 GOB131080:GOB131129 GXX131080:GXX131129 HHT131080:HHT131129 HRP131080:HRP131129 IBL131080:IBL131129 ILH131080:ILH131129 IVD131080:IVD131129 JEZ131080:JEZ131129 JOV131080:JOV131129 JYR131080:JYR131129 KIN131080:KIN131129 KSJ131080:KSJ131129 LCF131080:LCF131129 LMB131080:LMB131129 LVX131080:LVX131129 MFT131080:MFT131129 MPP131080:MPP131129 MZL131080:MZL131129 NJH131080:NJH131129 NTD131080:NTD131129 OCZ131080:OCZ131129 OMV131080:OMV131129 OWR131080:OWR131129 PGN131080:PGN131129 PQJ131080:PQJ131129 QAF131080:QAF131129 QKB131080:QKB131129 QTX131080:QTX131129 RDT131080:RDT131129 RNP131080:RNP131129 RXL131080:RXL131129 SHH131080:SHH131129 SRD131080:SRD131129 TAZ131080:TAZ131129 TKV131080:TKV131129 TUR131080:TUR131129 UEN131080:UEN131129 UOJ131080:UOJ131129 UYF131080:UYF131129 VIB131080:VIB131129 VRX131080:VRX131129 WBT131080:WBT131129 WLP131080:WLP131129 WVL131080:WVL131129 D196616:D196665 IZ196616:IZ196665 SV196616:SV196665 ACR196616:ACR196665 AMN196616:AMN196665 AWJ196616:AWJ196665 BGF196616:BGF196665 BQB196616:BQB196665 BZX196616:BZX196665 CJT196616:CJT196665 CTP196616:CTP196665 DDL196616:DDL196665 DNH196616:DNH196665 DXD196616:DXD196665 EGZ196616:EGZ196665 EQV196616:EQV196665 FAR196616:FAR196665 FKN196616:FKN196665 FUJ196616:FUJ196665 GEF196616:GEF196665 GOB196616:GOB196665 GXX196616:GXX196665 HHT196616:HHT196665 HRP196616:HRP196665 IBL196616:IBL196665 ILH196616:ILH196665 IVD196616:IVD196665 JEZ196616:JEZ196665 JOV196616:JOV196665 JYR196616:JYR196665 KIN196616:KIN196665 KSJ196616:KSJ196665 LCF196616:LCF196665 LMB196616:LMB196665 LVX196616:LVX196665 MFT196616:MFT196665 MPP196616:MPP196665 MZL196616:MZL196665 NJH196616:NJH196665 NTD196616:NTD196665 OCZ196616:OCZ196665 OMV196616:OMV196665 OWR196616:OWR196665 PGN196616:PGN196665 PQJ196616:PQJ196665 QAF196616:QAF196665 QKB196616:QKB196665 QTX196616:QTX196665 RDT196616:RDT196665 RNP196616:RNP196665 RXL196616:RXL196665 SHH196616:SHH196665 SRD196616:SRD196665 TAZ196616:TAZ196665 TKV196616:TKV196665 TUR196616:TUR196665 UEN196616:UEN196665 UOJ196616:UOJ196665 UYF196616:UYF196665 VIB196616:VIB196665 VRX196616:VRX196665 WBT196616:WBT196665 WLP196616:WLP196665 WVL196616:WVL196665 D262152:D262201 IZ262152:IZ262201 SV262152:SV262201 ACR262152:ACR262201 AMN262152:AMN262201 AWJ262152:AWJ262201 BGF262152:BGF262201 BQB262152:BQB262201 BZX262152:BZX262201 CJT262152:CJT262201 CTP262152:CTP262201 DDL262152:DDL262201 DNH262152:DNH262201 DXD262152:DXD262201 EGZ262152:EGZ262201 EQV262152:EQV262201 FAR262152:FAR262201 FKN262152:FKN262201 FUJ262152:FUJ262201 GEF262152:GEF262201 GOB262152:GOB262201 GXX262152:GXX262201 HHT262152:HHT262201 HRP262152:HRP262201 IBL262152:IBL262201 ILH262152:ILH262201 IVD262152:IVD262201 JEZ262152:JEZ262201 JOV262152:JOV262201 JYR262152:JYR262201 KIN262152:KIN262201 KSJ262152:KSJ262201 LCF262152:LCF262201 LMB262152:LMB262201 LVX262152:LVX262201 MFT262152:MFT262201 MPP262152:MPP262201 MZL262152:MZL262201 NJH262152:NJH262201 NTD262152:NTD262201 OCZ262152:OCZ262201 OMV262152:OMV262201 OWR262152:OWR262201 PGN262152:PGN262201 PQJ262152:PQJ262201 QAF262152:QAF262201 QKB262152:QKB262201 QTX262152:QTX262201 RDT262152:RDT262201 RNP262152:RNP262201 RXL262152:RXL262201 SHH262152:SHH262201 SRD262152:SRD262201 TAZ262152:TAZ262201 TKV262152:TKV262201 TUR262152:TUR262201 UEN262152:UEN262201 UOJ262152:UOJ262201 UYF262152:UYF262201 VIB262152:VIB262201 VRX262152:VRX262201 WBT262152:WBT262201 WLP262152:WLP262201 WVL262152:WVL262201 D327688:D327737 IZ327688:IZ327737 SV327688:SV327737 ACR327688:ACR327737 AMN327688:AMN327737 AWJ327688:AWJ327737 BGF327688:BGF327737 BQB327688:BQB327737 BZX327688:BZX327737 CJT327688:CJT327737 CTP327688:CTP327737 DDL327688:DDL327737 DNH327688:DNH327737 DXD327688:DXD327737 EGZ327688:EGZ327737 EQV327688:EQV327737 FAR327688:FAR327737 FKN327688:FKN327737 FUJ327688:FUJ327737 GEF327688:GEF327737 GOB327688:GOB327737 GXX327688:GXX327737 HHT327688:HHT327737 HRP327688:HRP327737 IBL327688:IBL327737 ILH327688:ILH327737 IVD327688:IVD327737 JEZ327688:JEZ327737 JOV327688:JOV327737 JYR327688:JYR327737 KIN327688:KIN327737 KSJ327688:KSJ327737 LCF327688:LCF327737 LMB327688:LMB327737 LVX327688:LVX327737 MFT327688:MFT327737 MPP327688:MPP327737 MZL327688:MZL327737 NJH327688:NJH327737 NTD327688:NTD327737 OCZ327688:OCZ327737 OMV327688:OMV327737 OWR327688:OWR327737 PGN327688:PGN327737 PQJ327688:PQJ327737 QAF327688:QAF327737 QKB327688:QKB327737 QTX327688:QTX327737 RDT327688:RDT327737 RNP327688:RNP327737 RXL327688:RXL327737 SHH327688:SHH327737 SRD327688:SRD327737 TAZ327688:TAZ327737 TKV327688:TKV327737 TUR327688:TUR327737 UEN327688:UEN327737 UOJ327688:UOJ327737 UYF327688:UYF327737 VIB327688:VIB327737 VRX327688:VRX327737 WBT327688:WBT327737 WLP327688:WLP327737 WVL327688:WVL327737 D393224:D393273 IZ393224:IZ393273 SV393224:SV393273 ACR393224:ACR393273 AMN393224:AMN393273 AWJ393224:AWJ393273 BGF393224:BGF393273 BQB393224:BQB393273 BZX393224:BZX393273 CJT393224:CJT393273 CTP393224:CTP393273 DDL393224:DDL393273 DNH393224:DNH393273 DXD393224:DXD393273 EGZ393224:EGZ393273 EQV393224:EQV393273 FAR393224:FAR393273 FKN393224:FKN393273 FUJ393224:FUJ393273 GEF393224:GEF393273 GOB393224:GOB393273 GXX393224:GXX393273 HHT393224:HHT393273 HRP393224:HRP393273 IBL393224:IBL393273 ILH393224:ILH393273 IVD393224:IVD393273 JEZ393224:JEZ393273 JOV393224:JOV393273 JYR393224:JYR393273 KIN393224:KIN393273 KSJ393224:KSJ393273 LCF393224:LCF393273 LMB393224:LMB393273 LVX393224:LVX393273 MFT393224:MFT393273 MPP393224:MPP393273 MZL393224:MZL393273 NJH393224:NJH393273 NTD393224:NTD393273 OCZ393224:OCZ393273 OMV393224:OMV393273 OWR393224:OWR393273 PGN393224:PGN393273 PQJ393224:PQJ393273 QAF393224:QAF393273 QKB393224:QKB393273 QTX393224:QTX393273 RDT393224:RDT393273 RNP393224:RNP393273 RXL393224:RXL393273 SHH393224:SHH393273 SRD393224:SRD393273 TAZ393224:TAZ393273 TKV393224:TKV393273 TUR393224:TUR393273 UEN393224:UEN393273 UOJ393224:UOJ393273 UYF393224:UYF393273 VIB393224:VIB393273 VRX393224:VRX393273 WBT393224:WBT393273 WLP393224:WLP393273 WVL393224:WVL393273 D458760:D458809 IZ458760:IZ458809 SV458760:SV458809 ACR458760:ACR458809 AMN458760:AMN458809 AWJ458760:AWJ458809 BGF458760:BGF458809 BQB458760:BQB458809 BZX458760:BZX458809 CJT458760:CJT458809 CTP458760:CTP458809 DDL458760:DDL458809 DNH458760:DNH458809 DXD458760:DXD458809 EGZ458760:EGZ458809 EQV458760:EQV458809 FAR458760:FAR458809 FKN458760:FKN458809 FUJ458760:FUJ458809 GEF458760:GEF458809 GOB458760:GOB458809 GXX458760:GXX458809 HHT458760:HHT458809 HRP458760:HRP458809 IBL458760:IBL458809 ILH458760:ILH458809 IVD458760:IVD458809 JEZ458760:JEZ458809 JOV458760:JOV458809 JYR458760:JYR458809 KIN458760:KIN458809 KSJ458760:KSJ458809 LCF458760:LCF458809 LMB458760:LMB458809 LVX458760:LVX458809 MFT458760:MFT458809 MPP458760:MPP458809 MZL458760:MZL458809 NJH458760:NJH458809 NTD458760:NTD458809 OCZ458760:OCZ458809 OMV458760:OMV458809 OWR458760:OWR458809 PGN458760:PGN458809 PQJ458760:PQJ458809 QAF458760:QAF458809 QKB458760:QKB458809 QTX458760:QTX458809 RDT458760:RDT458809 RNP458760:RNP458809 RXL458760:RXL458809 SHH458760:SHH458809 SRD458760:SRD458809 TAZ458760:TAZ458809 TKV458760:TKV458809 TUR458760:TUR458809 UEN458760:UEN458809 UOJ458760:UOJ458809 UYF458760:UYF458809 VIB458760:VIB458809 VRX458760:VRX458809 WBT458760:WBT458809 WLP458760:WLP458809 WVL458760:WVL458809 D524296:D524345 IZ524296:IZ524345 SV524296:SV524345 ACR524296:ACR524345 AMN524296:AMN524345 AWJ524296:AWJ524345 BGF524296:BGF524345 BQB524296:BQB524345 BZX524296:BZX524345 CJT524296:CJT524345 CTP524296:CTP524345 DDL524296:DDL524345 DNH524296:DNH524345 DXD524296:DXD524345 EGZ524296:EGZ524345 EQV524296:EQV524345 FAR524296:FAR524345 FKN524296:FKN524345 FUJ524296:FUJ524345 GEF524296:GEF524345 GOB524296:GOB524345 GXX524296:GXX524345 HHT524296:HHT524345 HRP524296:HRP524345 IBL524296:IBL524345 ILH524296:ILH524345 IVD524296:IVD524345 JEZ524296:JEZ524345 JOV524296:JOV524345 JYR524296:JYR524345 KIN524296:KIN524345 KSJ524296:KSJ524345 LCF524296:LCF524345 LMB524296:LMB524345 LVX524296:LVX524345 MFT524296:MFT524345 MPP524296:MPP524345 MZL524296:MZL524345 NJH524296:NJH524345 NTD524296:NTD524345 OCZ524296:OCZ524345 OMV524296:OMV524345 OWR524296:OWR524345 PGN524296:PGN524345 PQJ524296:PQJ524345 QAF524296:QAF524345 QKB524296:QKB524345 QTX524296:QTX524345 RDT524296:RDT524345 RNP524296:RNP524345 RXL524296:RXL524345 SHH524296:SHH524345 SRD524296:SRD524345 TAZ524296:TAZ524345 TKV524296:TKV524345 TUR524296:TUR524345 UEN524296:UEN524345 UOJ524296:UOJ524345 UYF524296:UYF524345 VIB524296:VIB524345 VRX524296:VRX524345 WBT524296:WBT524345 WLP524296:WLP524345 WVL524296:WVL524345 D589832:D589881 IZ589832:IZ589881 SV589832:SV589881 ACR589832:ACR589881 AMN589832:AMN589881 AWJ589832:AWJ589881 BGF589832:BGF589881 BQB589832:BQB589881 BZX589832:BZX589881 CJT589832:CJT589881 CTP589832:CTP589881 DDL589832:DDL589881 DNH589832:DNH589881 DXD589832:DXD589881 EGZ589832:EGZ589881 EQV589832:EQV589881 FAR589832:FAR589881 FKN589832:FKN589881 FUJ589832:FUJ589881 GEF589832:GEF589881 GOB589832:GOB589881 GXX589832:GXX589881 HHT589832:HHT589881 HRP589832:HRP589881 IBL589832:IBL589881 ILH589832:ILH589881 IVD589832:IVD589881 JEZ589832:JEZ589881 JOV589832:JOV589881 JYR589832:JYR589881 KIN589832:KIN589881 KSJ589832:KSJ589881 LCF589832:LCF589881 LMB589832:LMB589881 LVX589832:LVX589881 MFT589832:MFT589881 MPP589832:MPP589881 MZL589832:MZL589881 NJH589832:NJH589881 NTD589832:NTD589881 OCZ589832:OCZ589881 OMV589832:OMV589881 OWR589832:OWR589881 PGN589832:PGN589881 PQJ589832:PQJ589881 QAF589832:QAF589881 QKB589832:QKB589881 QTX589832:QTX589881 RDT589832:RDT589881 RNP589832:RNP589881 RXL589832:RXL589881 SHH589832:SHH589881 SRD589832:SRD589881 TAZ589832:TAZ589881 TKV589832:TKV589881 TUR589832:TUR589881 UEN589832:UEN589881 UOJ589832:UOJ589881 UYF589832:UYF589881 VIB589832:VIB589881 VRX589832:VRX589881 WBT589832:WBT589881 WLP589832:WLP589881 WVL589832:WVL589881 D655368:D655417 IZ655368:IZ655417 SV655368:SV655417 ACR655368:ACR655417 AMN655368:AMN655417 AWJ655368:AWJ655417 BGF655368:BGF655417 BQB655368:BQB655417 BZX655368:BZX655417 CJT655368:CJT655417 CTP655368:CTP655417 DDL655368:DDL655417 DNH655368:DNH655417 DXD655368:DXD655417 EGZ655368:EGZ655417 EQV655368:EQV655417 FAR655368:FAR655417 FKN655368:FKN655417 FUJ655368:FUJ655417 GEF655368:GEF655417 GOB655368:GOB655417 GXX655368:GXX655417 HHT655368:HHT655417 HRP655368:HRP655417 IBL655368:IBL655417 ILH655368:ILH655417 IVD655368:IVD655417 JEZ655368:JEZ655417 JOV655368:JOV655417 JYR655368:JYR655417 KIN655368:KIN655417 KSJ655368:KSJ655417 LCF655368:LCF655417 LMB655368:LMB655417 LVX655368:LVX655417 MFT655368:MFT655417 MPP655368:MPP655417 MZL655368:MZL655417 NJH655368:NJH655417 NTD655368:NTD655417 OCZ655368:OCZ655417 OMV655368:OMV655417 OWR655368:OWR655417 PGN655368:PGN655417 PQJ655368:PQJ655417 QAF655368:QAF655417 QKB655368:QKB655417 QTX655368:QTX655417 RDT655368:RDT655417 RNP655368:RNP655417 RXL655368:RXL655417 SHH655368:SHH655417 SRD655368:SRD655417 TAZ655368:TAZ655417 TKV655368:TKV655417 TUR655368:TUR655417 UEN655368:UEN655417 UOJ655368:UOJ655417 UYF655368:UYF655417 VIB655368:VIB655417 VRX655368:VRX655417 WBT655368:WBT655417 WLP655368:WLP655417 WVL655368:WVL655417 D720904:D720953 IZ720904:IZ720953 SV720904:SV720953 ACR720904:ACR720953 AMN720904:AMN720953 AWJ720904:AWJ720953 BGF720904:BGF720953 BQB720904:BQB720953 BZX720904:BZX720953 CJT720904:CJT720953 CTP720904:CTP720953 DDL720904:DDL720953 DNH720904:DNH720953 DXD720904:DXD720953 EGZ720904:EGZ720953 EQV720904:EQV720953 FAR720904:FAR720953 FKN720904:FKN720953 FUJ720904:FUJ720953 GEF720904:GEF720953 GOB720904:GOB720953 GXX720904:GXX720953 HHT720904:HHT720953 HRP720904:HRP720953 IBL720904:IBL720953 ILH720904:ILH720953 IVD720904:IVD720953 JEZ720904:JEZ720953 JOV720904:JOV720953 JYR720904:JYR720953 KIN720904:KIN720953 KSJ720904:KSJ720953 LCF720904:LCF720953 LMB720904:LMB720953 LVX720904:LVX720953 MFT720904:MFT720953 MPP720904:MPP720953 MZL720904:MZL720953 NJH720904:NJH720953 NTD720904:NTD720953 OCZ720904:OCZ720953 OMV720904:OMV720953 OWR720904:OWR720953 PGN720904:PGN720953 PQJ720904:PQJ720953 QAF720904:QAF720953 QKB720904:QKB720953 QTX720904:QTX720953 RDT720904:RDT720953 RNP720904:RNP720953 RXL720904:RXL720953 SHH720904:SHH720953 SRD720904:SRD720953 TAZ720904:TAZ720953 TKV720904:TKV720953 TUR720904:TUR720953 UEN720904:UEN720953 UOJ720904:UOJ720953 UYF720904:UYF720953 VIB720904:VIB720953 VRX720904:VRX720953 WBT720904:WBT720953 WLP720904:WLP720953 WVL720904:WVL720953 D786440:D786489 IZ786440:IZ786489 SV786440:SV786489 ACR786440:ACR786489 AMN786440:AMN786489 AWJ786440:AWJ786489 BGF786440:BGF786489 BQB786440:BQB786489 BZX786440:BZX786489 CJT786440:CJT786489 CTP786440:CTP786489 DDL786440:DDL786489 DNH786440:DNH786489 DXD786440:DXD786489 EGZ786440:EGZ786489 EQV786440:EQV786489 FAR786440:FAR786489 FKN786440:FKN786489 FUJ786440:FUJ786489 GEF786440:GEF786489 GOB786440:GOB786489 GXX786440:GXX786489 HHT786440:HHT786489 HRP786440:HRP786489 IBL786440:IBL786489 ILH786440:ILH786489 IVD786440:IVD786489 JEZ786440:JEZ786489 JOV786440:JOV786489 JYR786440:JYR786489 KIN786440:KIN786489 KSJ786440:KSJ786489 LCF786440:LCF786489 LMB786440:LMB786489 LVX786440:LVX786489 MFT786440:MFT786489 MPP786440:MPP786489 MZL786440:MZL786489 NJH786440:NJH786489 NTD786440:NTD786489 OCZ786440:OCZ786489 OMV786440:OMV786489 OWR786440:OWR786489 PGN786440:PGN786489 PQJ786440:PQJ786489 QAF786440:QAF786489 QKB786440:QKB786489 QTX786440:QTX786489 RDT786440:RDT786489 RNP786440:RNP786489 RXL786440:RXL786489 SHH786440:SHH786489 SRD786440:SRD786489 TAZ786440:TAZ786489 TKV786440:TKV786489 TUR786440:TUR786489 UEN786440:UEN786489 UOJ786440:UOJ786489 UYF786440:UYF786489 VIB786440:VIB786489 VRX786440:VRX786489 WBT786440:WBT786489 WLP786440:WLP786489 WVL786440:WVL786489 D851976:D852025 IZ851976:IZ852025 SV851976:SV852025 ACR851976:ACR852025 AMN851976:AMN852025 AWJ851976:AWJ852025 BGF851976:BGF852025 BQB851976:BQB852025 BZX851976:BZX852025 CJT851976:CJT852025 CTP851976:CTP852025 DDL851976:DDL852025 DNH851976:DNH852025 DXD851976:DXD852025 EGZ851976:EGZ852025 EQV851976:EQV852025 FAR851976:FAR852025 FKN851976:FKN852025 FUJ851976:FUJ852025 GEF851976:GEF852025 GOB851976:GOB852025 GXX851976:GXX852025 HHT851976:HHT852025 HRP851976:HRP852025 IBL851976:IBL852025 ILH851976:ILH852025 IVD851976:IVD852025 JEZ851976:JEZ852025 JOV851976:JOV852025 JYR851976:JYR852025 KIN851976:KIN852025 KSJ851976:KSJ852025 LCF851976:LCF852025 LMB851976:LMB852025 LVX851976:LVX852025 MFT851976:MFT852025 MPP851976:MPP852025 MZL851976:MZL852025 NJH851976:NJH852025 NTD851976:NTD852025 OCZ851976:OCZ852025 OMV851976:OMV852025 OWR851976:OWR852025 PGN851976:PGN852025 PQJ851976:PQJ852025 QAF851976:QAF852025 QKB851976:QKB852025 QTX851976:QTX852025 RDT851976:RDT852025 RNP851976:RNP852025 RXL851976:RXL852025 SHH851976:SHH852025 SRD851976:SRD852025 TAZ851976:TAZ852025 TKV851976:TKV852025 TUR851976:TUR852025 UEN851976:UEN852025 UOJ851976:UOJ852025 UYF851976:UYF852025 VIB851976:VIB852025 VRX851976:VRX852025 WBT851976:WBT852025 WLP851976:WLP852025 WVL851976:WVL852025 D917512:D917561 IZ917512:IZ917561 SV917512:SV917561 ACR917512:ACR917561 AMN917512:AMN917561 AWJ917512:AWJ917561 BGF917512:BGF917561 BQB917512:BQB917561 BZX917512:BZX917561 CJT917512:CJT917561 CTP917512:CTP917561 DDL917512:DDL917561 DNH917512:DNH917561 DXD917512:DXD917561 EGZ917512:EGZ917561 EQV917512:EQV917561 FAR917512:FAR917561 FKN917512:FKN917561 FUJ917512:FUJ917561 GEF917512:GEF917561 GOB917512:GOB917561 GXX917512:GXX917561 HHT917512:HHT917561 HRP917512:HRP917561 IBL917512:IBL917561 ILH917512:ILH917561 IVD917512:IVD917561 JEZ917512:JEZ917561 JOV917512:JOV917561 JYR917512:JYR917561 KIN917512:KIN917561 KSJ917512:KSJ917561 LCF917512:LCF917561 LMB917512:LMB917561 LVX917512:LVX917561 MFT917512:MFT917561 MPP917512:MPP917561 MZL917512:MZL917561 NJH917512:NJH917561 NTD917512:NTD917561 OCZ917512:OCZ917561 OMV917512:OMV917561 OWR917512:OWR917561 PGN917512:PGN917561 PQJ917512:PQJ917561 QAF917512:QAF917561 QKB917512:QKB917561 QTX917512:QTX917561 RDT917512:RDT917561 RNP917512:RNP917561 RXL917512:RXL917561 SHH917512:SHH917561 SRD917512:SRD917561 TAZ917512:TAZ917561 TKV917512:TKV917561 TUR917512:TUR917561 UEN917512:UEN917561 UOJ917512:UOJ917561 UYF917512:UYF917561 VIB917512:VIB917561 VRX917512:VRX917561 WBT917512:WBT917561 WLP917512:WLP917561 WVL917512:WVL917561 D983048:D983097 IZ983048:IZ983097 SV983048:SV983097 ACR983048:ACR983097 AMN983048:AMN983097 AWJ983048:AWJ983097 BGF983048:BGF983097 BQB983048:BQB983097 BZX983048:BZX983097 CJT983048:CJT983097 CTP983048:CTP983097 DDL983048:DDL983097 DNH983048:DNH983097 DXD983048:DXD983097 EGZ983048:EGZ983097 EQV983048:EQV983097 FAR983048:FAR983097 FKN983048:FKN983097 FUJ983048:FUJ983097 GEF983048:GEF983097 GOB983048:GOB983097 GXX983048:GXX983097 HHT983048:HHT983097 HRP983048:HRP983097 IBL983048:IBL983097 ILH983048:ILH983097 IVD983048:IVD983097 JEZ983048:JEZ983097 JOV983048:JOV983097 JYR983048:JYR983097 KIN983048:KIN983097 KSJ983048:KSJ983097 LCF983048:LCF983097 LMB983048:LMB983097 LVX983048:LVX983097 MFT983048:MFT983097 MPP983048:MPP983097 MZL983048:MZL983097 NJH983048:NJH983097 NTD983048:NTD983097 OCZ983048:OCZ983097 OMV983048:OMV983097 OWR983048:OWR983097 PGN983048:PGN983097 PQJ983048:PQJ983097 QAF983048:QAF983097 QKB983048:QKB983097 QTX983048:QTX983097 RDT983048:RDT983097 RNP983048:RNP983097 RXL983048:RXL983097 SHH983048:SHH983097 SRD983048:SRD983097 TAZ983048:TAZ983097 TKV983048:TKV983097 TUR983048:TUR983097 UEN983048:UEN983097 UOJ983048:UOJ983097 UYF983048:UYF983097 VIB983048:VIB983097 VRX983048:VRX983097 WBT983048:WBT983097 WLP983048:WLP983097 WVL983048:WVL983097 G57 JC8:JC57 SY8:SY57 ACU8:ACU57 AMQ8:AMQ57 AWM8:AWM57 BGI8:BGI57 BQE8:BQE57 CAA8:CAA57 CJW8:CJW57 CTS8:CTS57 DDO8:DDO57 DNK8:DNK57 DXG8:DXG57 EHC8:EHC57 EQY8:EQY57 FAU8:FAU57 FKQ8:FKQ57 FUM8:FUM57 GEI8:GEI57 GOE8:GOE57 GYA8:GYA57 HHW8:HHW57 HRS8:HRS57 IBO8:IBO57 ILK8:ILK57 IVG8:IVG57 JFC8:JFC57 JOY8:JOY57 JYU8:JYU57 KIQ8:KIQ57 KSM8:KSM57 LCI8:LCI57 LME8:LME57 LWA8:LWA57 MFW8:MFW57 MPS8:MPS57 MZO8:MZO57 NJK8:NJK57 NTG8:NTG57 ODC8:ODC57 OMY8:OMY57 OWU8:OWU57 PGQ8:PGQ57 PQM8:PQM57 QAI8:QAI57 QKE8:QKE57 QUA8:QUA57 RDW8:RDW57 RNS8:RNS57 RXO8:RXO57 SHK8:SHK57 SRG8:SRG57 TBC8:TBC57 TKY8:TKY57 TUU8:TUU57 UEQ8:UEQ57 UOM8:UOM57 UYI8:UYI57 VIE8:VIE57 VSA8:VSA57 WBW8:WBW57 WLS8:WLS57 WVO8:WVO57 G65544:G65593 JC65544:JC65593 SY65544:SY65593 ACU65544:ACU65593 AMQ65544:AMQ65593 AWM65544:AWM65593 BGI65544:BGI65593 BQE65544:BQE65593 CAA65544:CAA65593 CJW65544:CJW65593 CTS65544:CTS65593 DDO65544:DDO65593 DNK65544:DNK65593 DXG65544:DXG65593 EHC65544:EHC65593 EQY65544:EQY65593 FAU65544:FAU65593 FKQ65544:FKQ65593 FUM65544:FUM65593 GEI65544:GEI65593 GOE65544:GOE65593 GYA65544:GYA65593 HHW65544:HHW65593 HRS65544:HRS65593 IBO65544:IBO65593 ILK65544:ILK65593 IVG65544:IVG65593 JFC65544:JFC65593 JOY65544:JOY65593 JYU65544:JYU65593 KIQ65544:KIQ65593 KSM65544:KSM65593 LCI65544:LCI65593 LME65544:LME65593 LWA65544:LWA65593 MFW65544:MFW65593 MPS65544:MPS65593 MZO65544:MZO65593 NJK65544:NJK65593 NTG65544:NTG65593 ODC65544:ODC65593 OMY65544:OMY65593 OWU65544:OWU65593 PGQ65544:PGQ65593 PQM65544:PQM65593 QAI65544:QAI65593 QKE65544:QKE65593 QUA65544:QUA65593 RDW65544:RDW65593 RNS65544:RNS65593 RXO65544:RXO65593 SHK65544:SHK65593 SRG65544:SRG65593 TBC65544:TBC65593 TKY65544:TKY65593 TUU65544:TUU65593 UEQ65544:UEQ65593 UOM65544:UOM65593 UYI65544:UYI65593 VIE65544:VIE65593 VSA65544:VSA65593 WBW65544:WBW65593 WLS65544:WLS65593 WVO65544:WVO65593 G131080:G131129 JC131080:JC131129 SY131080:SY131129 ACU131080:ACU131129 AMQ131080:AMQ131129 AWM131080:AWM131129 BGI131080:BGI131129 BQE131080:BQE131129 CAA131080:CAA131129 CJW131080:CJW131129 CTS131080:CTS131129 DDO131080:DDO131129 DNK131080:DNK131129 DXG131080:DXG131129 EHC131080:EHC131129 EQY131080:EQY131129 FAU131080:FAU131129 FKQ131080:FKQ131129 FUM131080:FUM131129 GEI131080:GEI131129 GOE131080:GOE131129 GYA131080:GYA131129 HHW131080:HHW131129 HRS131080:HRS131129 IBO131080:IBO131129 ILK131080:ILK131129 IVG131080:IVG131129 JFC131080:JFC131129 JOY131080:JOY131129 JYU131080:JYU131129 KIQ131080:KIQ131129 KSM131080:KSM131129 LCI131080:LCI131129 LME131080:LME131129 LWA131080:LWA131129 MFW131080:MFW131129 MPS131080:MPS131129 MZO131080:MZO131129 NJK131080:NJK131129 NTG131080:NTG131129 ODC131080:ODC131129 OMY131080:OMY131129 OWU131080:OWU131129 PGQ131080:PGQ131129 PQM131080:PQM131129 QAI131080:QAI131129 QKE131080:QKE131129 QUA131080:QUA131129 RDW131080:RDW131129 RNS131080:RNS131129 RXO131080:RXO131129 SHK131080:SHK131129 SRG131080:SRG131129 TBC131080:TBC131129 TKY131080:TKY131129 TUU131080:TUU131129 UEQ131080:UEQ131129 UOM131080:UOM131129 UYI131080:UYI131129 VIE131080:VIE131129 VSA131080:VSA131129 WBW131080:WBW131129 WLS131080:WLS131129 WVO131080:WVO131129 G196616:G196665 JC196616:JC196665 SY196616:SY196665 ACU196616:ACU196665 AMQ196616:AMQ196665 AWM196616:AWM196665 BGI196616:BGI196665 BQE196616:BQE196665 CAA196616:CAA196665 CJW196616:CJW196665 CTS196616:CTS196665 DDO196616:DDO196665 DNK196616:DNK196665 DXG196616:DXG196665 EHC196616:EHC196665 EQY196616:EQY196665 FAU196616:FAU196665 FKQ196616:FKQ196665 FUM196616:FUM196665 GEI196616:GEI196665 GOE196616:GOE196665 GYA196616:GYA196665 HHW196616:HHW196665 HRS196616:HRS196665 IBO196616:IBO196665 ILK196616:ILK196665 IVG196616:IVG196665 JFC196616:JFC196665 JOY196616:JOY196665 JYU196616:JYU196665 KIQ196616:KIQ196665 KSM196616:KSM196665 LCI196616:LCI196665 LME196616:LME196665 LWA196616:LWA196665 MFW196616:MFW196665 MPS196616:MPS196665 MZO196616:MZO196665 NJK196616:NJK196665 NTG196616:NTG196665 ODC196616:ODC196665 OMY196616:OMY196665 OWU196616:OWU196665 PGQ196616:PGQ196665 PQM196616:PQM196665 QAI196616:QAI196665 QKE196616:QKE196665 QUA196616:QUA196665 RDW196616:RDW196665 RNS196616:RNS196665 RXO196616:RXO196665 SHK196616:SHK196665 SRG196616:SRG196665 TBC196616:TBC196665 TKY196616:TKY196665 TUU196616:TUU196665 UEQ196616:UEQ196665 UOM196616:UOM196665 UYI196616:UYI196665 VIE196616:VIE196665 VSA196616:VSA196665 WBW196616:WBW196665 WLS196616:WLS196665 WVO196616:WVO196665 G262152:G262201 JC262152:JC262201 SY262152:SY262201 ACU262152:ACU262201 AMQ262152:AMQ262201 AWM262152:AWM262201 BGI262152:BGI262201 BQE262152:BQE262201 CAA262152:CAA262201 CJW262152:CJW262201 CTS262152:CTS262201 DDO262152:DDO262201 DNK262152:DNK262201 DXG262152:DXG262201 EHC262152:EHC262201 EQY262152:EQY262201 FAU262152:FAU262201 FKQ262152:FKQ262201 FUM262152:FUM262201 GEI262152:GEI262201 GOE262152:GOE262201 GYA262152:GYA262201 HHW262152:HHW262201 HRS262152:HRS262201 IBO262152:IBO262201 ILK262152:ILK262201 IVG262152:IVG262201 JFC262152:JFC262201 JOY262152:JOY262201 JYU262152:JYU262201 KIQ262152:KIQ262201 KSM262152:KSM262201 LCI262152:LCI262201 LME262152:LME262201 LWA262152:LWA262201 MFW262152:MFW262201 MPS262152:MPS262201 MZO262152:MZO262201 NJK262152:NJK262201 NTG262152:NTG262201 ODC262152:ODC262201 OMY262152:OMY262201 OWU262152:OWU262201 PGQ262152:PGQ262201 PQM262152:PQM262201 QAI262152:QAI262201 QKE262152:QKE262201 QUA262152:QUA262201 RDW262152:RDW262201 RNS262152:RNS262201 RXO262152:RXO262201 SHK262152:SHK262201 SRG262152:SRG262201 TBC262152:TBC262201 TKY262152:TKY262201 TUU262152:TUU262201 UEQ262152:UEQ262201 UOM262152:UOM262201 UYI262152:UYI262201 VIE262152:VIE262201 VSA262152:VSA262201 WBW262152:WBW262201 WLS262152:WLS262201 WVO262152:WVO262201 G327688:G327737 JC327688:JC327737 SY327688:SY327737 ACU327688:ACU327737 AMQ327688:AMQ327737 AWM327688:AWM327737 BGI327688:BGI327737 BQE327688:BQE327737 CAA327688:CAA327737 CJW327688:CJW327737 CTS327688:CTS327737 DDO327688:DDO327737 DNK327688:DNK327737 DXG327688:DXG327737 EHC327688:EHC327737 EQY327688:EQY327737 FAU327688:FAU327737 FKQ327688:FKQ327737 FUM327688:FUM327737 GEI327688:GEI327737 GOE327688:GOE327737 GYA327688:GYA327737 HHW327688:HHW327737 HRS327688:HRS327737 IBO327688:IBO327737 ILK327688:ILK327737 IVG327688:IVG327737 JFC327688:JFC327737 JOY327688:JOY327737 JYU327688:JYU327737 KIQ327688:KIQ327737 KSM327688:KSM327737 LCI327688:LCI327737 LME327688:LME327737 LWA327688:LWA327737 MFW327688:MFW327737 MPS327688:MPS327737 MZO327688:MZO327737 NJK327688:NJK327737 NTG327688:NTG327737 ODC327688:ODC327737 OMY327688:OMY327737 OWU327688:OWU327737 PGQ327688:PGQ327737 PQM327688:PQM327737 QAI327688:QAI327737 QKE327688:QKE327737 QUA327688:QUA327737 RDW327688:RDW327737 RNS327688:RNS327737 RXO327688:RXO327737 SHK327688:SHK327737 SRG327688:SRG327737 TBC327688:TBC327737 TKY327688:TKY327737 TUU327688:TUU327737 UEQ327688:UEQ327737 UOM327688:UOM327737 UYI327688:UYI327737 VIE327688:VIE327737 VSA327688:VSA327737 WBW327688:WBW327737 WLS327688:WLS327737 WVO327688:WVO327737 G393224:G393273 JC393224:JC393273 SY393224:SY393273 ACU393224:ACU393273 AMQ393224:AMQ393273 AWM393224:AWM393273 BGI393224:BGI393273 BQE393224:BQE393273 CAA393224:CAA393273 CJW393224:CJW393273 CTS393224:CTS393273 DDO393224:DDO393273 DNK393224:DNK393273 DXG393224:DXG393273 EHC393224:EHC393273 EQY393224:EQY393273 FAU393224:FAU393273 FKQ393224:FKQ393273 FUM393224:FUM393273 GEI393224:GEI393273 GOE393224:GOE393273 GYA393224:GYA393273 HHW393224:HHW393273 HRS393224:HRS393273 IBO393224:IBO393273 ILK393224:ILK393273 IVG393224:IVG393273 JFC393224:JFC393273 JOY393224:JOY393273 JYU393224:JYU393273 KIQ393224:KIQ393273 KSM393224:KSM393273 LCI393224:LCI393273 LME393224:LME393273 LWA393224:LWA393273 MFW393224:MFW393273 MPS393224:MPS393273 MZO393224:MZO393273 NJK393224:NJK393273 NTG393224:NTG393273 ODC393224:ODC393273 OMY393224:OMY393273 OWU393224:OWU393273 PGQ393224:PGQ393273 PQM393224:PQM393273 QAI393224:QAI393273 QKE393224:QKE393273 QUA393224:QUA393273 RDW393224:RDW393273 RNS393224:RNS393273 RXO393224:RXO393273 SHK393224:SHK393273 SRG393224:SRG393273 TBC393224:TBC393273 TKY393224:TKY393273 TUU393224:TUU393273 UEQ393224:UEQ393273 UOM393224:UOM393273 UYI393224:UYI393273 VIE393224:VIE393273 VSA393224:VSA393273 WBW393224:WBW393273 WLS393224:WLS393273 WVO393224:WVO393273 G458760:G458809 JC458760:JC458809 SY458760:SY458809 ACU458760:ACU458809 AMQ458760:AMQ458809 AWM458760:AWM458809 BGI458760:BGI458809 BQE458760:BQE458809 CAA458760:CAA458809 CJW458760:CJW458809 CTS458760:CTS458809 DDO458760:DDO458809 DNK458760:DNK458809 DXG458760:DXG458809 EHC458760:EHC458809 EQY458760:EQY458809 FAU458760:FAU458809 FKQ458760:FKQ458809 FUM458760:FUM458809 GEI458760:GEI458809 GOE458760:GOE458809 GYA458760:GYA458809 HHW458760:HHW458809 HRS458760:HRS458809 IBO458760:IBO458809 ILK458760:ILK458809 IVG458760:IVG458809 JFC458760:JFC458809 JOY458760:JOY458809 JYU458760:JYU458809 KIQ458760:KIQ458809 KSM458760:KSM458809 LCI458760:LCI458809 LME458760:LME458809 LWA458760:LWA458809 MFW458760:MFW458809 MPS458760:MPS458809 MZO458760:MZO458809 NJK458760:NJK458809 NTG458760:NTG458809 ODC458760:ODC458809 OMY458760:OMY458809 OWU458760:OWU458809 PGQ458760:PGQ458809 PQM458760:PQM458809 QAI458760:QAI458809 QKE458760:QKE458809 QUA458760:QUA458809 RDW458760:RDW458809 RNS458760:RNS458809 RXO458760:RXO458809 SHK458760:SHK458809 SRG458760:SRG458809 TBC458760:TBC458809 TKY458760:TKY458809 TUU458760:TUU458809 UEQ458760:UEQ458809 UOM458760:UOM458809 UYI458760:UYI458809 VIE458760:VIE458809 VSA458760:VSA458809 WBW458760:WBW458809 WLS458760:WLS458809 WVO458760:WVO458809 G524296:G524345 JC524296:JC524345 SY524296:SY524345 ACU524296:ACU524345 AMQ524296:AMQ524345 AWM524296:AWM524345 BGI524296:BGI524345 BQE524296:BQE524345 CAA524296:CAA524345 CJW524296:CJW524345 CTS524296:CTS524345 DDO524296:DDO524345 DNK524296:DNK524345 DXG524296:DXG524345 EHC524296:EHC524345 EQY524296:EQY524345 FAU524296:FAU524345 FKQ524296:FKQ524345 FUM524296:FUM524345 GEI524296:GEI524345 GOE524296:GOE524345 GYA524296:GYA524345 HHW524296:HHW524345 HRS524296:HRS524345 IBO524296:IBO524345 ILK524296:ILK524345 IVG524296:IVG524345 JFC524296:JFC524345 JOY524296:JOY524345 JYU524296:JYU524345 KIQ524296:KIQ524345 KSM524296:KSM524345 LCI524296:LCI524345 LME524296:LME524345 LWA524296:LWA524345 MFW524296:MFW524345 MPS524296:MPS524345 MZO524296:MZO524345 NJK524296:NJK524345 NTG524296:NTG524345 ODC524296:ODC524345 OMY524296:OMY524345 OWU524296:OWU524345 PGQ524296:PGQ524345 PQM524296:PQM524345 QAI524296:QAI524345 QKE524296:QKE524345 QUA524296:QUA524345 RDW524296:RDW524345 RNS524296:RNS524345 RXO524296:RXO524345 SHK524296:SHK524345 SRG524296:SRG524345 TBC524296:TBC524345 TKY524296:TKY524345 TUU524296:TUU524345 UEQ524296:UEQ524345 UOM524296:UOM524345 UYI524296:UYI524345 VIE524296:VIE524345 VSA524296:VSA524345 WBW524296:WBW524345 WLS524296:WLS524345 WVO524296:WVO524345 G589832:G589881 JC589832:JC589881 SY589832:SY589881 ACU589832:ACU589881 AMQ589832:AMQ589881 AWM589832:AWM589881 BGI589832:BGI589881 BQE589832:BQE589881 CAA589832:CAA589881 CJW589832:CJW589881 CTS589832:CTS589881 DDO589832:DDO589881 DNK589832:DNK589881 DXG589832:DXG589881 EHC589832:EHC589881 EQY589832:EQY589881 FAU589832:FAU589881 FKQ589832:FKQ589881 FUM589832:FUM589881 GEI589832:GEI589881 GOE589832:GOE589881 GYA589832:GYA589881 HHW589832:HHW589881 HRS589832:HRS589881 IBO589832:IBO589881 ILK589832:ILK589881 IVG589832:IVG589881 JFC589832:JFC589881 JOY589832:JOY589881 JYU589832:JYU589881 KIQ589832:KIQ589881 KSM589832:KSM589881 LCI589832:LCI589881 LME589832:LME589881 LWA589832:LWA589881 MFW589832:MFW589881 MPS589832:MPS589881 MZO589832:MZO589881 NJK589832:NJK589881 NTG589832:NTG589881 ODC589832:ODC589881 OMY589832:OMY589881 OWU589832:OWU589881 PGQ589832:PGQ589881 PQM589832:PQM589881 QAI589832:QAI589881 QKE589832:QKE589881 QUA589832:QUA589881 RDW589832:RDW589881 RNS589832:RNS589881 RXO589832:RXO589881 SHK589832:SHK589881 SRG589832:SRG589881 TBC589832:TBC589881 TKY589832:TKY589881 TUU589832:TUU589881 UEQ589832:UEQ589881 UOM589832:UOM589881 UYI589832:UYI589881 VIE589832:VIE589881 VSA589832:VSA589881 WBW589832:WBW589881 WLS589832:WLS589881 WVO589832:WVO589881 G655368:G655417 JC655368:JC655417 SY655368:SY655417 ACU655368:ACU655417 AMQ655368:AMQ655417 AWM655368:AWM655417 BGI655368:BGI655417 BQE655368:BQE655417 CAA655368:CAA655417 CJW655368:CJW655417 CTS655368:CTS655417 DDO655368:DDO655417 DNK655368:DNK655417 DXG655368:DXG655417 EHC655368:EHC655417 EQY655368:EQY655417 FAU655368:FAU655417 FKQ655368:FKQ655417 FUM655368:FUM655417 GEI655368:GEI655417 GOE655368:GOE655417 GYA655368:GYA655417 HHW655368:HHW655417 HRS655368:HRS655417 IBO655368:IBO655417 ILK655368:ILK655417 IVG655368:IVG655417 JFC655368:JFC655417 JOY655368:JOY655417 JYU655368:JYU655417 KIQ655368:KIQ655417 KSM655368:KSM655417 LCI655368:LCI655417 LME655368:LME655417 LWA655368:LWA655417 MFW655368:MFW655417 MPS655368:MPS655417 MZO655368:MZO655417 NJK655368:NJK655417 NTG655368:NTG655417 ODC655368:ODC655417 OMY655368:OMY655417 OWU655368:OWU655417 PGQ655368:PGQ655417 PQM655368:PQM655417 QAI655368:QAI655417 QKE655368:QKE655417 QUA655368:QUA655417 RDW655368:RDW655417 RNS655368:RNS655417 RXO655368:RXO655417 SHK655368:SHK655417 SRG655368:SRG655417 TBC655368:TBC655417 TKY655368:TKY655417 TUU655368:TUU655417 UEQ655368:UEQ655417 UOM655368:UOM655417 UYI655368:UYI655417 VIE655368:VIE655417 VSA655368:VSA655417 WBW655368:WBW655417 WLS655368:WLS655417 WVO655368:WVO655417 G720904:G720953 JC720904:JC720953 SY720904:SY720953 ACU720904:ACU720953 AMQ720904:AMQ720953 AWM720904:AWM720953 BGI720904:BGI720953 BQE720904:BQE720953 CAA720904:CAA720953 CJW720904:CJW720953 CTS720904:CTS720953 DDO720904:DDO720953 DNK720904:DNK720953 DXG720904:DXG720953 EHC720904:EHC720953 EQY720904:EQY720953 FAU720904:FAU720953 FKQ720904:FKQ720953 FUM720904:FUM720953 GEI720904:GEI720953 GOE720904:GOE720953 GYA720904:GYA720953 HHW720904:HHW720953 HRS720904:HRS720953 IBO720904:IBO720953 ILK720904:ILK720953 IVG720904:IVG720953 JFC720904:JFC720953 JOY720904:JOY720953 JYU720904:JYU720953 KIQ720904:KIQ720953 KSM720904:KSM720953 LCI720904:LCI720953 LME720904:LME720953 LWA720904:LWA720953 MFW720904:MFW720953 MPS720904:MPS720953 MZO720904:MZO720953 NJK720904:NJK720953 NTG720904:NTG720953 ODC720904:ODC720953 OMY720904:OMY720953 OWU720904:OWU720953 PGQ720904:PGQ720953 PQM720904:PQM720953 QAI720904:QAI720953 QKE720904:QKE720953 QUA720904:QUA720953 RDW720904:RDW720953 RNS720904:RNS720953 RXO720904:RXO720953 SHK720904:SHK720953 SRG720904:SRG720953 TBC720904:TBC720953 TKY720904:TKY720953 TUU720904:TUU720953 UEQ720904:UEQ720953 UOM720904:UOM720953 UYI720904:UYI720953 VIE720904:VIE720953 VSA720904:VSA720953 WBW720904:WBW720953 WLS720904:WLS720953 WVO720904:WVO720953 G786440:G786489 JC786440:JC786489 SY786440:SY786489 ACU786440:ACU786489 AMQ786440:AMQ786489 AWM786440:AWM786489 BGI786440:BGI786489 BQE786440:BQE786489 CAA786440:CAA786489 CJW786440:CJW786489 CTS786440:CTS786489 DDO786440:DDO786489 DNK786440:DNK786489 DXG786440:DXG786489 EHC786440:EHC786489 EQY786440:EQY786489 FAU786440:FAU786489 FKQ786440:FKQ786489 FUM786440:FUM786489 GEI786440:GEI786489 GOE786440:GOE786489 GYA786440:GYA786489 HHW786440:HHW786489 HRS786440:HRS786489 IBO786440:IBO786489 ILK786440:ILK786489 IVG786440:IVG786489 JFC786440:JFC786489 JOY786440:JOY786489 JYU786440:JYU786489 KIQ786440:KIQ786489 KSM786440:KSM786489 LCI786440:LCI786489 LME786440:LME786489 LWA786440:LWA786489 MFW786440:MFW786489 MPS786440:MPS786489 MZO786440:MZO786489 NJK786440:NJK786489 NTG786440:NTG786489 ODC786440:ODC786489 OMY786440:OMY786489 OWU786440:OWU786489 PGQ786440:PGQ786489 PQM786440:PQM786489 QAI786440:QAI786489 QKE786440:QKE786489 QUA786440:QUA786489 RDW786440:RDW786489 RNS786440:RNS786489 RXO786440:RXO786489 SHK786440:SHK786489 SRG786440:SRG786489 TBC786440:TBC786489 TKY786440:TKY786489 TUU786440:TUU786489 UEQ786440:UEQ786489 UOM786440:UOM786489 UYI786440:UYI786489 VIE786440:VIE786489 VSA786440:VSA786489 WBW786440:WBW786489 WLS786440:WLS786489 WVO786440:WVO786489 G851976:G852025 JC851976:JC852025 SY851976:SY852025 ACU851976:ACU852025 AMQ851976:AMQ852025 AWM851976:AWM852025 BGI851976:BGI852025 BQE851976:BQE852025 CAA851976:CAA852025 CJW851976:CJW852025 CTS851976:CTS852025 DDO851976:DDO852025 DNK851976:DNK852025 DXG851976:DXG852025 EHC851976:EHC852025 EQY851976:EQY852025 FAU851976:FAU852025 FKQ851976:FKQ852025 FUM851976:FUM852025 GEI851976:GEI852025 GOE851976:GOE852025 GYA851976:GYA852025 HHW851976:HHW852025 HRS851976:HRS852025 IBO851976:IBO852025 ILK851976:ILK852025 IVG851976:IVG852025 JFC851976:JFC852025 JOY851976:JOY852025 JYU851976:JYU852025 KIQ851976:KIQ852025 KSM851976:KSM852025 LCI851976:LCI852025 LME851976:LME852025 LWA851976:LWA852025 MFW851976:MFW852025 MPS851976:MPS852025 MZO851976:MZO852025 NJK851976:NJK852025 NTG851976:NTG852025 ODC851976:ODC852025 OMY851976:OMY852025 OWU851976:OWU852025 PGQ851976:PGQ852025 PQM851976:PQM852025 QAI851976:QAI852025 QKE851976:QKE852025 QUA851976:QUA852025 RDW851976:RDW852025 RNS851976:RNS852025 RXO851976:RXO852025 SHK851976:SHK852025 SRG851976:SRG852025 TBC851976:TBC852025 TKY851976:TKY852025 TUU851976:TUU852025 UEQ851976:UEQ852025 UOM851976:UOM852025 UYI851976:UYI852025 VIE851976:VIE852025 VSA851976:VSA852025 WBW851976:WBW852025 WLS851976:WLS852025 WVO851976:WVO852025 G917512:G917561 JC917512:JC917561 SY917512:SY917561 ACU917512:ACU917561 AMQ917512:AMQ917561 AWM917512:AWM917561 BGI917512:BGI917561 BQE917512:BQE917561 CAA917512:CAA917561 CJW917512:CJW917561 CTS917512:CTS917561 DDO917512:DDO917561 DNK917512:DNK917561 DXG917512:DXG917561 EHC917512:EHC917561 EQY917512:EQY917561 FAU917512:FAU917561 FKQ917512:FKQ917561 FUM917512:FUM917561 GEI917512:GEI917561 GOE917512:GOE917561 GYA917512:GYA917561 HHW917512:HHW917561 HRS917512:HRS917561 IBO917512:IBO917561 ILK917512:ILK917561 IVG917512:IVG917561 JFC917512:JFC917561 JOY917512:JOY917561 JYU917512:JYU917561 KIQ917512:KIQ917561 KSM917512:KSM917561 LCI917512:LCI917561 LME917512:LME917561 LWA917512:LWA917561 MFW917512:MFW917561 MPS917512:MPS917561 MZO917512:MZO917561 NJK917512:NJK917561 NTG917512:NTG917561 ODC917512:ODC917561 OMY917512:OMY917561 OWU917512:OWU917561 PGQ917512:PGQ917561 PQM917512:PQM917561 QAI917512:QAI917561 QKE917512:QKE917561 QUA917512:QUA917561 RDW917512:RDW917561 RNS917512:RNS917561 RXO917512:RXO917561 SHK917512:SHK917561 SRG917512:SRG917561 TBC917512:TBC917561 TKY917512:TKY917561 TUU917512:TUU917561 UEQ917512:UEQ917561 UOM917512:UOM917561 UYI917512:UYI917561 VIE917512:VIE917561 VSA917512:VSA917561 WBW917512:WBW917561 WLS917512:WLS917561 WVO917512:WVO917561 G983048:G983097 JC983048:JC983097 SY983048:SY983097 ACU983048:ACU983097 AMQ983048:AMQ983097 AWM983048:AWM983097 BGI983048:BGI983097 BQE983048:BQE983097 CAA983048:CAA983097 CJW983048:CJW983097 CTS983048:CTS983097 DDO983048:DDO983097 DNK983048:DNK983097 DXG983048:DXG983097 EHC983048:EHC983097 EQY983048:EQY983097 FAU983048:FAU983097 FKQ983048:FKQ983097 FUM983048:FUM983097 GEI983048:GEI983097 GOE983048:GOE983097 GYA983048:GYA983097 HHW983048:HHW983097 HRS983048:HRS983097 IBO983048:IBO983097 ILK983048:ILK983097 IVG983048:IVG983097 JFC983048:JFC983097 JOY983048:JOY983097 JYU983048:JYU983097 KIQ983048:KIQ983097 KSM983048:KSM983097 LCI983048:LCI983097 LME983048:LME983097 LWA983048:LWA983097 MFW983048:MFW983097 MPS983048:MPS983097 MZO983048:MZO983097 NJK983048:NJK983097 NTG983048:NTG983097 ODC983048:ODC983097 OMY983048:OMY983097 OWU983048:OWU983097 PGQ983048:PGQ983097 PQM983048:PQM983097 QAI983048:QAI983097 QKE983048:QKE983097 QUA983048:QUA983097 RDW983048:RDW983097 RNS983048:RNS983097 RXO983048:RXO983097 SHK983048:SHK983097 SRG983048:SRG983097 TBC983048:TBC983097 TKY983048:TKY983097 TUU983048:TUU983097 UEQ983048:UEQ983097 UOM983048:UOM983097 UYI983048:UYI983097 VIE983048:VIE983097 VSA983048:VSA983097 WBW983048:WBW983097 WLS983048:WLS983097" xr:uid="{D8DFAF37-D93C-47B3-AB98-75009A5280B2}">
      <formula1>"N/D,'0.000,0.005,0.01,0.02,0.03,0.04,0.05,0.06,0.07,0.08,0.09,0.1,Entervalue"</formula1>
    </dataValidation>
    <dataValidation type="list" allowBlank="1" showInputMessage="1" showErrorMessage="1" error="Pick from list" sqref="C8:C57 IY8:IY57 SU8:SU57 ACQ8:ACQ57 AMM8:AMM57 AWI8:AWI57 BGE8:BGE57 BQA8:BQA57 BZW8:BZW57 CJS8:CJS57 CTO8:CTO57 DDK8:DDK57 DNG8:DNG57 DXC8:DXC57 EGY8:EGY57 EQU8:EQU57 FAQ8:FAQ57 FKM8:FKM57 FUI8:FUI57 GEE8:GEE57 GOA8:GOA57 GXW8:GXW57 HHS8:HHS57 HRO8:HRO57 IBK8:IBK57 ILG8:ILG57 IVC8:IVC57 JEY8:JEY57 JOU8:JOU57 JYQ8:JYQ57 KIM8:KIM57 KSI8:KSI57 LCE8:LCE57 LMA8:LMA57 LVW8:LVW57 MFS8:MFS57 MPO8:MPO57 MZK8:MZK57 NJG8:NJG57 NTC8:NTC57 OCY8:OCY57 OMU8:OMU57 OWQ8:OWQ57 PGM8:PGM57 PQI8:PQI57 QAE8:QAE57 QKA8:QKA57 QTW8:QTW57 RDS8:RDS57 RNO8:RNO57 RXK8:RXK57 SHG8:SHG57 SRC8:SRC57 TAY8:TAY57 TKU8:TKU57 TUQ8:TUQ57 UEM8:UEM57 UOI8:UOI57 UYE8:UYE57 VIA8:VIA57 VRW8:VRW57 WBS8:WBS57 WLO8:WLO57 WVK8:WVK57 C65544:C65593 IY65544:IY65593 SU65544:SU65593 ACQ65544:ACQ65593 AMM65544:AMM65593 AWI65544:AWI65593 BGE65544:BGE65593 BQA65544:BQA65593 BZW65544:BZW65593 CJS65544:CJS65593 CTO65544:CTO65593 DDK65544:DDK65593 DNG65544:DNG65593 DXC65544:DXC65593 EGY65544:EGY65593 EQU65544:EQU65593 FAQ65544:FAQ65593 FKM65544:FKM65593 FUI65544:FUI65593 GEE65544:GEE65593 GOA65544:GOA65593 GXW65544:GXW65593 HHS65544:HHS65593 HRO65544:HRO65593 IBK65544:IBK65593 ILG65544:ILG65593 IVC65544:IVC65593 JEY65544:JEY65593 JOU65544:JOU65593 JYQ65544:JYQ65593 KIM65544:KIM65593 KSI65544:KSI65593 LCE65544:LCE65593 LMA65544:LMA65593 LVW65544:LVW65593 MFS65544:MFS65593 MPO65544:MPO65593 MZK65544:MZK65593 NJG65544:NJG65593 NTC65544:NTC65593 OCY65544:OCY65593 OMU65544:OMU65593 OWQ65544:OWQ65593 PGM65544:PGM65593 PQI65544:PQI65593 QAE65544:QAE65593 QKA65544:QKA65593 QTW65544:QTW65593 RDS65544:RDS65593 RNO65544:RNO65593 RXK65544:RXK65593 SHG65544:SHG65593 SRC65544:SRC65593 TAY65544:TAY65593 TKU65544:TKU65593 TUQ65544:TUQ65593 UEM65544:UEM65593 UOI65544:UOI65593 UYE65544:UYE65593 VIA65544:VIA65593 VRW65544:VRW65593 WBS65544:WBS65593 WLO65544:WLO65593 WVK65544:WVK65593 C131080:C131129 IY131080:IY131129 SU131080:SU131129 ACQ131080:ACQ131129 AMM131080:AMM131129 AWI131080:AWI131129 BGE131080:BGE131129 BQA131080:BQA131129 BZW131080:BZW131129 CJS131080:CJS131129 CTO131080:CTO131129 DDK131080:DDK131129 DNG131080:DNG131129 DXC131080:DXC131129 EGY131080:EGY131129 EQU131080:EQU131129 FAQ131080:FAQ131129 FKM131080:FKM131129 FUI131080:FUI131129 GEE131080:GEE131129 GOA131080:GOA131129 GXW131080:GXW131129 HHS131080:HHS131129 HRO131080:HRO131129 IBK131080:IBK131129 ILG131080:ILG131129 IVC131080:IVC131129 JEY131080:JEY131129 JOU131080:JOU131129 JYQ131080:JYQ131129 KIM131080:KIM131129 KSI131080:KSI131129 LCE131080:LCE131129 LMA131080:LMA131129 LVW131080:LVW131129 MFS131080:MFS131129 MPO131080:MPO131129 MZK131080:MZK131129 NJG131080:NJG131129 NTC131080:NTC131129 OCY131080:OCY131129 OMU131080:OMU131129 OWQ131080:OWQ131129 PGM131080:PGM131129 PQI131080:PQI131129 QAE131080:QAE131129 QKA131080:QKA131129 QTW131080:QTW131129 RDS131080:RDS131129 RNO131080:RNO131129 RXK131080:RXK131129 SHG131080:SHG131129 SRC131080:SRC131129 TAY131080:TAY131129 TKU131080:TKU131129 TUQ131080:TUQ131129 UEM131080:UEM131129 UOI131080:UOI131129 UYE131080:UYE131129 VIA131080:VIA131129 VRW131080:VRW131129 WBS131080:WBS131129 WLO131080:WLO131129 WVK131080:WVK131129 C196616:C196665 IY196616:IY196665 SU196616:SU196665 ACQ196616:ACQ196665 AMM196616:AMM196665 AWI196616:AWI196665 BGE196616:BGE196665 BQA196616:BQA196665 BZW196616:BZW196665 CJS196616:CJS196665 CTO196616:CTO196665 DDK196616:DDK196665 DNG196616:DNG196665 DXC196616:DXC196665 EGY196616:EGY196665 EQU196616:EQU196665 FAQ196616:FAQ196665 FKM196616:FKM196665 FUI196616:FUI196665 GEE196616:GEE196665 GOA196616:GOA196665 GXW196616:GXW196665 HHS196616:HHS196665 HRO196616:HRO196665 IBK196616:IBK196665 ILG196616:ILG196665 IVC196616:IVC196665 JEY196616:JEY196665 JOU196616:JOU196665 JYQ196616:JYQ196665 KIM196616:KIM196665 KSI196616:KSI196665 LCE196616:LCE196665 LMA196616:LMA196665 LVW196616:LVW196665 MFS196616:MFS196665 MPO196616:MPO196665 MZK196616:MZK196665 NJG196616:NJG196665 NTC196616:NTC196665 OCY196616:OCY196665 OMU196616:OMU196665 OWQ196616:OWQ196665 PGM196616:PGM196665 PQI196616:PQI196665 QAE196616:QAE196665 QKA196616:QKA196665 QTW196616:QTW196665 RDS196616:RDS196665 RNO196616:RNO196665 RXK196616:RXK196665 SHG196616:SHG196665 SRC196616:SRC196665 TAY196616:TAY196665 TKU196616:TKU196665 TUQ196616:TUQ196665 UEM196616:UEM196665 UOI196616:UOI196665 UYE196616:UYE196665 VIA196616:VIA196665 VRW196616:VRW196665 WBS196616:WBS196665 WLO196616:WLO196665 WVK196616:WVK196665 C262152:C262201 IY262152:IY262201 SU262152:SU262201 ACQ262152:ACQ262201 AMM262152:AMM262201 AWI262152:AWI262201 BGE262152:BGE262201 BQA262152:BQA262201 BZW262152:BZW262201 CJS262152:CJS262201 CTO262152:CTO262201 DDK262152:DDK262201 DNG262152:DNG262201 DXC262152:DXC262201 EGY262152:EGY262201 EQU262152:EQU262201 FAQ262152:FAQ262201 FKM262152:FKM262201 FUI262152:FUI262201 GEE262152:GEE262201 GOA262152:GOA262201 GXW262152:GXW262201 HHS262152:HHS262201 HRO262152:HRO262201 IBK262152:IBK262201 ILG262152:ILG262201 IVC262152:IVC262201 JEY262152:JEY262201 JOU262152:JOU262201 JYQ262152:JYQ262201 KIM262152:KIM262201 KSI262152:KSI262201 LCE262152:LCE262201 LMA262152:LMA262201 LVW262152:LVW262201 MFS262152:MFS262201 MPO262152:MPO262201 MZK262152:MZK262201 NJG262152:NJG262201 NTC262152:NTC262201 OCY262152:OCY262201 OMU262152:OMU262201 OWQ262152:OWQ262201 PGM262152:PGM262201 PQI262152:PQI262201 QAE262152:QAE262201 QKA262152:QKA262201 QTW262152:QTW262201 RDS262152:RDS262201 RNO262152:RNO262201 RXK262152:RXK262201 SHG262152:SHG262201 SRC262152:SRC262201 TAY262152:TAY262201 TKU262152:TKU262201 TUQ262152:TUQ262201 UEM262152:UEM262201 UOI262152:UOI262201 UYE262152:UYE262201 VIA262152:VIA262201 VRW262152:VRW262201 WBS262152:WBS262201 WLO262152:WLO262201 WVK262152:WVK262201 C327688:C327737 IY327688:IY327737 SU327688:SU327737 ACQ327688:ACQ327737 AMM327688:AMM327737 AWI327688:AWI327737 BGE327688:BGE327737 BQA327688:BQA327737 BZW327688:BZW327737 CJS327688:CJS327737 CTO327688:CTO327737 DDK327688:DDK327737 DNG327688:DNG327737 DXC327688:DXC327737 EGY327688:EGY327737 EQU327688:EQU327737 FAQ327688:FAQ327737 FKM327688:FKM327737 FUI327688:FUI327737 GEE327688:GEE327737 GOA327688:GOA327737 GXW327688:GXW327737 HHS327688:HHS327737 HRO327688:HRO327737 IBK327688:IBK327737 ILG327688:ILG327737 IVC327688:IVC327737 JEY327688:JEY327737 JOU327688:JOU327737 JYQ327688:JYQ327737 KIM327688:KIM327737 KSI327688:KSI327737 LCE327688:LCE327737 LMA327688:LMA327737 LVW327688:LVW327737 MFS327688:MFS327737 MPO327688:MPO327737 MZK327688:MZK327737 NJG327688:NJG327737 NTC327688:NTC327737 OCY327688:OCY327737 OMU327688:OMU327737 OWQ327688:OWQ327737 PGM327688:PGM327737 PQI327688:PQI327737 QAE327688:QAE327737 QKA327688:QKA327737 QTW327688:QTW327737 RDS327688:RDS327737 RNO327688:RNO327737 RXK327688:RXK327737 SHG327688:SHG327737 SRC327688:SRC327737 TAY327688:TAY327737 TKU327688:TKU327737 TUQ327688:TUQ327737 UEM327688:UEM327737 UOI327688:UOI327737 UYE327688:UYE327737 VIA327688:VIA327737 VRW327688:VRW327737 WBS327688:WBS327737 WLO327688:WLO327737 WVK327688:WVK327737 C393224:C393273 IY393224:IY393273 SU393224:SU393273 ACQ393224:ACQ393273 AMM393224:AMM393273 AWI393224:AWI393273 BGE393224:BGE393273 BQA393224:BQA393273 BZW393224:BZW393273 CJS393224:CJS393273 CTO393224:CTO393273 DDK393224:DDK393273 DNG393224:DNG393273 DXC393224:DXC393273 EGY393224:EGY393273 EQU393224:EQU393273 FAQ393224:FAQ393273 FKM393224:FKM393273 FUI393224:FUI393273 GEE393224:GEE393273 GOA393224:GOA393273 GXW393224:GXW393273 HHS393224:HHS393273 HRO393224:HRO393273 IBK393224:IBK393273 ILG393224:ILG393273 IVC393224:IVC393273 JEY393224:JEY393273 JOU393224:JOU393273 JYQ393224:JYQ393273 KIM393224:KIM393273 KSI393224:KSI393273 LCE393224:LCE393273 LMA393224:LMA393273 LVW393224:LVW393273 MFS393224:MFS393273 MPO393224:MPO393273 MZK393224:MZK393273 NJG393224:NJG393273 NTC393224:NTC393273 OCY393224:OCY393273 OMU393224:OMU393273 OWQ393224:OWQ393273 PGM393224:PGM393273 PQI393224:PQI393273 QAE393224:QAE393273 QKA393224:QKA393273 QTW393224:QTW393273 RDS393224:RDS393273 RNO393224:RNO393273 RXK393224:RXK393273 SHG393224:SHG393273 SRC393224:SRC393273 TAY393224:TAY393273 TKU393224:TKU393273 TUQ393224:TUQ393273 UEM393224:UEM393273 UOI393224:UOI393273 UYE393224:UYE393273 VIA393224:VIA393273 VRW393224:VRW393273 WBS393224:WBS393273 WLO393224:WLO393273 WVK393224:WVK393273 C458760:C458809 IY458760:IY458809 SU458760:SU458809 ACQ458760:ACQ458809 AMM458760:AMM458809 AWI458760:AWI458809 BGE458760:BGE458809 BQA458760:BQA458809 BZW458760:BZW458809 CJS458760:CJS458809 CTO458760:CTO458809 DDK458760:DDK458809 DNG458760:DNG458809 DXC458760:DXC458809 EGY458760:EGY458809 EQU458760:EQU458809 FAQ458760:FAQ458809 FKM458760:FKM458809 FUI458760:FUI458809 GEE458760:GEE458809 GOA458760:GOA458809 GXW458760:GXW458809 HHS458760:HHS458809 HRO458760:HRO458809 IBK458760:IBK458809 ILG458760:ILG458809 IVC458760:IVC458809 JEY458760:JEY458809 JOU458760:JOU458809 JYQ458760:JYQ458809 KIM458760:KIM458809 KSI458760:KSI458809 LCE458760:LCE458809 LMA458760:LMA458809 LVW458760:LVW458809 MFS458760:MFS458809 MPO458760:MPO458809 MZK458760:MZK458809 NJG458760:NJG458809 NTC458760:NTC458809 OCY458760:OCY458809 OMU458760:OMU458809 OWQ458760:OWQ458809 PGM458760:PGM458809 PQI458760:PQI458809 QAE458760:QAE458809 QKA458760:QKA458809 QTW458760:QTW458809 RDS458760:RDS458809 RNO458760:RNO458809 RXK458760:RXK458809 SHG458760:SHG458809 SRC458760:SRC458809 TAY458760:TAY458809 TKU458760:TKU458809 TUQ458760:TUQ458809 UEM458760:UEM458809 UOI458760:UOI458809 UYE458760:UYE458809 VIA458760:VIA458809 VRW458760:VRW458809 WBS458760:WBS458809 WLO458760:WLO458809 WVK458760:WVK458809 C524296:C524345 IY524296:IY524345 SU524296:SU524345 ACQ524296:ACQ524345 AMM524296:AMM524345 AWI524296:AWI524345 BGE524296:BGE524345 BQA524296:BQA524345 BZW524296:BZW524345 CJS524296:CJS524345 CTO524296:CTO524345 DDK524296:DDK524345 DNG524296:DNG524345 DXC524296:DXC524345 EGY524296:EGY524345 EQU524296:EQU524345 FAQ524296:FAQ524345 FKM524296:FKM524345 FUI524296:FUI524345 GEE524296:GEE524345 GOA524296:GOA524345 GXW524296:GXW524345 HHS524296:HHS524345 HRO524296:HRO524345 IBK524296:IBK524345 ILG524296:ILG524345 IVC524296:IVC524345 JEY524296:JEY524345 JOU524296:JOU524345 JYQ524296:JYQ524345 KIM524296:KIM524345 KSI524296:KSI524345 LCE524296:LCE524345 LMA524296:LMA524345 LVW524296:LVW524345 MFS524296:MFS524345 MPO524296:MPO524345 MZK524296:MZK524345 NJG524296:NJG524345 NTC524296:NTC524345 OCY524296:OCY524345 OMU524296:OMU524345 OWQ524296:OWQ524345 PGM524296:PGM524345 PQI524296:PQI524345 QAE524296:QAE524345 QKA524296:QKA524345 QTW524296:QTW524345 RDS524296:RDS524345 RNO524296:RNO524345 RXK524296:RXK524345 SHG524296:SHG524345 SRC524296:SRC524345 TAY524296:TAY524345 TKU524296:TKU524345 TUQ524296:TUQ524345 UEM524296:UEM524345 UOI524296:UOI524345 UYE524296:UYE524345 VIA524296:VIA524345 VRW524296:VRW524345 WBS524296:WBS524345 WLO524296:WLO524345 WVK524296:WVK524345 C589832:C589881 IY589832:IY589881 SU589832:SU589881 ACQ589832:ACQ589881 AMM589832:AMM589881 AWI589832:AWI589881 BGE589832:BGE589881 BQA589832:BQA589881 BZW589832:BZW589881 CJS589832:CJS589881 CTO589832:CTO589881 DDK589832:DDK589881 DNG589832:DNG589881 DXC589832:DXC589881 EGY589832:EGY589881 EQU589832:EQU589881 FAQ589832:FAQ589881 FKM589832:FKM589881 FUI589832:FUI589881 GEE589832:GEE589881 GOA589832:GOA589881 GXW589832:GXW589881 HHS589832:HHS589881 HRO589832:HRO589881 IBK589832:IBK589881 ILG589832:ILG589881 IVC589832:IVC589881 JEY589832:JEY589881 JOU589832:JOU589881 JYQ589832:JYQ589881 KIM589832:KIM589881 KSI589832:KSI589881 LCE589832:LCE589881 LMA589832:LMA589881 LVW589832:LVW589881 MFS589832:MFS589881 MPO589832:MPO589881 MZK589832:MZK589881 NJG589832:NJG589881 NTC589832:NTC589881 OCY589832:OCY589881 OMU589832:OMU589881 OWQ589832:OWQ589881 PGM589832:PGM589881 PQI589832:PQI589881 QAE589832:QAE589881 QKA589832:QKA589881 QTW589832:QTW589881 RDS589832:RDS589881 RNO589832:RNO589881 RXK589832:RXK589881 SHG589832:SHG589881 SRC589832:SRC589881 TAY589832:TAY589881 TKU589832:TKU589881 TUQ589832:TUQ589881 UEM589832:UEM589881 UOI589832:UOI589881 UYE589832:UYE589881 VIA589832:VIA589881 VRW589832:VRW589881 WBS589832:WBS589881 WLO589832:WLO589881 WVK589832:WVK589881 C655368:C655417 IY655368:IY655417 SU655368:SU655417 ACQ655368:ACQ655417 AMM655368:AMM655417 AWI655368:AWI655417 BGE655368:BGE655417 BQA655368:BQA655417 BZW655368:BZW655417 CJS655368:CJS655417 CTO655368:CTO655417 DDK655368:DDK655417 DNG655368:DNG655417 DXC655368:DXC655417 EGY655368:EGY655417 EQU655368:EQU655417 FAQ655368:FAQ655417 FKM655368:FKM655417 FUI655368:FUI655417 GEE655368:GEE655417 GOA655368:GOA655417 GXW655368:GXW655417 HHS655368:HHS655417 HRO655368:HRO655417 IBK655368:IBK655417 ILG655368:ILG655417 IVC655368:IVC655417 JEY655368:JEY655417 JOU655368:JOU655417 JYQ655368:JYQ655417 KIM655368:KIM655417 KSI655368:KSI655417 LCE655368:LCE655417 LMA655368:LMA655417 LVW655368:LVW655417 MFS655368:MFS655417 MPO655368:MPO655417 MZK655368:MZK655417 NJG655368:NJG655417 NTC655368:NTC655417 OCY655368:OCY655417 OMU655368:OMU655417 OWQ655368:OWQ655417 PGM655368:PGM655417 PQI655368:PQI655417 QAE655368:QAE655417 QKA655368:QKA655417 QTW655368:QTW655417 RDS655368:RDS655417 RNO655368:RNO655417 RXK655368:RXK655417 SHG655368:SHG655417 SRC655368:SRC655417 TAY655368:TAY655417 TKU655368:TKU655417 TUQ655368:TUQ655417 UEM655368:UEM655417 UOI655368:UOI655417 UYE655368:UYE655417 VIA655368:VIA655417 VRW655368:VRW655417 WBS655368:WBS655417 WLO655368:WLO655417 WVK655368:WVK655417 C720904:C720953 IY720904:IY720953 SU720904:SU720953 ACQ720904:ACQ720953 AMM720904:AMM720953 AWI720904:AWI720953 BGE720904:BGE720953 BQA720904:BQA720953 BZW720904:BZW720953 CJS720904:CJS720953 CTO720904:CTO720953 DDK720904:DDK720953 DNG720904:DNG720953 DXC720904:DXC720953 EGY720904:EGY720953 EQU720904:EQU720953 FAQ720904:FAQ720953 FKM720904:FKM720953 FUI720904:FUI720953 GEE720904:GEE720953 GOA720904:GOA720953 GXW720904:GXW720953 HHS720904:HHS720953 HRO720904:HRO720953 IBK720904:IBK720953 ILG720904:ILG720953 IVC720904:IVC720953 JEY720904:JEY720953 JOU720904:JOU720953 JYQ720904:JYQ720953 KIM720904:KIM720953 KSI720904:KSI720953 LCE720904:LCE720953 LMA720904:LMA720953 LVW720904:LVW720953 MFS720904:MFS720953 MPO720904:MPO720953 MZK720904:MZK720953 NJG720904:NJG720953 NTC720904:NTC720953 OCY720904:OCY720953 OMU720904:OMU720953 OWQ720904:OWQ720953 PGM720904:PGM720953 PQI720904:PQI720953 QAE720904:QAE720953 QKA720904:QKA720953 QTW720904:QTW720953 RDS720904:RDS720953 RNO720904:RNO720953 RXK720904:RXK720953 SHG720904:SHG720953 SRC720904:SRC720953 TAY720904:TAY720953 TKU720904:TKU720953 TUQ720904:TUQ720953 UEM720904:UEM720953 UOI720904:UOI720953 UYE720904:UYE720953 VIA720904:VIA720953 VRW720904:VRW720953 WBS720904:WBS720953 WLO720904:WLO720953 WVK720904:WVK720953 C786440:C786489 IY786440:IY786489 SU786440:SU786489 ACQ786440:ACQ786489 AMM786440:AMM786489 AWI786440:AWI786489 BGE786440:BGE786489 BQA786440:BQA786489 BZW786440:BZW786489 CJS786440:CJS786489 CTO786440:CTO786489 DDK786440:DDK786489 DNG786440:DNG786489 DXC786440:DXC786489 EGY786440:EGY786489 EQU786440:EQU786489 FAQ786440:FAQ786489 FKM786440:FKM786489 FUI786440:FUI786489 GEE786440:GEE786489 GOA786440:GOA786489 GXW786440:GXW786489 HHS786440:HHS786489 HRO786440:HRO786489 IBK786440:IBK786489 ILG786440:ILG786489 IVC786440:IVC786489 JEY786440:JEY786489 JOU786440:JOU786489 JYQ786440:JYQ786489 KIM786440:KIM786489 KSI786440:KSI786489 LCE786440:LCE786489 LMA786440:LMA786489 LVW786440:LVW786489 MFS786440:MFS786489 MPO786440:MPO786489 MZK786440:MZK786489 NJG786440:NJG786489 NTC786440:NTC786489 OCY786440:OCY786489 OMU786440:OMU786489 OWQ786440:OWQ786489 PGM786440:PGM786489 PQI786440:PQI786489 QAE786440:QAE786489 QKA786440:QKA786489 QTW786440:QTW786489 RDS786440:RDS786489 RNO786440:RNO786489 RXK786440:RXK786489 SHG786440:SHG786489 SRC786440:SRC786489 TAY786440:TAY786489 TKU786440:TKU786489 TUQ786440:TUQ786489 UEM786440:UEM786489 UOI786440:UOI786489 UYE786440:UYE786489 VIA786440:VIA786489 VRW786440:VRW786489 WBS786440:WBS786489 WLO786440:WLO786489 WVK786440:WVK786489 C851976:C852025 IY851976:IY852025 SU851976:SU852025 ACQ851976:ACQ852025 AMM851976:AMM852025 AWI851976:AWI852025 BGE851976:BGE852025 BQA851976:BQA852025 BZW851976:BZW852025 CJS851976:CJS852025 CTO851976:CTO852025 DDK851976:DDK852025 DNG851976:DNG852025 DXC851976:DXC852025 EGY851976:EGY852025 EQU851976:EQU852025 FAQ851976:FAQ852025 FKM851976:FKM852025 FUI851976:FUI852025 GEE851976:GEE852025 GOA851976:GOA852025 GXW851976:GXW852025 HHS851976:HHS852025 HRO851976:HRO852025 IBK851976:IBK852025 ILG851976:ILG852025 IVC851976:IVC852025 JEY851976:JEY852025 JOU851976:JOU852025 JYQ851976:JYQ852025 KIM851976:KIM852025 KSI851976:KSI852025 LCE851976:LCE852025 LMA851976:LMA852025 LVW851976:LVW852025 MFS851976:MFS852025 MPO851976:MPO852025 MZK851976:MZK852025 NJG851976:NJG852025 NTC851976:NTC852025 OCY851976:OCY852025 OMU851976:OMU852025 OWQ851976:OWQ852025 PGM851976:PGM852025 PQI851976:PQI852025 QAE851976:QAE852025 QKA851976:QKA852025 QTW851976:QTW852025 RDS851976:RDS852025 RNO851976:RNO852025 RXK851976:RXK852025 SHG851976:SHG852025 SRC851976:SRC852025 TAY851976:TAY852025 TKU851976:TKU852025 TUQ851976:TUQ852025 UEM851976:UEM852025 UOI851976:UOI852025 UYE851976:UYE852025 VIA851976:VIA852025 VRW851976:VRW852025 WBS851976:WBS852025 WLO851976:WLO852025 WVK851976:WVK852025 C917512:C917561 IY917512:IY917561 SU917512:SU917561 ACQ917512:ACQ917561 AMM917512:AMM917561 AWI917512:AWI917561 BGE917512:BGE917561 BQA917512:BQA917561 BZW917512:BZW917561 CJS917512:CJS917561 CTO917512:CTO917561 DDK917512:DDK917561 DNG917512:DNG917561 DXC917512:DXC917561 EGY917512:EGY917561 EQU917512:EQU917561 FAQ917512:FAQ917561 FKM917512:FKM917561 FUI917512:FUI917561 GEE917512:GEE917561 GOA917512:GOA917561 GXW917512:GXW917561 HHS917512:HHS917561 HRO917512:HRO917561 IBK917512:IBK917561 ILG917512:ILG917561 IVC917512:IVC917561 JEY917512:JEY917561 JOU917512:JOU917561 JYQ917512:JYQ917561 KIM917512:KIM917561 KSI917512:KSI917561 LCE917512:LCE917561 LMA917512:LMA917561 LVW917512:LVW917561 MFS917512:MFS917561 MPO917512:MPO917561 MZK917512:MZK917561 NJG917512:NJG917561 NTC917512:NTC917561 OCY917512:OCY917561 OMU917512:OMU917561 OWQ917512:OWQ917561 PGM917512:PGM917561 PQI917512:PQI917561 QAE917512:QAE917561 QKA917512:QKA917561 QTW917512:QTW917561 RDS917512:RDS917561 RNO917512:RNO917561 RXK917512:RXK917561 SHG917512:SHG917561 SRC917512:SRC917561 TAY917512:TAY917561 TKU917512:TKU917561 TUQ917512:TUQ917561 UEM917512:UEM917561 UOI917512:UOI917561 UYE917512:UYE917561 VIA917512:VIA917561 VRW917512:VRW917561 WBS917512:WBS917561 WLO917512:WLO917561 WVK917512:WVK917561 C983048:C983097 IY983048:IY983097 SU983048:SU983097 ACQ983048:ACQ983097 AMM983048:AMM983097 AWI983048:AWI983097 BGE983048:BGE983097 BQA983048:BQA983097 BZW983048:BZW983097 CJS983048:CJS983097 CTO983048:CTO983097 DDK983048:DDK983097 DNG983048:DNG983097 DXC983048:DXC983097 EGY983048:EGY983097 EQU983048:EQU983097 FAQ983048:FAQ983097 FKM983048:FKM983097 FUI983048:FUI983097 GEE983048:GEE983097 GOA983048:GOA983097 GXW983048:GXW983097 HHS983048:HHS983097 HRO983048:HRO983097 IBK983048:IBK983097 ILG983048:ILG983097 IVC983048:IVC983097 JEY983048:JEY983097 JOU983048:JOU983097 JYQ983048:JYQ983097 KIM983048:KIM983097 KSI983048:KSI983097 LCE983048:LCE983097 LMA983048:LMA983097 LVW983048:LVW983097 MFS983048:MFS983097 MPO983048:MPO983097 MZK983048:MZK983097 NJG983048:NJG983097 NTC983048:NTC983097 OCY983048:OCY983097 OMU983048:OMU983097 OWQ983048:OWQ983097 PGM983048:PGM983097 PQI983048:PQI983097 QAE983048:QAE983097 QKA983048:QKA983097 QTW983048:QTW983097 RDS983048:RDS983097 RNO983048:RNO983097 RXK983048:RXK983097 SHG983048:SHG983097 SRC983048:SRC983097 TAY983048:TAY983097 TKU983048:TKU983097 TUQ983048:TUQ983097 UEM983048:UEM983097 UOI983048:UOI983097 UYE983048:UYE983097 VIA983048:VIA983097 VRW983048:VRW983097 WBS983048:WBS983097 WLO983048:WLO983097 WVK983048:WVK983097" xr:uid="{135EEFA6-09B5-4EC7-A2B7-DB7E02ED96C4}">
      <formula1>"1,2,3,4,5"</formula1>
    </dataValidation>
    <dataValidation type="list" allowBlank="1" showInputMessage="1" showErrorMessage="1" error="Pick from list" sqref="E8:E57 JA8:JA57 SW8:SW57 ACS8:ACS57 AMO8:AMO57 AWK8:AWK57 BGG8:BGG57 BQC8:BQC57 BZY8:BZY57 CJU8:CJU57 CTQ8:CTQ57 DDM8:DDM57 DNI8:DNI57 DXE8:DXE57 EHA8:EHA57 EQW8:EQW57 FAS8:FAS57 FKO8:FKO57 FUK8:FUK57 GEG8:GEG57 GOC8:GOC57 GXY8:GXY57 HHU8:HHU57 HRQ8:HRQ57 IBM8:IBM57 ILI8:ILI57 IVE8:IVE57 JFA8:JFA57 JOW8:JOW57 JYS8:JYS57 KIO8:KIO57 KSK8:KSK57 LCG8:LCG57 LMC8:LMC57 LVY8:LVY57 MFU8:MFU57 MPQ8:MPQ57 MZM8:MZM57 NJI8:NJI57 NTE8:NTE57 ODA8:ODA57 OMW8:OMW57 OWS8:OWS57 PGO8:PGO57 PQK8:PQK57 QAG8:QAG57 QKC8:QKC57 QTY8:QTY57 RDU8:RDU57 RNQ8:RNQ57 RXM8:RXM57 SHI8:SHI57 SRE8:SRE57 TBA8:TBA57 TKW8:TKW57 TUS8:TUS57 UEO8:UEO57 UOK8:UOK57 UYG8:UYG57 VIC8:VIC57 VRY8:VRY57 WBU8:WBU57 WLQ8:WLQ57 WVM8:WVM57 E65544:E65593 JA65544:JA65593 SW65544:SW65593 ACS65544:ACS65593 AMO65544:AMO65593 AWK65544:AWK65593 BGG65544:BGG65593 BQC65544:BQC65593 BZY65544:BZY65593 CJU65544:CJU65593 CTQ65544:CTQ65593 DDM65544:DDM65593 DNI65544:DNI65593 DXE65544:DXE65593 EHA65544:EHA65593 EQW65544:EQW65593 FAS65544:FAS65593 FKO65544:FKO65593 FUK65544:FUK65593 GEG65544:GEG65593 GOC65544:GOC65593 GXY65544:GXY65593 HHU65544:HHU65593 HRQ65544:HRQ65593 IBM65544:IBM65593 ILI65544:ILI65593 IVE65544:IVE65593 JFA65544:JFA65593 JOW65544:JOW65593 JYS65544:JYS65593 KIO65544:KIO65593 KSK65544:KSK65593 LCG65544:LCG65593 LMC65544:LMC65593 LVY65544:LVY65593 MFU65544:MFU65593 MPQ65544:MPQ65593 MZM65544:MZM65593 NJI65544:NJI65593 NTE65544:NTE65593 ODA65544:ODA65593 OMW65544:OMW65593 OWS65544:OWS65593 PGO65544:PGO65593 PQK65544:PQK65593 QAG65544:QAG65593 QKC65544:QKC65593 QTY65544:QTY65593 RDU65544:RDU65593 RNQ65544:RNQ65593 RXM65544:RXM65593 SHI65544:SHI65593 SRE65544:SRE65593 TBA65544:TBA65593 TKW65544:TKW65593 TUS65544:TUS65593 UEO65544:UEO65593 UOK65544:UOK65593 UYG65544:UYG65593 VIC65544:VIC65593 VRY65544:VRY65593 WBU65544:WBU65593 WLQ65544:WLQ65593 WVM65544:WVM65593 E131080:E131129 JA131080:JA131129 SW131080:SW131129 ACS131080:ACS131129 AMO131080:AMO131129 AWK131080:AWK131129 BGG131080:BGG131129 BQC131080:BQC131129 BZY131080:BZY131129 CJU131080:CJU131129 CTQ131080:CTQ131129 DDM131080:DDM131129 DNI131080:DNI131129 DXE131080:DXE131129 EHA131080:EHA131129 EQW131080:EQW131129 FAS131080:FAS131129 FKO131080:FKO131129 FUK131080:FUK131129 GEG131080:GEG131129 GOC131080:GOC131129 GXY131080:GXY131129 HHU131080:HHU131129 HRQ131080:HRQ131129 IBM131080:IBM131129 ILI131080:ILI131129 IVE131080:IVE131129 JFA131080:JFA131129 JOW131080:JOW131129 JYS131080:JYS131129 KIO131080:KIO131129 KSK131080:KSK131129 LCG131080:LCG131129 LMC131080:LMC131129 LVY131080:LVY131129 MFU131080:MFU131129 MPQ131080:MPQ131129 MZM131080:MZM131129 NJI131080:NJI131129 NTE131080:NTE131129 ODA131080:ODA131129 OMW131080:OMW131129 OWS131080:OWS131129 PGO131080:PGO131129 PQK131080:PQK131129 QAG131080:QAG131129 QKC131080:QKC131129 QTY131080:QTY131129 RDU131080:RDU131129 RNQ131080:RNQ131129 RXM131080:RXM131129 SHI131080:SHI131129 SRE131080:SRE131129 TBA131080:TBA131129 TKW131080:TKW131129 TUS131080:TUS131129 UEO131080:UEO131129 UOK131080:UOK131129 UYG131080:UYG131129 VIC131080:VIC131129 VRY131080:VRY131129 WBU131080:WBU131129 WLQ131080:WLQ131129 WVM131080:WVM131129 E196616:E196665 JA196616:JA196665 SW196616:SW196665 ACS196616:ACS196665 AMO196616:AMO196665 AWK196616:AWK196665 BGG196616:BGG196665 BQC196616:BQC196665 BZY196616:BZY196665 CJU196616:CJU196665 CTQ196616:CTQ196665 DDM196616:DDM196665 DNI196616:DNI196665 DXE196616:DXE196665 EHA196616:EHA196665 EQW196616:EQW196665 FAS196616:FAS196665 FKO196616:FKO196665 FUK196616:FUK196665 GEG196616:GEG196665 GOC196616:GOC196665 GXY196616:GXY196665 HHU196616:HHU196665 HRQ196616:HRQ196665 IBM196616:IBM196665 ILI196616:ILI196665 IVE196616:IVE196665 JFA196616:JFA196665 JOW196616:JOW196665 JYS196616:JYS196665 KIO196616:KIO196665 KSK196616:KSK196665 LCG196616:LCG196665 LMC196616:LMC196665 LVY196616:LVY196665 MFU196616:MFU196665 MPQ196616:MPQ196665 MZM196616:MZM196665 NJI196616:NJI196665 NTE196616:NTE196665 ODA196616:ODA196665 OMW196616:OMW196665 OWS196616:OWS196665 PGO196616:PGO196665 PQK196616:PQK196665 QAG196616:QAG196665 QKC196616:QKC196665 QTY196616:QTY196665 RDU196616:RDU196665 RNQ196616:RNQ196665 RXM196616:RXM196665 SHI196616:SHI196665 SRE196616:SRE196665 TBA196616:TBA196665 TKW196616:TKW196665 TUS196616:TUS196665 UEO196616:UEO196665 UOK196616:UOK196665 UYG196616:UYG196665 VIC196616:VIC196665 VRY196616:VRY196665 WBU196616:WBU196665 WLQ196616:WLQ196665 WVM196616:WVM196665 E262152:E262201 JA262152:JA262201 SW262152:SW262201 ACS262152:ACS262201 AMO262152:AMO262201 AWK262152:AWK262201 BGG262152:BGG262201 BQC262152:BQC262201 BZY262152:BZY262201 CJU262152:CJU262201 CTQ262152:CTQ262201 DDM262152:DDM262201 DNI262152:DNI262201 DXE262152:DXE262201 EHA262152:EHA262201 EQW262152:EQW262201 FAS262152:FAS262201 FKO262152:FKO262201 FUK262152:FUK262201 GEG262152:GEG262201 GOC262152:GOC262201 GXY262152:GXY262201 HHU262152:HHU262201 HRQ262152:HRQ262201 IBM262152:IBM262201 ILI262152:ILI262201 IVE262152:IVE262201 JFA262152:JFA262201 JOW262152:JOW262201 JYS262152:JYS262201 KIO262152:KIO262201 KSK262152:KSK262201 LCG262152:LCG262201 LMC262152:LMC262201 LVY262152:LVY262201 MFU262152:MFU262201 MPQ262152:MPQ262201 MZM262152:MZM262201 NJI262152:NJI262201 NTE262152:NTE262201 ODA262152:ODA262201 OMW262152:OMW262201 OWS262152:OWS262201 PGO262152:PGO262201 PQK262152:PQK262201 QAG262152:QAG262201 QKC262152:QKC262201 QTY262152:QTY262201 RDU262152:RDU262201 RNQ262152:RNQ262201 RXM262152:RXM262201 SHI262152:SHI262201 SRE262152:SRE262201 TBA262152:TBA262201 TKW262152:TKW262201 TUS262152:TUS262201 UEO262152:UEO262201 UOK262152:UOK262201 UYG262152:UYG262201 VIC262152:VIC262201 VRY262152:VRY262201 WBU262152:WBU262201 WLQ262152:WLQ262201 WVM262152:WVM262201 E327688:E327737 JA327688:JA327737 SW327688:SW327737 ACS327688:ACS327737 AMO327688:AMO327737 AWK327688:AWK327737 BGG327688:BGG327737 BQC327688:BQC327737 BZY327688:BZY327737 CJU327688:CJU327737 CTQ327688:CTQ327737 DDM327688:DDM327737 DNI327688:DNI327737 DXE327688:DXE327737 EHA327688:EHA327737 EQW327688:EQW327737 FAS327688:FAS327737 FKO327688:FKO327737 FUK327688:FUK327737 GEG327688:GEG327737 GOC327688:GOC327737 GXY327688:GXY327737 HHU327688:HHU327737 HRQ327688:HRQ327737 IBM327688:IBM327737 ILI327688:ILI327737 IVE327688:IVE327737 JFA327688:JFA327737 JOW327688:JOW327737 JYS327688:JYS327737 KIO327688:KIO327737 KSK327688:KSK327737 LCG327688:LCG327737 LMC327688:LMC327737 LVY327688:LVY327737 MFU327688:MFU327737 MPQ327688:MPQ327737 MZM327688:MZM327737 NJI327688:NJI327737 NTE327688:NTE327737 ODA327688:ODA327737 OMW327688:OMW327737 OWS327688:OWS327737 PGO327688:PGO327737 PQK327688:PQK327737 QAG327688:QAG327737 QKC327688:QKC327737 QTY327688:QTY327737 RDU327688:RDU327737 RNQ327688:RNQ327737 RXM327688:RXM327737 SHI327688:SHI327737 SRE327688:SRE327737 TBA327688:TBA327737 TKW327688:TKW327737 TUS327688:TUS327737 UEO327688:UEO327737 UOK327688:UOK327737 UYG327688:UYG327737 VIC327688:VIC327737 VRY327688:VRY327737 WBU327688:WBU327737 WLQ327688:WLQ327737 WVM327688:WVM327737 E393224:E393273 JA393224:JA393273 SW393224:SW393273 ACS393224:ACS393273 AMO393224:AMO393273 AWK393224:AWK393273 BGG393224:BGG393273 BQC393224:BQC393273 BZY393224:BZY393273 CJU393224:CJU393273 CTQ393224:CTQ393273 DDM393224:DDM393273 DNI393224:DNI393273 DXE393224:DXE393273 EHA393224:EHA393273 EQW393224:EQW393273 FAS393224:FAS393273 FKO393224:FKO393273 FUK393224:FUK393273 GEG393224:GEG393273 GOC393224:GOC393273 GXY393224:GXY393273 HHU393224:HHU393273 HRQ393224:HRQ393273 IBM393224:IBM393273 ILI393224:ILI393273 IVE393224:IVE393273 JFA393224:JFA393273 JOW393224:JOW393273 JYS393224:JYS393273 KIO393224:KIO393273 KSK393224:KSK393273 LCG393224:LCG393273 LMC393224:LMC393273 LVY393224:LVY393273 MFU393224:MFU393273 MPQ393224:MPQ393273 MZM393224:MZM393273 NJI393224:NJI393273 NTE393224:NTE393273 ODA393224:ODA393273 OMW393224:OMW393273 OWS393224:OWS393273 PGO393224:PGO393273 PQK393224:PQK393273 QAG393224:QAG393273 QKC393224:QKC393273 QTY393224:QTY393273 RDU393224:RDU393273 RNQ393224:RNQ393273 RXM393224:RXM393273 SHI393224:SHI393273 SRE393224:SRE393273 TBA393224:TBA393273 TKW393224:TKW393273 TUS393224:TUS393273 UEO393224:UEO393273 UOK393224:UOK393273 UYG393224:UYG393273 VIC393224:VIC393273 VRY393224:VRY393273 WBU393224:WBU393273 WLQ393224:WLQ393273 WVM393224:WVM393273 E458760:E458809 JA458760:JA458809 SW458760:SW458809 ACS458760:ACS458809 AMO458760:AMO458809 AWK458760:AWK458809 BGG458760:BGG458809 BQC458760:BQC458809 BZY458760:BZY458809 CJU458760:CJU458809 CTQ458760:CTQ458809 DDM458760:DDM458809 DNI458760:DNI458809 DXE458760:DXE458809 EHA458760:EHA458809 EQW458760:EQW458809 FAS458760:FAS458809 FKO458760:FKO458809 FUK458760:FUK458809 GEG458760:GEG458809 GOC458760:GOC458809 GXY458760:GXY458809 HHU458760:HHU458809 HRQ458760:HRQ458809 IBM458760:IBM458809 ILI458760:ILI458809 IVE458760:IVE458809 JFA458760:JFA458809 JOW458760:JOW458809 JYS458760:JYS458809 KIO458760:KIO458809 KSK458760:KSK458809 LCG458760:LCG458809 LMC458760:LMC458809 LVY458760:LVY458809 MFU458760:MFU458809 MPQ458760:MPQ458809 MZM458760:MZM458809 NJI458760:NJI458809 NTE458760:NTE458809 ODA458760:ODA458809 OMW458760:OMW458809 OWS458760:OWS458809 PGO458760:PGO458809 PQK458760:PQK458809 QAG458760:QAG458809 QKC458760:QKC458809 QTY458760:QTY458809 RDU458760:RDU458809 RNQ458760:RNQ458809 RXM458760:RXM458809 SHI458760:SHI458809 SRE458760:SRE458809 TBA458760:TBA458809 TKW458760:TKW458809 TUS458760:TUS458809 UEO458760:UEO458809 UOK458760:UOK458809 UYG458760:UYG458809 VIC458760:VIC458809 VRY458760:VRY458809 WBU458760:WBU458809 WLQ458760:WLQ458809 WVM458760:WVM458809 E524296:E524345 JA524296:JA524345 SW524296:SW524345 ACS524296:ACS524345 AMO524296:AMO524345 AWK524296:AWK524345 BGG524296:BGG524345 BQC524296:BQC524345 BZY524296:BZY524345 CJU524296:CJU524345 CTQ524296:CTQ524345 DDM524296:DDM524345 DNI524296:DNI524345 DXE524296:DXE524345 EHA524296:EHA524345 EQW524296:EQW524345 FAS524296:FAS524345 FKO524296:FKO524345 FUK524296:FUK524345 GEG524296:GEG524345 GOC524296:GOC524345 GXY524296:GXY524345 HHU524296:HHU524345 HRQ524296:HRQ524345 IBM524296:IBM524345 ILI524296:ILI524345 IVE524296:IVE524345 JFA524296:JFA524345 JOW524296:JOW524345 JYS524296:JYS524345 KIO524296:KIO524345 KSK524296:KSK524345 LCG524296:LCG524345 LMC524296:LMC524345 LVY524296:LVY524345 MFU524296:MFU524345 MPQ524296:MPQ524345 MZM524296:MZM524345 NJI524296:NJI524345 NTE524296:NTE524345 ODA524296:ODA524345 OMW524296:OMW524345 OWS524296:OWS524345 PGO524296:PGO524345 PQK524296:PQK524345 QAG524296:QAG524345 QKC524296:QKC524345 QTY524296:QTY524345 RDU524296:RDU524345 RNQ524296:RNQ524345 RXM524296:RXM524345 SHI524296:SHI524345 SRE524296:SRE524345 TBA524296:TBA524345 TKW524296:TKW524345 TUS524296:TUS524345 UEO524296:UEO524345 UOK524296:UOK524345 UYG524296:UYG524345 VIC524296:VIC524345 VRY524296:VRY524345 WBU524296:WBU524345 WLQ524296:WLQ524345 WVM524296:WVM524345 E589832:E589881 JA589832:JA589881 SW589832:SW589881 ACS589832:ACS589881 AMO589832:AMO589881 AWK589832:AWK589881 BGG589832:BGG589881 BQC589832:BQC589881 BZY589832:BZY589881 CJU589832:CJU589881 CTQ589832:CTQ589881 DDM589832:DDM589881 DNI589832:DNI589881 DXE589832:DXE589881 EHA589832:EHA589881 EQW589832:EQW589881 FAS589832:FAS589881 FKO589832:FKO589881 FUK589832:FUK589881 GEG589832:GEG589881 GOC589832:GOC589881 GXY589832:GXY589881 HHU589832:HHU589881 HRQ589832:HRQ589881 IBM589832:IBM589881 ILI589832:ILI589881 IVE589832:IVE589881 JFA589832:JFA589881 JOW589832:JOW589881 JYS589832:JYS589881 KIO589832:KIO589881 KSK589832:KSK589881 LCG589832:LCG589881 LMC589832:LMC589881 LVY589832:LVY589881 MFU589832:MFU589881 MPQ589832:MPQ589881 MZM589832:MZM589881 NJI589832:NJI589881 NTE589832:NTE589881 ODA589832:ODA589881 OMW589832:OMW589881 OWS589832:OWS589881 PGO589832:PGO589881 PQK589832:PQK589881 QAG589832:QAG589881 QKC589832:QKC589881 QTY589832:QTY589881 RDU589832:RDU589881 RNQ589832:RNQ589881 RXM589832:RXM589881 SHI589832:SHI589881 SRE589832:SRE589881 TBA589832:TBA589881 TKW589832:TKW589881 TUS589832:TUS589881 UEO589832:UEO589881 UOK589832:UOK589881 UYG589832:UYG589881 VIC589832:VIC589881 VRY589832:VRY589881 WBU589832:WBU589881 WLQ589832:WLQ589881 WVM589832:WVM589881 E655368:E655417 JA655368:JA655417 SW655368:SW655417 ACS655368:ACS655417 AMO655368:AMO655417 AWK655368:AWK655417 BGG655368:BGG655417 BQC655368:BQC655417 BZY655368:BZY655417 CJU655368:CJU655417 CTQ655368:CTQ655417 DDM655368:DDM655417 DNI655368:DNI655417 DXE655368:DXE655417 EHA655368:EHA655417 EQW655368:EQW655417 FAS655368:FAS655417 FKO655368:FKO655417 FUK655368:FUK655417 GEG655368:GEG655417 GOC655368:GOC655417 GXY655368:GXY655417 HHU655368:HHU655417 HRQ655368:HRQ655417 IBM655368:IBM655417 ILI655368:ILI655417 IVE655368:IVE655417 JFA655368:JFA655417 JOW655368:JOW655417 JYS655368:JYS655417 KIO655368:KIO655417 KSK655368:KSK655417 LCG655368:LCG655417 LMC655368:LMC655417 LVY655368:LVY655417 MFU655368:MFU655417 MPQ655368:MPQ655417 MZM655368:MZM655417 NJI655368:NJI655417 NTE655368:NTE655417 ODA655368:ODA655417 OMW655368:OMW655417 OWS655368:OWS655417 PGO655368:PGO655417 PQK655368:PQK655417 QAG655368:QAG655417 QKC655368:QKC655417 QTY655368:QTY655417 RDU655368:RDU655417 RNQ655368:RNQ655417 RXM655368:RXM655417 SHI655368:SHI655417 SRE655368:SRE655417 TBA655368:TBA655417 TKW655368:TKW655417 TUS655368:TUS655417 UEO655368:UEO655417 UOK655368:UOK655417 UYG655368:UYG655417 VIC655368:VIC655417 VRY655368:VRY655417 WBU655368:WBU655417 WLQ655368:WLQ655417 WVM655368:WVM655417 E720904:E720953 JA720904:JA720953 SW720904:SW720953 ACS720904:ACS720953 AMO720904:AMO720953 AWK720904:AWK720953 BGG720904:BGG720953 BQC720904:BQC720953 BZY720904:BZY720953 CJU720904:CJU720953 CTQ720904:CTQ720953 DDM720904:DDM720953 DNI720904:DNI720953 DXE720904:DXE720953 EHA720904:EHA720953 EQW720904:EQW720953 FAS720904:FAS720953 FKO720904:FKO720953 FUK720904:FUK720953 GEG720904:GEG720953 GOC720904:GOC720953 GXY720904:GXY720953 HHU720904:HHU720953 HRQ720904:HRQ720953 IBM720904:IBM720953 ILI720904:ILI720953 IVE720904:IVE720953 JFA720904:JFA720953 JOW720904:JOW720953 JYS720904:JYS720953 KIO720904:KIO720953 KSK720904:KSK720953 LCG720904:LCG720953 LMC720904:LMC720953 LVY720904:LVY720953 MFU720904:MFU720953 MPQ720904:MPQ720953 MZM720904:MZM720953 NJI720904:NJI720953 NTE720904:NTE720953 ODA720904:ODA720953 OMW720904:OMW720953 OWS720904:OWS720953 PGO720904:PGO720953 PQK720904:PQK720953 QAG720904:QAG720953 QKC720904:QKC720953 QTY720904:QTY720953 RDU720904:RDU720953 RNQ720904:RNQ720953 RXM720904:RXM720953 SHI720904:SHI720953 SRE720904:SRE720953 TBA720904:TBA720953 TKW720904:TKW720953 TUS720904:TUS720953 UEO720904:UEO720953 UOK720904:UOK720953 UYG720904:UYG720953 VIC720904:VIC720953 VRY720904:VRY720953 WBU720904:WBU720953 WLQ720904:WLQ720953 WVM720904:WVM720953 E786440:E786489 JA786440:JA786489 SW786440:SW786489 ACS786440:ACS786489 AMO786440:AMO786489 AWK786440:AWK786489 BGG786440:BGG786489 BQC786440:BQC786489 BZY786440:BZY786489 CJU786440:CJU786489 CTQ786440:CTQ786489 DDM786440:DDM786489 DNI786440:DNI786489 DXE786440:DXE786489 EHA786440:EHA786489 EQW786440:EQW786489 FAS786440:FAS786489 FKO786440:FKO786489 FUK786440:FUK786489 GEG786440:GEG786489 GOC786440:GOC786489 GXY786440:GXY786489 HHU786440:HHU786489 HRQ786440:HRQ786489 IBM786440:IBM786489 ILI786440:ILI786489 IVE786440:IVE786489 JFA786440:JFA786489 JOW786440:JOW786489 JYS786440:JYS786489 KIO786440:KIO786489 KSK786440:KSK786489 LCG786440:LCG786489 LMC786440:LMC786489 LVY786440:LVY786489 MFU786440:MFU786489 MPQ786440:MPQ786489 MZM786440:MZM786489 NJI786440:NJI786489 NTE786440:NTE786489 ODA786440:ODA786489 OMW786440:OMW786489 OWS786440:OWS786489 PGO786440:PGO786489 PQK786440:PQK786489 QAG786440:QAG786489 QKC786440:QKC786489 QTY786440:QTY786489 RDU786440:RDU786489 RNQ786440:RNQ786489 RXM786440:RXM786489 SHI786440:SHI786489 SRE786440:SRE786489 TBA786440:TBA786489 TKW786440:TKW786489 TUS786440:TUS786489 UEO786440:UEO786489 UOK786440:UOK786489 UYG786440:UYG786489 VIC786440:VIC786489 VRY786440:VRY786489 WBU786440:WBU786489 WLQ786440:WLQ786489 WVM786440:WVM786489 E851976:E852025 JA851976:JA852025 SW851976:SW852025 ACS851976:ACS852025 AMO851976:AMO852025 AWK851976:AWK852025 BGG851976:BGG852025 BQC851976:BQC852025 BZY851976:BZY852025 CJU851976:CJU852025 CTQ851976:CTQ852025 DDM851976:DDM852025 DNI851976:DNI852025 DXE851976:DXE852025 EHA851976:EHA852025 EQW851976:EQW852025 FAS851976:FAS852025 FKO851976:FKO852025 FUK851976:FUK852025 GEG851976:GEG852025 GOC851976:GOC852025 GXY851976:GXY852025 HHU851976:HHU852025 HRQ851976:HRQ852025 IBM851976:IBM852025 ILI851976:ILI852025 IVE851976:IVE852025 JFA851976:JFA852025 JOW851976:JOW852025 JYS851976:JYS852025 KIO851976:KIO852025 KSK851976:KSK852025 LCG851976:LCG852025 LMC851976:LMC852025 LVY851976:LVY852025 MFU851976:MFU852025 MPQ851976:MPQ852025 MZM851976:MZM852025 NJI851976:NJI852025 NTE851976:NTE852025 ODA851976:ODA852025 OMW851976:OMW852025 OWS851976:OWS852025 PGO851976:PGO852025 PQK851976:PQK852025 QAG851976:QAG852025 QKC851976:QKC852025 QTY851976:QTY852025 RDU851976:RDU852025 RNQ851976:RNQ852025 RXM851976:RXM852025 SHI851976:SHI852025 SRE851976:SRE852025 TBA851976:TBA852025 TKW851976:TKW852025 TUS851976:TUS852025 UEO851976:UEO852025 UOK851976:UOK852025 UYG851976:UYG852025 VIC851976:VIC852025 VRY851976:VRY852025 WBU851976:WBU852025 WLQ851976:WLQ852025 WVM851976:WVM852025 E917512:E917561 JA917512:JA917561 SW917512:SW917561 ACS917512:ACS917561 AMO917512:AMO917561 AWK917512:AWK917561 BGG917512:BGG917561 BQC917512:BQC917561 BZY917512:BZY917561 CJU917512:CJU917561 CTQ917512:CTQ917561 DDM917512:DDM917561 DNI917512:DNI917561 DXE917512:DXE917561 EHA917512:EHA917561 EQW917512:EQW917561 FAS917512:FAS917561 FKO917512:FKO917561 FUK917512:FUK917561 GEG917512:GEG917561 GOC917512:GOC917561 GXY917512:GXY917561 HHU917512:HHU917561 HRQ917512:HRQ917561 IBM917512:IBM917561 ILI917512:ILI917561 IVE917512:IVE917561 JFA917512:JFA917561 JOW917512:JOW917561 JYS917512:JYS917561 KIO917512:KIO917561 KSK917512:KSK917561 LCG917512:LCG917561 LMC917512:LMC917561 LVY917512:LVY917561 MFU917512:MFU917561 MPQ917512:MPQ917561 MZM917512:MZM917561 NJI917512:NJI917561 NTE917512:NTE917561 ODA917512:ODA917561 OMW917512:OMW917561 OWS917512:OWS917561 PGO917512:PGO917561 PQK917512:PQK917561 QAG917512:QAG917561 QKC917512:QKC917561 QTY917512:QTY917561 RDU917512:RDU917561 RNQ917512:RNQ917561 RXM917512:RXM917561 SHI917512:SHI917561 SRE917512:SRE917561 TBA917512:TBA917561 TKW917512:TKW917561 TUS917512:TUS917561 UEO917512:UEO917561 UOK917512:UOK917561 UYG917512:UYG917561 VIC917512:VIC917561 VRY917512:VRY917561 WBU917512:WBU917561 WLQ917512:WLQ917561 WVM917512:WVM917561 E983048:E983097 JA983048:JA983097 SW983048:SW983097 ACS983048:ACS983097 AMO983048:AMO983097 AWK983048:AWK983097 BGG983048:BGG983097 BQC983048:BQC983097 BZY983048:BZY983097 CJU983048:CJU983097 CTQ983048:CTQ983097 DDM983048:DDM983097 DNI983048:DNI983097 DXE983048:DXE983097 EHA983048:EHA983097 EQW983048:EQW983097 FAS983048:FAS983097 FKO983048:FKO983097 FUK983048:FUK983097 GEG983048:GEG983097 GOC983048:GOC983097 GXY983048:GXY983097 HHU983048:HHU983097 HRQ983048:HRQ983097 IBM983048:IBM983097 ILI983048:ILI983097 IVE983048:IVE983097 JFA983048:JFA983097 JOW983048:JOW983097 JYS983048:JYS983097 KIO983048:KIO983097 KSK983048:KSK983097 LCG983048:LCG983097 LMC983048:LMC983097 LVY983048:LVY983097 MFU983048:MFU983097 MPQ983048:MPQ983097 MZM983048:MZM983097 NJI983048:NJI983097 NTE983048:NTE983097 ODA983048:ODA983097 OMW983048:OMW983097 OWS983048:OWS983097 PGO983048:PGO983097 PQK983048:PQK983097 QAG983048:QAG983097 QKC983048:QKC983097 QTY983048:QTY983097 RDU983048:RDU983097 RNQ983048:RNQ983097 RXM983048:RXM983097 SHI983048:SHI983097 SRE983048:SRE983097 TBA983048:TBA983097 TKW983048:TKW983097 TUS983048:TUS983097 UEO983048:UEO983097 UOK983048:UOK983097 UYG983048:UYG983097 VIC983048:VIC983097 VRY983048:VRY983097 WBU983048:WBU983097 WLQ983048:WLQ983097 WVM983048:WVM983097" xr:uid="{BC795F48-230D-4699-9AF1-04E61C863894}">
      <formula1>"L,N"</formula1>
    </dataValidation>
    <dataValidation type="list" allowBlank="1" showInputMessage="1" sqref="G8 G9:G56 D8:D57" xr:uid="{EE4C34FF-6ECE-4309-9667-D73FE93E67C3}">
      <mc:AlternateContent xmlns:x12ac="http://schemas.microsoft.com/office/spreadsheetml/2011/1/ac" xmlns:mc="http://schemas.openxmlformats.org/markup-compatibility/2006">
        <mc:Choice Requires="x12ac">
          <x12ac:list>N/D,"'0,000","0,005","0,01","0,02","0,03","0,04","0,05","0,06","0,07","0,08","0,09","0,1",Entervalue</x12ac:list>
        </mc:Choice>
        <mc:Fallback>
          <formula1>"N/D,'0,000,0,005,0,01,0,02,0,03,0,04,0,05,0,06,0,07,0,08,0,09,0,1,Entervalue"</formula1>
        </mc:Fallback>
      </mc:AlternateContent>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1E739-EED4-47AF-8D7E-8249D61E6784}">
  <sheetPr codeName="Feuil6"/>
  <dimension ref="A1:AS44"/>
  <sheetViews>
    <sheetView showRowColHeaders="0" workbookViewId="0">
      <selection activeCell="P5" sqref="P5"/>
    </sheetView>
  </sheetViews>
  <sheetFormatPr baseColWidth="10" defaultColWidth="9.1796875" defaultRowHeight="14.5"/>
  <cols>
    <col min="1" max="1" width="1.453125" style="623" customWidth="1"/>
    <col min="2" max="5" width="9.1796875" style="520"/>
    <col min="6" max="6" width="10.81640625" style="520" customWidth="1"/>
    <col min="7" max="7" width="14.453125" style="520" hidden="1" customWidth="1"/>
    <col min="8" max="8" width="11.54296875" style="520" hidden="1" customWidth="1"/>
    <col min="9" max="16" width="9.1796875" style="520"/>
    <col min="17" max="17" width="9.26953125" style="520" bestFit="1" customWidth="1"/>
    <col min="18" max="18" width="13.7265625" style="520" customWidth="1"/>
    <col min="19" max="19" width="9.1796875" style="623"/>
    <col min="20" max="20" width="8.1796875" style="623" customWidth="1"/>
    <col min="21" max="21" width="7.81640625" style="623" customWidth="1"/>
    <col min="22" max="22" width="22.453125" style="623" hidden="1" customWidth="1"/>
    <col min="23" max="23" width="17" style="623" hidden="1" customWidth="1"/>
    <col min="24" max="24" width="11.7265625" style="623" hidden="1" customWidth="1"/>
    <col min="25" max="25" width="10.54296875" style="623" hidden="1" customWidth="1"/>
    <col min="26" max="26" width="18.7265625" style="623" hidden="1" customWidth="1"/>
    <col min="27" max="27" width="21.54296875" style="623" hidden="1" customWidth="1"/>
    <col min="28" max="256" width="9.1796875" style="623"/>
    <col min="257" max="257" width="1.453125" style="623" customWidth="1"/>
    <col min="258" max="261" width="9.1796875" style="623"/>
    <col min="262" max="262" width="10.81640625" style="623" customWidth="1"/>
    <col min="263" max="264" width="0" style="623" hidden="1" customWidth="1"/>
    <col min="265" max="272" width="9.1796875" style="623"/>
    <col min="273" max="273" width="9.26953125" style="623" bestFit="1" customWidth="1"/>
    <col min="274" max="274" width="13.7265625" style="623" customWidth="1"/>
    <col min="275" max="275" width="9.1796875" style="623"/>
    <col min="276" max="276" width="8.1796875" style="623" customWidth="1"/>
    <col min="277" max="277" width="7.81640625" style="623" customWidth="1"/>
    <col min="278" max="283" width="0" style="623" hidden="1" customWidth="1"/>
    <col min="284" max="512" width="9.1796875" style="623"/>
    <col min="513" max="513" width="1.453125" style="623" customWidth="1"/>
    <col min="514" max="517" width="9.1796875" style="623"/>
    <col min="518" max="518" width="10.81640625" style="623" customWidth="1"/>
    <col min="519" max="520" width="0" style="623" hidden="1" customWidth="1"/>
    <col min="521" max="528" width="9.1796875" style="623"/>
    <col min="529" max="529" width="9.26953125" style="623" bestFit="1" customWidth="1"/>
    <col min="530" max="530" width="13.7265625" style="623" customWidth="1"/>
    <col min="531" max="531" width="9.1796875" style="623"/>
    <col min="532" max="532" width="8.1796875" style="623" customWidth="1"/>
    <col min="533" max="533" width="7.81640625" style="623" customWidth="1"/>
    <col min="534" max="539" width="0" style="623" hidden="1" customWidth="1"/>
    <col min="540" max="768" width="9.1796875" style="623"/>
    <col min="769" max="769" width="1.453125" style="623" customWidth="1"/>
    <col min="770" max="773" width="9.1796875" style="623"/>
    <col min="774" max="774" width="10.81640625" style="623" customWidth="1"/>
    <col min="775" max="776" width="0" style="623" hidden="1" customWidth="1"/>
    <col min="777" max="784" width="9.1796875" style="623"/>
    <col min="785" max="785" width="9.26953125" style="623" bestFit="1" customWidth="1"/>
    <col min="786" max="786" width="13.7265625" style="623" customWidth="1"/>
    <col min="787" max="787" width="9.1796875" style="623"/>
    <col min="788" max="788" width="8.1796875" style="623" customWidth="1"/>
    <col min="789" max="789" width="7.81640625" style="623" customWidth="1"/>
    <col min="790" max="795" width="0" style="623" hidden="1" customWidth="1"/>
    <col min="796" max="1024" width="9.1796875" style="623"/>
    <col min="1025" max="1025" width="1.453125" style="623" customWidth="1"/>
    <col min="1026" max="1029" width="9.1796875" style="623"/>
    <col min="1030" max="1030" width="10.81640625" style="623" customWidth="1"/>
    <col min="1031" max="1032" width="0" style="623" hidden="1" customWidth="1"/>
    <col min="1033" max="1040" width="9.1796875" style="623"/>
    <col min="1041" max="1041" width="9.26953125" style="623" bestFit="1" customWidth="1"/>
    <col min="1042" max="1042" width="13.7265625" style="623" customWidth="1"/>
    <col min="1043" max="1043" width="9.1796875" style="623"/>
    <col min="1044" max="1044" width="8.1796875" style="623" customWidth="1"/>
    <col min="1045" max="1045" width="7.81640625" style="623" customWidth="1"/>
    <col min="1046" max="1051" width="0" style="623" hidden="1" customWidth="1"/>
    <col min="1052" max="1280" width="9.1796875" style="623"/>
    <col min="1281" max="1281" width="1.453125" style="623" customWidth="1"/>
    <col min="1282" max="1285" width="9.1796875" style="623"/>
    <col min="1286" max="1286" width="10.81640625" style="623" customWidth="1"/>
    <col min="1287" max="1288" width="0" style="623" hidden="1" customWidth="1"/>
    <col min="1289" max="1296" width="9.1796875" style="623"/>
    <col min="1297" max="1297" width="9.26953125" style="623" bestFit="1" customWidth="1"/>
    <col min="1298" max="1298" width="13.7265625" style="623" customWidth="1"/>
    <col min="1299" max="1299" width="9.1796875" style="623"/>
    <col min="1300" max="1300" width="8.1796875" style="623" customWidth="1"/>
    <col min="1301" max="1301" width="7.81640625" style="623" customWidth="1"/>
    <col min="1302" max="1307" width="0" style="623" hidden="1" customWidth="1"/>
    <col min="1308" max="1536" width="9.1796875" style="623"/>
    <col min="1537" max="1537" width="1.453125" style="623" customWidth="1"/>
    <col min="1538" max="1541" width="9.1796875" style="623"/>
    <col min="1542" max="1542" width="10.81640625" style="623" customWidth="1"/>
    <col min="1543" max="1544" width="0" style="623" hidden="1" customWidth="1"/>
    <col min="1545" max="1552" width="9.1796875" style="623"/>
    <col min="1553" max="1553" width="9.26953125" style="623" bestFit="1" customWidth="1"/>
    <col min="1554" max="1554" width="13.7265625" style="623" customWidth="1"/>
    <col min="1555" max="1555" width="9.1796875" style="623"/>
    <col min="1556" max="1556" width="8.1796875" style="623" customWidth="1"/>
    <col min="1557" max="1557" width="7.81640625" style="623" customWidth="1"/>
    <col min="1558" max="1563" width="0" style="623" hidden="1" customWidth="1"/>
    <col min="1564" max="1792" width="9.1796875" style="623"/>
    <col min="1793" max="1793" width="1.453125" style="623" customWidth="1"/>
    <col min="1794" max="1797" width="9.1796875" style="623"/>
    <col min="1798" max="1798" width="10.81640625" style="623" customWidth="1"/>
    <col min="1799" max="1800" width="0" style="623" hidden="1" customWidth="1"/>
    <col min="1801" max="1808" width="9.1796875" style="623"/>
    <col min="1809" max="1809" width="9.26953125" style="623" bestFit="1" customWidth="1"/>
    <col min="1810" max="1810" width="13.7265625" style="623" customWidth="1"/>
    <col min="1811" max="1811" width="9.1796875" style="623"/>
    <col min="1812" max="1812" width="8.1796875" style="623" customWidth="1"/>
    <col min="1813" max="1813" width="7.81640625" style="623" customWidth="1"/>
    <col min="1814" max="1819" width="0" style="623" hidden="1" customWidth="1"/>
    <col min="1820" max="2048" width="9.1796875" style="623"/>
    <col min="2049" max="2049" width="1.453125" style="623" customWidth="1"/>
    <col min="2050" max="2053" width="9.1796875" style="623"/>
    <col min="2054" max="2054" width="10.81640625" style="623" customWidth="1"/>
    <col min="2055" max="2056" width="0" style="623" hidden="1" customWidth="1"/>
    <col min="2057" max="2064" width="9.1796875" style="623"/>
    <col min="2065" max="2065" width="9.26953125" style="623" bestFit="1" customWidth="1"/>
    <col min="2066" max="2066" width="13.7265625" style="623" customWidth="1"/>
    <col min="2067" max="2067" width="9.1796875" style="623"/>
    <col min="2068" max="2068" width="8.1796875" style="623" customWidth="1"/>
    <col min="2069" max="2069" width="7.81640625" style="623" customWidth="1"/>
    <col min="2070" max="2075" width="0" style="623" hidden="1" customWidth="1"/>
    <col min="2076" max="2304" width="9.1796875" style="623"/>
    <col min="2305" max="2305" width="1.453125" style="623" customWidth="1"/>
    <col min="2306" max="2309" width="9.1796875" style="623"/>
    <col min="2310" max="2310" width="10.81640625" style="623" customWidth="1"/>
    <col min="2311" max="2312" width="0" style="623" hidden="1" customWidth="1"/>
    <col min="2313" max="2320" width="9.1796875" style="623"/>
    <col min="2321" max="2321" width="9.26953125" style="623" bestFit="1" customWidth="1"/>
    <col min="2322" max="2322" width="13.7265625" style="623" customWidth="1"/>
    <col min="2323" max="2323" width="9.1796875" style="623"/>
    <col min="2324" max="2324" width="8.1796875" style="623" customWidth="1"/>
    <col min="2325" max="2325" width="7.81640625" style="623" customWidth="1"/>
    <col min="2326" max="2331" width="0" style="623" hidden="1" customWidth="1"/>
    <col min="2332" max="2560" width="9.1796875" style="623"/>
    <col min="2561" max="2561" width="1.453125" style="623" customWidth="1"/>
    <col min="2562" max="2565" width="9.1796875" style="623"/>
    <col min="2566" max="2566" width="10.81640625" style="623" customWidth="1"/>
    <col min="2567" max="2568" width="0" style="623" hidden="1" customWidth="1"/>
    <col min="2569" max="2576" width="9.1796875" style="623"/>
    <col min="2577" max="2577" width="9.26953125" style="623" bestFit="1" customWidth="1"/>
    <col min="2578" max="2578" width="13.7265625" style="623" customWidth="1"/>
    <col min="2579" max="2579" width="9.1796875" style="623"/>
    <col min="2580" max="2580" width="8.1796875" style="623" customWidth="1"/>
    <col min="2581" max="2581" width="7.81640625" style="623" customWidth="1"/>
    <col min="2582" max="2587" width="0" style="623" hidden="1" customWidth="1"/>
    <col min="2588" max="2816" width="9.1796875" style="623"/>
    <col min="2817" max="2817" width="1.453125" style="623" customWidth="1"/>
    <col min="2818" max="2821" width="9.1796875" style="623"/>
    <col min="2822" max="2822" width="10.81640625" style="623" customWidth="1"/>
    <col min="2823" max="2824" width="0" style="623" hidden="1" customWidth="1"/>
    <col min="2825" max="2832" width="9.1796875" style="623"/>
    <col min="2833" max="2833" width="9.26953125" style="623" bestFit="1" customWidth="1"/>
    <col min="2834" max="2834" width="13.7265625" style="623" customWidth="1"/>
    <col min="2835" max="2835" width="9.1796875" style="623"/>
    <col min="2836" max="2836" width="8.1796875" style="623" customWidth="1"/>
    <col min="2837" max="2837" width="7.81640625" style="623" customWidth="1"/>
    <col min="2838" max="2843" width="0" style="623" hidden="1" customWidth="1"/>
    <col min="2844" max="3072" width="9.1796875" style="623"/>
    <col min="3073" max="3073" width="1.453125" style="623" customWidth="1"/>
    <col min="3074" max="3077" width="9.1796875" style="623"/>
    <col min="3078" max="3078" width="10.81640625" style="623" customWidth="1"/>
    <col min="3079" max="3080" width="0" style="623" hidden="1" customWidth="1"/>
    <col min="3081" max="3088" width="9.1796875" style="623"/>
    <col min="3089" max="3089" width="9.26953125" style="623" bestFit="1" customWidth="1"/>
    <col min="3090" max="3090" width="13.7265625" style="623" customWidth="1"/>
    <col min="3091" max="3091" width="9.1796875" style="623"/>
    <col min="3092" max="3092" width="8.1796875" style="623" customWidth="1"/>
    <col min="3093" max="3093" width="7.81640625" style="623" customWidth="1"/>
    <col min="3094" max="3099" width="0" style="623" hidden="1" customWidth="1"/>
    <col min="3100" max="3328" width="9.1796875" style="623"/>
    <col min="3329" max="3329" width="1.453125" style="623" customWidth="1"/>
    <col min="3330" max="3333" width="9.1796875" style="623"/>
    <col min="3334" max="3334" width="10.81640625" style="623" customWidth="1"/>
    <col min="3335" max="3336" width="0" style="623" hidden="1" customWidth="1"/>
    <col min="3337" max="3344" width="9.1796875" style="623"/>
    <col min="3345" max="3345" width="9.26953125" style="623" bestFit="1" customWidth="1"/>
    <col min="3346" max="3346" width="13.7265625" style="623" customWidth="1"/>
    <col min="3347" max="3347" width="9.1796875" style="623"/>
    <col min="3348" max="3348" width="8.1796875" style="623" customWidth="1"/>
    <col min="3349" max="3349" width="7.81640625" style="623" customWidth="1"/>
    <col min="3350" max="3355" width="0" style="623" hidden="1" customWidth="1"/>
    <col min="3356" max="3584" width="9.1796875" style="623"/>
    <col min="3585" max="3585" width="1.453125" style="623" customWidth="1"/>
    <col min="3586" max="3589" width="9.1796875" style="623"/>
    <col min="3590" max="3590" width="10.81640625" style="623" customWidth="1"/>
    <col min="3591" max="3592" width="0" style="623" hidden="1" customWidth="1"/>
    <col min="3593" max="3600" width="9.1796875" style="623"/>
    <col min="3601" max="3601" width="9.26953125" style="623" bestFit="1" customWidth="1"/>
    <col min="3602" max="3602" width="13.7265625" style="623" customWidth="1"/>
    <col min="3603" max="3603" width="9.1796875" style="623"/>
    <col min="3604" max="3604" width="8.1796875" style="623" customWidth="1"/>
    <col min="3605" max="3605" width="7.81640625" style="623" customWidth="1"/>
    <col min="3606" max="3611" width="0" style="623" hidden="1" customWidth="1"/>
    <col min="3612" max="3840" width="9.1796875" style="623"/>
    <col min="3841" max="3841" width="1.453125" style="623" customWidth="1"/>
    <col min="3842" max="3845" width="9.1796875" style="623"/>
    <col min="3846" max="3846" width="10.81640625" style="623" customWidth="1"/>
    <col min="3847" max="3848" width="0" style="623" hidden="1" customWidth="1"/>
    <col min="3849" max="3856" width="9.1796875" style="623"/>
    <col min="3857" max="3857" width="9.26953125" style="623" bestFit="1" customWidth="1"/>
    <col min="3858" max="3858" width="13.7265625" style="623" customWidth="1"/>
    <col min="3859" max="3859" width="9.1796875" style="623"/>
    <col min="3860" max="3860" width="8.1796875" style="623" customWidth="1"/>
    <col min="3861" max="3861" width="7.81640625" style="623" customWidth="1"/>
    <col min="3862" max="3867" width="0" style="623" hidden="1" customWidth="1"/>
    <col min="3868" max="4096" width="9.1796875" style="623"/>
    <col min="4097" max="4097" width="1.453125" style="623" customWidth="1"/>
    <col min="4098" max="4101" width="9.1796875" style="623"/>
    <col min="4102" max="4102" width="10.81640625" style="623" customWidth="1"/>
    <col min="4103" max="4104" width="0" style="623" hidden="1" customWidth="1"/>
    <col min="4105" max="4112" width="9.1796875" style="623"/>
    <col min="4113" max="4113" width="9.26953125" style="623" bestFit="1" customWidth="1"/>
    <col min="4114" max="4114" width="13.7265625" style="623" customWidth="1"/>
    <col min="4115" max="4115" width="9.1796875" style="623"/>
    <col min="4116" max="4116" width="8.1796875" style="623" customWidth="1"/>
    <col min="4117" max="4117" width="7.81640625" style="623" customWidth="1"/>
    <col min="4118" max="4123" width="0" style="623" hidden="1" customWidth="1"/>
    <col min="4124" max="4352" width="9.1796875" style="623"/>
    <col min="4353" max="4353" width="1.453125" style="623" customWidth="1"/>
    <col min="4354" max="4357" width="9.1796875" style="623"/>
    <col min="4358" max="4358" width="10.81640625" style="623" customWidth="1"/>
    <col min="4359" max="4360" width="0" style="623" hidden="1" customWidth="1"/>
    <col min="4361" max="4368" width="9.1796875" style="623"/>
    <col min="4369" max="4369" width="9.26953125" style="623" bestFit="1" customWidth="1"/>
    <col min="4370" max="4370" width="13.7265625" style="623" customWidth="1"/>
    <col min="4371" max="4371" width="9.1796875" style="623"/>
    <col min="4372" max="4372" width="8.1796875" style="623" customWidth="1"/>
    <col min="4373" max="4373" width="7.81640625" style="623" customWidth="1"/>
    <col min="4374" max="4379" width="0" style="623" hidden="1" customWidth="1"/>
    <col min="4380" max="4608" width="9.1796875" style="623"/>
    <col min="4609" max="4609" width="1.453125" style="623" customWidth="1"/>
    <col min="4610" max="4613" width="9.1796875" style="623"/>
    <col min="4614" max="4614" width="10.81640625" style="623" customWidth="1"/>
    <col min="4615" max="4616" width="0" style="623" hidden="1" customWidth="1"/>
    <col min="4617" max="4624" width="9.1796875" style="623"/>
    <col min="4625" max="4625" width="9.26953125" style="623" bestFit="1" customWidth="1"/>
    <col min="4626" max="4626" width="13.7265625" style="623" customWidth="1"/>
    <col min="4627" max="4627" width="9.1796875" style="623"/>
    <col min="4628" max="4628" width="8.1796875" style="623" customWidth="1"/>
    <col min="4629" max="4629" width="7.81640625" style="623" customWidth="1"/>
    <col min="4630" max="4635" width="0" style="623" hidden="1" customWidth="1"/>
    <col min="4636" max="4864" width="9.1796875" style="623"/>
    <col min="4865" max="4865" width="1.453125" style="623" customWidth="1"/>
    <col min="4866" max="4869" width="9.1796875" style="623"/>
    <col min="4870" max="4870" width="10.81640625" style="623" customWidth="1"/>
    <col min="4871" max="4872" width="0" style="623" hidden="1" customWidth="1"/>
    <col min="4873" max="4880" width="9.1796875" style="623"/>
    <col min="4881" max="4881" width="9.26953125" style="623" bestFit="1" customWidth="1"/>
    <col min="4882" max="4882" width="13.7265625" style="623" customWidth="1"/>
    <col min="4883" max="4883" width="9.1796875" style="623"/>
    <col min="4884" max="4884" width="8.1796875" style="623" customWidth="1"/>
    <col min="4885" max="4885" width="7.81640625" style="623" customWidth="1"/>
    <col min="4886" max="4891" width="0" style="623" hidden="1" customWidth="1"/>
    <col min="4892" max="5120" width="9.1796875" style="623"/>
    <col min="5121" max="5121" width="1.453125" style="623" customWidth="1"/>
    <col min="5122" max="5125" width="9.1796875" style="623"/>
    <col min="5126" max="5126" width="10.81640625" style="623" customWidth="1"/>
    <col min="5127" max="5128" width="0" style="623" hidden="1" customWidth="1"/>
    <col min="5129" max="5136" width="9.1796875" style="623"/>
    <col min="5137" max="5137" width="9.26953125" style="623" bestFit="1" customWidth="1"/>
    <col min="5138" max="5138" width="13.7265625" style="623" customWidth="1"/>
    <col min="5139" max="5139" width="9.1796875" style="623"/>
    <col min="5140" max="5140" width="8.1796875" style="623" customWidth="1"/>
    <col min="5141" max="5141" width="7.81640625" style="623" customWidth="1"/>
    <col min="5142" max="5147" width="0" style="623" hidden="1" customWidth="1"/>
    <col min="5148" max="5376" width="9.1796875" style="623"/>
    <col min="5377" max="5377" width="1.453125" style="623" customWidth="1"/>
    <col min="5378" max="5381" width="9.1796875" style="623"/>
    <col min="5382" max="5382" width="10.81640625" style="623" customWidth="1"/>
    <col min="5383" max="5384" width="0" style="623" hidden="1" customWidth="1"/>
    <col min="5385" max="5392" width="9.1796875" style="623"/>
    <col min="5393" max="5393" width="9.26953125" style="623" bestFit="1" customWidth="1"/>
    <col min="5394" max="5394" width="13.7265625" style="623" customWidth="1"/>
    <col min="5395" max="5395" width="9.1796875" style="623"/>
    <col min="5396" max="5396" width="8.1796875" style="623" customWidth="1"/>
    <col min="5397" max="5397" width="7.81640625" style="623" customWidth="1"/>
    <col min="5398" max="5403" width="0" style="623" hidden="1" customWidth="1"/>
    <col min="5404" max="5632" width="9.1796875" style="623"/>
    <col min="5633" max="5633" width="1.453125" style="623" customWidth="1"/>
    <col min="5634" max="5637" width="9.1796875" style="623"/>
    <col min="5638" max="5638" width="10.81640625" style="623" customWidth="1"/>
    <col min="5639" max="5640" width="0" style="623" hidden="1" customWidth="1"/>
    <col min="5641" max="5648" width="9.1796875" style="623"/>
    <col min="5649" max="5649" width="9.26953125" style="623" bestFit="1" customWidth="1"/>
    <col min="5650" max="5650" width="13.7265625" style="623" customWidth="1"/>
    <col min="5651" max="5651" width="9.1796875" style="623"/>
    <col min="5652" max="5652" width="8.1796875" style="623" customWidth="1"/>
    <col min="5653" max="5653" width="7.81640625" style="623" customWidth="1"/>
    <col min="5654" max="5659" width="0" style="623" hidden="1" customWidth="1"/>
    <col min="5660" max="5888" width="9.1796875" style="623"/>
    <col min="5889" max="5889" width="1.453125" style="623" customWidth="1"/>
    <col min="5890" max="5893" width="9.1796875" style="623"/>
    <col min="5894" max="5894" width="10.81640625" style="623" customWidth="1"/>
    <col min="5895" max="5896" width="0" style="623" hidden="1" customWidth="1"/>
    <col min="5897" max="5904" width="9.1796875" style="623"/>
    <col min="5905" max="5905" width="9.26953125" style="623" bestFit="1" customWidth="1"/>
    <col min="5906" max="5906" width="13.7265625" style="623" customWidth="1"/>
    <col min="5907" max="5907" width="9.1796875" style="623"/>
    <col min="5908" max="5908" width="8.1796875" style="623" customWidth="1"/>
    <col min="5909" max="5909" width="7.81640625" style="623" customWidth="1"/>
    <col min="5910" max="5915" width="0" style="623" hidden="1" customWidth="1"/>
    <col min="5916" max="6144" width="9.1796875" style="623"/>
    <col min="6145" max="6145" width="1.453125" style="623" customWidth="1"/>
    <col min="6146" max="6149" width="9.1796875" style="623"/>
    <col min="6150" max="6150" width="10.81640625" style="623" customWidth="1"/>
    <col min="6151" max="6152" width="0" style="623" hidden="1" customWidth="1"/>
    <col min="6153" max="6160" width="9.1796875" style="623"/>
    <col min="6161" max="6161" width="9.26953125" style="623" bestFit="1" customWidth="1"/>
    <col min="6162" max="6162" width="13.7265625" style="623" customWidth="1"/>
    <col min="6163" max="6163" width="9.1796875" style="623"/>
    <col min="6164" max="6164" width="8.1796875" style="623" customWidth="1"/>
    <col min="6165" max="6165" width="7.81640625" style="623" customWidth="1"/>
    <col min="6166" max="6171" width="0" style="623" hidden="1" customWidth="1"/>
    <col min="6172" max="6400" width="9.1796875" style="623"/>
    <col min="6401" max="6401" width="1.453125" style="623" customWidth="1"/>
    <col min="6402" max="6405" width="9.1796875" style="623"/>
    <col min="6406" max="6406" width="10.81640625" style="623" customWidth="1"/>
    <col min="6407" max="6408" width="0" style="623" hidden="1" customWidth="1"/>
    <col min="6409" max="6416" width="9.1796875" style="623"/>
    <col min="6417" max="6417" width="9.26953125" style="623" bestFit="1" customWidth="1"/>
    <col min="6418" max="6418" width="13.7265625" style="623" customWidth="1"/>
    <col min="6419" max="6419" width="9.1796875" style="623"/>
    <col min="6420" max="6420" width="8.1796875" style="623" customWidth="1"/>
    <col min="6421" max="6421" width="7.81640625" style="623" customWidth="1"/>
    <col min="6422" max="6427" width="0" style="623" hidden="1" customWidth="1"/>
    <col min="6428" max="6656" width="9.1796875" style="623"/>
    <col min="6657" max="6657" width="1.453125" style="623" customWidth="1"/>
    <col min="6658" max="6661" width="9.1796875" style="623"/>
    <col min="6662" max="6662" width="10.81640625" style="623" customWidth="1"/>
    <col min="6663" max="6664" width="0" style="623" hidden="1" customWidth="1"/>
    <col min="6665" max="6672" width="9.1796875" style="623"/>
    <col min="6673" max="6673" width="9.26953125" style="623" bestFit="1" customWidth="1"/>
    <col min="6674" max="6674" width="13.7265625" style="623" customWidth="1"/>
    <col min="6675" max="6675" width="9.1796875" style="623"/>
    <col min="6676" max="6676" width="8.1796875" style="623" customWidth="1"/>
    <col min="6677" max="6677" width="7.81640625" style="623" customWidth="1"/>
    <col min="6678" max="6683" width="0" style="623" hidden="1" customWidth="1"/>
    <col min="6684" max="6912" width="9.1796875" style="623"/>
    <col min="6913" max="6913" width="1.453125" style="623" customWidth="1"/>
    <col min="6914" max="6917" width="9.1796875" style="623"/>
    <col min="6918" max="6918" width="10.81640625" style="623" customWidth="1"/>
    <col min="6919" max="6920" width="0" style="623" hidden="1" customWidth="1"/>
    <col min="6921" max="6928" width="9.1796875" style="623"/>
    <col min="6929" max="6929" width="9.26953125" style="623" bestFit="1" customWidth="1"/>
    <col min="6930" max="6930" width="13.7265625" style="623" customWidth="1"/>
    <col min="6931" max="6931" width="9.1796875" style="623"/>
    <col min="6932" max="6932" width="8.1796875" style="623" customWidth="1"/>
    <col min="6933" max="6933" width="7.81640625" style="623" customWidth="1"/>
    <col min="6934" max="6939" width="0" style="623" hidden="1" customWidth="1"/>
    <col min="6940" max="7168" width="9.1796875" style="623"/>
    <col min="7169" max="7169" width="1.453125" style="623" customWidth="1"/>
    <col min="7170" max="7173" width="9.1796875" style="623"/>
    <col min="7174" max="7174" width="10.81640625" style="623" customWidth="1"/>
    <col min="7175" max="7176" width="0" style="623" hidden="1" customWidth="1"/>
    <col min="7177" max="7184" width="9.1796875" style="623"/>
    <col min="7185" max="7185" width="9.26953125" style="623" bestFit="1" customWidth="1"/>
    <col min="7186" max="7186" width="13.7265625" style="623" customWidth="1"/>
    <col min="7187" max="7187" width="9.1796875" style="623"/>
    <col min="7188" max="7188" width="8.1796875" style="623" customWidth="1"/>
    <col min="7189" max="7189" width="7.81640625" style="623" customWidth="1"/>
    <col min="7190" max="7195" width="0" style="623" hidden="1" customWidth="1"/>
    <col min="7196" max="7424" width="9.1796875" style="623"/>
    <col min="7425" max="7425" width="1.453125" style="623" customWidth="1"/>
    <col min="7426" max="7429" width="9.1796875" style="623"/>
    <col min="7430" max="7430" width="10.81640625" style="623" customWidth="1"/>
    <col min="7431" max="7432" width="0" style="623" hidden="1" customWidth="1"/>
    <col min="7433" max="7440" width="9.1796875" style="623"/>
    <col min="7441" max="7441" width="9.26953125" style="623" bestFit="1" customWidth="1"/>
    <col min="7442" max="7442" width="13.7265625" style="623" customWidth="1"/>
    <col min="7443" max="7443" width="9.1796875" style="623"/>
    <col min="7444" max="7444" width="8.1796875" style="623" customWidth="1"/>
    <col min="7445" max="7445" width="7.81640625" style="623" customWidth="1"/>
    <col min="7446" max="7451" width="0" style="623" hidden="1" customWidth="1"/>
    <col min="7452" max="7680" width="9.1796875" style="623"/>
    <col min="7681" max="7681" width="1.453125" style="623" customWidth="1"/>
    <col min="7682" max="7685" width="9.1796875" style="623"/>
    <col min="7686" max="7686" width="10.81640625" style="623" customWidth="1"/>
    <col min="7687" max="7688" width="0" style="623" hidden="1" customWidth="1"/>
    <col min="7689" max="7696" width="9.1796875" style="623"/>
    <col min="7697" max="7697" width="9.26953125" style="623" bestFit="1" customWidth="1"/>
    <col min="7698" max="7698" width="13.7265625" style="623" customWidth="1"/>
    <col min="7699" max="7699" width="9.1796875" style="623"/>
    <col min="7700" max="7700" width="8.1796875" style="623" customWidth="1"/>
    <col min="7701" max="7701" width="7.81640625" style="623" customWidth="1"/>
    <col min="7702" max="7707" width="0" style="623" hidden="1" customWidth="1"/>
    <col min="7708" max="7936" width="9.1796875" style="623"/>
    <col min="7937" max="7937" width="1.453125" style="623" customWidth="1"/>
    <col min="7938" max="7941" width="9.1796875" style="623"/>
    <col min="7942" max="7942" width="10.81640625" style="623" customWidth="1"/>
    <col min="7943" max="7944" width="0" style="623" hidden="1" customWidth="1"/>
    <col min="7945" max="7952" width="9.1796875" style="623"/>
    <col min="7953" max="7953" width="9.26953125" style="623" bestFit="1" customWidth="1"/>
    <col min="7954" max="7954" width="13.7265625" style="623" customWidth="1"/>
    <col min="7955" max="7955" width="9.1796875" style="623"/>
    <col min="7956" max="7956" width="8.1796875" style="623" customWidth="1"/>
    <col min="7957" max="7957" width="7.81640625" style="623" customWidth="1"/>
    <col min="7958" max="7963" width="0" style="623" hidden="1" customWidth="1"/>
    <col min="7964" max="8192" width="9.1796875" style="623"/>
    <col min="8193" max="8193" width="1.453125" style="623" customWidth="1"/>
    <col min="8194" max="8197" width="9.1796875" style="623"/>
    <col min="8198" max="8198" width="10.81640625" style="623" customWidth="1"/>
    <col min="8199" max="8200" width="0" style="623" hidden="1" customWidth="1"/>
    <col min="8201" max="8208" width="9.1796875" style="623"/>
    <col min="8209" max="8209" width="9.26953125" style="623" bestFit="1" customWidth="1"/>
    <col min="8210" max="8210" width="13.7265625" style="623" customWidth="1"/>
    <col min="8211" max="8211" width="9.1796875" style="623"/>
    <col min="8212" max="8212" width="8.1796875" style="623" customWidth="1"/>
    <col min="8213" max="8213" width="7.81640625" style="623" customWidth="1"/>
    <col min="8214" max="8219" width="0" style="623" hidden="1" customWidth="1"/>
    <col min="8220" max="8448" width="9.1796875" style="623"/>
    <col min="8449" max="8449" width="1.453125" style="623" customWidth="1"/>
    <col min="8450" max="8453" width="9.1796875" style="623"/>
    <col min="8454" max="8454" width="10.81640625" style="623" customWidth="1"/>
    <col min="8455" max="8456" width="0" style="623" hidden="1" customWidth="1"/>
    <col min="8457" max="8464" width="9.1796875" style="623"/>
    <col min="8465" max="8465" width="9.26953125" style="623" bestFit="1" customWidth="1"/>
    <col min="8466" max="8466" width="13.7265625" style="623" customWidth="1"/>
    <col min="8467" max="8467" width="9.1796875" style="623"/>
    <col min="8468" max="8468" width="8.1796875" style="623" customWidth="1"/>
    <col min="8469" max="8469" width="7.81640625" style="623" customWidth="1"/>
    <col min="8470" max="8475" width="0" style="623" hidden="1" customWidth="1"/>
    <col min="8476" max="8704" width="9.1796875" style="623"/>
    <col min="8705" max="8705" width="1.453125" style="623" customWidth="1"/>
    <col min="8706" max="8709" width="9.1796875" style="623"/>
    <col min="8710" max="8710" width="10.81640625" style="623" customWidth="1"/>
    <col min="8711" max="8712" width="0" style="623" hidden="1" customWidth="1"/>
    <col min="8713" max="8720" width="9.1796875" style="623"/>
    <col min="8721" max="8721" width="9.26953125" style="623" bestFit="1" customWidth="1"/>
    <col min="8722" max="8722" width="13.7265625" style="623" customWidth="1"/>
    <col min="8723" max="8723" width="9.1796875" style="623"/>
    <col min="8724" max="8724" width="8.1796875" style="623" customWidth="1"/>
    <col min="8725" max="8725" width="7.81640625" style="623" customWidth="1"/>
    <col min="8726" max="8731" width="0" style="623" hidden="1" customWidth="1"/>
    <col min="8732" max="8960" width="9.1796875" style="623"/>
    <col min="8961" max="8961" width="1.453125" style="623" customWidth="1"/>
    <col min="8962" max="8965" width="9.1796875" style="623"/>
    <col min="8966" max="8966" width="10.81640625" style="623" customWidth="1"/>
    <col min="8967" max="8968" width="0" style="623" hidden="1" customWidth="1"/>
    <col min="8969" max="8976" width="9.1796875" style="623"/>
    <col min="8977" max="8977" width="9.26953125" style="623" bestFit="1" customWidth="1"/>
    <col min="8978" max="8978" width="13.7265625" style="623" customWidth="1"/>
    <col min="8979" max="8979" width="9.1796875" style="623"/>
    <col min="8980" max="8980" width="8.1796875" style="623" customWidth="1"/>
    <col min="8981" max="8981" width="7.81640625" style="623" customWidth="1"/>
    <col min="8982" max="8987" width="0" style="623" hidden="1" customWidth="1"/>
    <col min="8988" max="9216" width="9.1796875" style="623"/>
    <col min="9217" max="9217" width="1.453125" style="623" customWidth="1"/>
    <col min="9218" max="9221" width="9.1796875" style="623"/>
    <col min="9222" max="9222" width="10.81640625" style="623" customWidth="1"/>
    <col min="9223" max="9224" width="0" style="623" hidden="1" customWidth="1"/>
    <col min="9225" max="9232" width="9.1796875" style="623"/>
    <col min="9233" max="9233" width="9.26953125" style="623" bestFit="1" customWidth="1"/>
    <col min="9234" max="9234" width="13.7265625" style="623" customWidth="1"/>
    <col min="9235" max="9235" width="9.1796875" style="623"/>
    <col min="9236" max="9236" width="8.1796875" style="623" customWidth="1"/>
    <col min="9237" max="9237" width="7.81640625" style="623" customWidth="1"/>
    <col min="9238" max="9243" width="0" style="623" hidden="1" customWidth="1"/>
    <col min="9244" max="9472" width="9.1796875" style="623"/>
    <col min="9473" max="9473" width="1.453125" style="623" customWidth="1"/>
    <col min="9474" max="9477" width="9.1796875" style="623"/>
    <col min="9478" max="9478" width="10.81640625" style="623" customWidth="1"/>
    <col min="9479" max="9480" width="0" style="623" hidden="1" customWidth="1"/>
    <col min="9481" max="9488" width="9.1796875" style="623"/>
    <col min="9489" max="9489" width="9.26953125" style="623" bestFit="1" customWidth="1"/>
    <col min="9490" max="9490" width="13.7265625" style="623" customWidth="1"/>
    <col min="9491" max="9491" width="9.1796875" style="623"/>
    <col min="9492" max="9492" width="8.1796875" style="623" customWidth="1"/>
    <col min="9493" max="9493" width="7.81640625" style="623" customWidth="1"/>
    <col min="9494" max="9499" width="0" style="623" hidden="1" customWidth="1"/>
    <col min="9500" max="9728" width="9.1796875" style="623"/>
    <col min="9729" max="9729" width="1.453125" style="623" customWidth="1"/>
    <col min="9730" max="9733" width="9.1796875" style="623"/>
    <col min="9734" max="9734" width="10.81640625" style="623" customWidth="1"/>
    <col min="9735" max="9736" width="0" style="623" hidden="1" customWidth="1"/>
    <col min="9737" max="9744" width="9.1796875" style="623"/>
    <col min="9745" max="9745" width="9.26953125" style="623" bestFit="1" customWidth="1"/>
    <col min="9746" max="9746" width="13.7265625" style="623" customWidth="1"/>
    <col min="9747" max="9747" width="9.1796875" style="623"/>
    <col min="9748" max="9748" width="8.1796875" style="623" customWidth="1"/>
    <col min="9749" max="9749" width="7.81640625" style="623" customWidth="1"/>
    <col min="9750" max="9755" width="0" style="623" hidden="1" customWidth="1"/>
    <col min="9756" max="9984" width="9.1796875" style="623"/>
    <col min="9985" max="9985" width="1.453125" style="623" customWidth="1"/>
    <col min="9986" max="9989" width="9.1796875" style="623"/>
    <col min="9990" max="9990" width="10.81640625" style="623" customWidth="1"/>
    <col min="9991" max="9992" width="0" style="623" hidden="1" customWidth="1"/>
    <col min="9993" max="10000" width="9.1796875" style="623"/>
    <col min="10001" max="10001" width="9.26953125" style="623" bestFit="1" customWidth="1"/>
    <col min="10002" max="10002" width="13.7265625" style="623" customWidth="1"/>
    <col min="10003" max="10003" width="9.1796875" style="623"/>
    <col min="10004" max="10004" width="8.1796875" style="623" customWidth="1"/>
    <col min="10005" max="10005" width="7.81640625" style="623" customWidth="1"/>
    <col min="10006" max="10011" width="0" style="623" hidden="1" customWidth="1"/>
    <col min="10012" max="10240" width="9.1796875" style="623"/>
    <col min="10241" max="10241" width="1.453125" style="623" customWidth="1"/>
    <col min="10242" max="10245" width="9.1796875" style="623"/>
    <col min="10246" max="10246" width="10.81640625" style="623" customWidth="1"/>
    <col min="10247" max="10248" width="0" style="623" hidden="1" customWidth="1"/>
    <col min="10249" max="10256" width="9.1796875" style="623"/>
    <col min="10257" max="10257" width="9.26953125" style="623" bestFit="1" customWidth="1"/>
    <col min="10258" max="10258" width="13.7265625" style="623" customWidth="1"/>
    <col min="10259" max="10259" width="9.1796875" style="623"/>
    <col min="10260" max="10260" width="8.1796875" style="623" customWidth="1"/>
    <col min="10261" max="10261" width="7.81640625" style="623" customWidth="1"/>
    <col min="10262" max="10267" width="0" style="623" hidden="1" customWidth="1"/>
    <col min="10268" max="10496" width="9.1796875" style="623"/>
    <col min="10497" max="10497" width="1.453125" style="623" customWidth="1"/>
    <col min="10498" max="10501" width="9.1796875" style="623"/>
    <col min="10502" max="10502" width="10.81640625" style="623" customWidth="1"/>
    <col min="10503" max="10504" width="0" style="623" hidden="1" customWidth="1"/>
    <col min="10505" max="10512" width="9.1796875" style="623"/>
    <col min="10513" max="10513" width="9.26953125" style="623" bestFit="1" customWidth="1"/>
    <col min="10514" max="10514" width="13.7265625" style="623" customWidth="1"/>
    <col min="10515" max="10515" width="9.1796875" style="623"/>
    <col min="10516" max="10516" width="8.1796875" style="623" customWidth="1"/>
    <col min="10517" max="10517" width="7.81640625" style="623" customWidth="1"/>
    <col min="10518" max="10523" width="0" style="623" hidden="1" customWidth="1"/>
    <col min="10524" max="10752" width="9.1796875" style="623"/>
    <col min="10753" max="10753" width="1.453125" style="623" customWidth="1"/>
    <col min="10754" max="10757" width="9.1796875" style="623"/>
    <col min="10758" max="10758" width="10.81640625" style="623" customWidth="1"/>
    <col min="10759" max="10760" width="0" style="623" hidden="1" customWidth="1"/>
    <col min="10761" max="10768" width="9.1796875" style="623"/>
    <col min="10769" max="10769" width="9.26953125" style="623" bestFit="1" customWidth="1"/>
    <col min="10770" max="10770" width="13.7265625" style="623" customWidth="1"/>
    <col min="10771" max="10771" width="9.1796875" style="623"/>
    <col min="10772" max="10772" width="8.1796875" style="623" customWidth="1"/>
    <col min="10773" max="10773" width="7.81640625" style="623" customWidth="1"/>
    <col min="10774" max="10779" width="0" style="623" hidden="1" customWidth="1"/>
    <col min="10780" max="11008" width="9.1796875" style="623"/>
    <col min="11009" max="11009" width="1.453125" style="623" customWidth="1"/>
    <col min="11010" max="11013" width="9.1796875" style="623"/>
    <col min="11014" max="11014" width="10.81640625" style="623" customWidth="1"/>
    <col min="11015" max="11016" width="0" style="623" hidden="1" customWidth="1"/>
    <col min="11017" max="11024" width="9.1796875" style="623"/>
    <col min="11025" max="11025" width="9.26953125" style="623" bestFit="1" customWidth="1"/>
    <col min="11026" max="11026" width="13.7265625" style="623" customWidth="1"/>
    <col min="11027" max="11027" width="9.1796875" style="623"/>
    <col min="11028" max="11028" width="8.1796875" style="623" customWidth="1"/>
    <col min="11029" max="11029" width="7.81640625" style="623" customWidth="1"/>
    <col min="11030" max="11035" width="0" style="623" hidden="1" customWidth="1"/>
    <col min="11036" max="11264" width="9.1796875" style="623"/>
    <col min="11265" max="11265" width="1.453125" style="623" customWidth="1"/>
    <col min="11266" max="11269" width="9.1796875" style="623"/>
    <col min="11270" max="11270" width="10.81640625" style="623" customWidth="1"/>
    <col min="11271" max="11272" width="0" style="623" hidden="1" customWidth="1"/>
    <col min="11273" max="11280" width="9.1796875" style="623"/>
    <col min="11281" max="11281" width="9.26953125" style="623" bestFit="1" customWidth="1"/>
    <col min="11282" max="11282" width="13.7265625" style="623" customWidth="1"/>
    <col min="11283" max="11283" width="9.1796875" style="623"/>
    <col min="11284" max="11284" width="8.1796875" style="623" customWidth="1"/>
    <col min="11285" max="11285" width="7.81640625" style="623" customWidth="1"/>
    <col min="11286" max="11291" width="0" style="623" hidden="1" customWidth="1"/>
    <col min="11292" max="11520" width="9.1796875" style="623"/>
    <col min="11521" max="11521" width="1.453125" style="623" customWidth="1"/>
    <col min="11522" max="11525" width="9.1796875" style="623"/>
    <col min="11526" max="11526" width="10.81640625" style="623" customWidth="1"/>
    <col min="11527" max="11528" width="0" style="623" hidden="1" customWidth="1"/>
    <col min="11529" max="11536" width="9.1796875" style="623"/>
    <col min="11537" max="11537" width="9.26953125" style="623" bestFit="1" customWidth="1"/>
    <col min="11538" max="11538" width="13.7265625" style="623" customWidth="1"/>
    <col min="11539" max="11539" width="9.1796875" style="623"/>
    <col min="11540" max="11540" width="8.1796875" style="623" customWidth="1"/>
    <col min="11541" max="11541" width="7.81640625" style="623" customWidth="1"/>
    <col min="11542" max="11547" width="0" style="623" hidden="1" customWidth="1"/>
    <col min="11548" max="11776" width="9.1796875" style="623"/>
    <col min="11777" max="11777" width="1.453125" style="623" customWidth="1"/>
    <col min="11778" max="11781" width="9.1796875" style="623"/>
    <col min="11782" max="11782" width="10.81640625" style="623" customWidth="1"/>
    <col min="11783" max="11784" width="0" style="623" hidden="1" customWidth="1"/>
    <col min="11785" max="11792" width="9.1796875" style="623"/>
    <col min="11793" max="11793" width="9.26953125" style="623" bestFit="1" customWidth="1"/>
    <col min="11794" max="11794" width="13.7265625" style="623" customWidth="1"/>
    <col min="11795" max="11795" width="9.1796875" style="623"/>
    <col min="11796" max="11796" width="8.1796875" style="623" customWidth="1"/>
    <col min="11797" max="11797" width="7.81640625" style="623" customWidth="1"/>
    <col min="11798" max="11803" width="0" style="623" hidden="1" customWidth="1"/>
    <col min="11804" max="12032" width="9.1796875" style="623"/>
    <col min="12033" max="12033" width="1.453125" style="623" customWidth="1"/>
    <col min="12034" max="12037" width="9.1796875" style="623"/>
    <col min="12038" max="12038" width="10.81640625" style="623" customWidth="1"/>
    <col min="12039" max="12040" width="0" style="623" hidden="1" customWidth="1"/>
    <col min="12041" max="12048" width="9.1796875" style="623"/>
    <col min="12049" max="12049" width="9.26953125" style="623" bestFit="1" customWidth="1"/>
    <col min="12050" max="12050" width="13.7265625" style="623" customWidth="1"/>
    <col min="12051" max="12051" width="9.1796875" style="623"/>
    <col min="12052" max="12052" width="8.1796875" style="623" customWidth="1"/>
    <col min="12053" max="12053" width="7.81640625" style="623" customWidth="1"/>
    <col min="12054" max="12059" width="0" style="623" hidden="1" customWidth="1"/>
    <col min="12060" max="12288" width="9.1796875" style="623"/>
    <col min="12289" max="12289" width="1.453125" style="623" customWidth="1"/>
    <col min="12290" max="12293" width="9.1796875" style="623"/>
    <col min="12294" max="12294" width="10.81640625" style="623" customWidth="1"/>
    <col min="12295" max="12296" width="0" style="623" hidden="1" customWidth="1"/>
    <col min="12297" max="12304" width="9.1796875" style="623"/>
    <col min="12305" max="12305" width="9.26953125" style="623" bestFit="1" customWidth="1"/>
    <col min="12306" max="12306" width="13.7265625" style="623" customWidth="1"/>
    <col min="12307" max="12307" width="9.1796875" style="623"/>
    <col min="12308" max="12308" width="8.1796875" style="623" customWidth="1"/>
    <col min="12309" max="12309" width="7.81640625" style="623" customWidth="1"/>
    <col min="12310" max="12315" width="0" style="623" hidden="1" customWidth="1"/>
    <col min="12316" max="12544" width="9.1796875" style="623"/>
    <col min="12545" max="12545" width="1.453125" style="623" customWidth="1"/>
    <col min="12546" max="12549" width="9.1796875" style="623"/>
    <col min="12550" max="12550" width="10.81640625" style="623" customWidth="1"/>
    <col min="12551" max="12552" width="0" style="623" hidden="1" customWidth="1"/>
    <col min="12553" max="12560" width="9.1796875" style="623"/>
    <col min="12561" max="12561" width="9.26953125" style="623" bestFit="1" customWidth="1"/>
    <col min="12562" max="12562" width="13.7265625" style="623" customWidth="1"/>
    <col min="12563" max="12563" width="9.1796875" style="623"/>
    <col min="12564" max="12564" width="8.1796875" style="623" customWidth="1"/>
    <col min="12565" max="12565" width="7.81640625" style="623" customWidth="1"/>
    <col min="12566" max="12571" width="0" style="623" hidden="1" customWidth="1"/>
    <col min="12572" max="12800" width="9.1796875" style="623"/>
    <col min="12801" max="12801" width="1.453125" style="623" customWidth="1"/>
    <col min="12802" max="12805" width="9.1796875" style="623"/>
    <col min="12806" max="12806" width="10.81640625" style="623" customWidth="1"/>
    <col min="12807" max="12808" width="0" style="623" hidden="1" customWidth="1"/>
    <col min="12809" max="12816" width="9.1796875" style="623"/>
    <col min="12817" max="12817" width="9.26953125" style="623" bestFit="1" customWidth="1"/>
    <col min="12818" max="12818" width="13.7265625" style="623" customWidth="1"/>
    <col min="12819" max="12819" width="9.1796875" style="623"/>
    <col min="12820" max="12820" width="8.1796875" style="623" customWidth="1"/>
    <col min="12821" max="12821" width="7.81640625" style="623" customWidth="1"/>
    <col min="12822" max="12827" width="0" style="623" hidden="1" customWidth="1"/>
    <col min="12828" max="13056" width="9.1796875" style="623"/>
    <col min="13057" max="13057" width="1.453125" style="623" customWidth="1"/>
    <col min="13058" max="13061" width="9.1796875" style="623"/>
    <col min="13062" max="13062" width="10.81640625" style="623" customWidth="1"/>
    <col min="13063" max="13064" width="0" style="623" hidden="1" customWidth="1"/>
    <col min="13065" max="13072" width="9.1796875" style="623"/>
    <col min="13073" max="13073" width="9.26953125" style="623" bestFit="1" customWidth="1"/>
    <col min="13074" max="13074" width="13.7265625" style="623" customWidth="1"/>
    <col min="13075" max="13075" width="9.1796875" style="623"/>
    <col min="13076" max="13076" width="8.1796875" style="623" customWidth="1"/>
    <col min="13077" max="13077" width="7.81640625" style="623" customWidth="1"/>
    <col min="13078" max="13083" width="0" style="623" hidden="1" customWidth="1"/>
    <col min="13084" max="13312" width="9.1796875" style="623"/>
    <col min="13313" max="13313" width="1.453125" style="623" customWidth="1"/>
    <col min="13314" max="13317" width="9.1796875" style="623"/>
    <col min="13318" max="13318" width="10.81640625" style="623" customWidth="1"/>
    <col min="13319" max="13320" width="0" style="623" hidden="1" customWidth="1"/>
    <col min="13321" max="13328" width="9.1796875" style="623"/>
    <col min="13329" max="13329" width="9.26953125" style="623" bestFit="1" customWidth="1"/>
    <col min="13330" max="13330" width="13.7265625" style="623" customWidth="1"/>
    <col min="13331" max="13331" width="9.1796875" style="623"/>
    <col min="13332" max="13332" width="8.1796875" style="623" customWidth="1"/>
    <col min="13333" max="13333" width="7.81640625" style="623" customWidth="1"/>
    <col min="13334" max="13339" width="0" style="623" hidden="1" customWidth="1"/>
    <col min="13340" max="13568" width="9.1796875" style="623"/>
    <col min="13569" max="13569" width="1.453125" style="623" customWidth="1"/>
    <col min="13570" max="13573" width="9.1796875" style="623"/>
    <col min="13574" max="13574" width="10.81640625" style="623" customWidth="1"/>
    <col min="13575" max="13576" width="0" style="623" hidden="1" customWidth="1"/>
    <col min="13577" max="13584" width="9.1796875" style="623"/>
    <col min="13585" max="13585" width="9.26953125" style="623" bestFit="1" customWidth="1"/>
    <col min="13586" max="13586" width="13.7265625" style="623" customWidth="1"/>
    <col min="13587" max="13587" width="9.1796875" style="623"/>
    <col min="13588" max="13588" width="8.1796875" style="623" customWidth="1"/>
    <col min="13589" max="13589" width="7.81640625" style="623" customWidth="1"/>
    <col min="13590" max="13595" width="0" style="623" hidden="1" customWidth="1"/>
    <col min="13596" max="13824" width="9.1796875" style="623"/>
    <col min="13825" max="13825" width="1.453125" style="623" customWidth="1"/>
    <col min="13826" max="13829" width="9.1796875" style="623"/>
    <col min="13830" max="13830" width="10.81640625" style="623" customWidth="1"/>
    <col min="13831" max="13832" width="0" style="623" hidden="1" customWidth="1"/>
    <col min="13833" max="13840" width="9.1796875" style="623"/>
    <col min="13841" max="13841" width="9.26953125" style="623" bestFit="1" customWidth="1"/>
    <col min="13842" max="13842" width="13.7265625" style="623" customWidth="1"/>
    <col min="13843" max="13843" width="9.1796875" style="623"/>
    <col min="13844" max="13844" width="8.1796875" style="623" customWidth="1"/>
    <col min="13845" max="13845" width="7.81640625" style="623" customWidth="1"/>
    <col min="13846" max="13851" width="0" style="623" hidden="1" customWidth="1"/>
    <col min="13852" max="14080" width="9.1796875" style="623"/>
    <col min="14081" max="14081" width="1.453125" style="623" customWidth="1"/>
    <col min="14082" max="14085" width="9.1796875" style="623"/>
    <col min="14086" max="14086" width="10.81640625" style="623" customWidth="1"/>
    <col min="14087" max="14088" width="0" style="623" hidden="1" customWidth="1"/>
    <col min="14089" max="14096" width="9.1796875" style="623"/>
    <col min="14097" max="14097" width="9.26953125" style="623" bestFit="1" customWidth="1"/>
    <col min="14098" max="14098" width="13.7265625" style="623" customWidth="1"/>
    <col min="14099" max="14099" width="9.1796875" style="623"/>
    <col min="14100" max="14100" width="8.1796875" style="623" customWidth="1"/>
    <col min="14101" max="14101" width="7.81640625" style="623" customWidth="1"/>
    <col min="14102" max="14107" width="0" style="623" hidden="1" customWidth="1"/>
    <col min="14108" max="14336" width="9.1796875" style="623"/>
    <col min="14337" max="14337" width="1.453125" style="623" customWidth="1"/>
    <col min="14338" max="14341" width="9.1796875" style="623"/>
    <col min="14342" max="14342" width="10.81640625" style="623" customWidth="1"/>
    <col min="14343" max="14344" width="0" style="623" hidden="1" customWidth="1"/>
    <col min="14345" max="14352" width="9.1796875" style="623"/>
    <col min="14353" max="14353" width="9.26953125" style="623" bestFit="1" customWidth="1"/>
    <col min="14354" max="14354" width="13.7265625" style="623" customWidth="1"/>
    <col min="14355" max="14355" width="9.1796875" style="623"/>
    <col min="14356" max="14356" width="8.1796875" style="623" customWidth="1"/>
    <col min="14357" max="14357" width="7.81640625" style="623" customWidth="1"/>
    <col min="14358" max="14363" width="0" style="623" hidden="1" customWidth="1"/>
    <col min="14364" max="14592" width="9.1796875" style="623"/>
    <col min="14593" max="14593" width="1.453125" style="623" customWidth="1"/>
    <col min="14594" max="14597" width="9.1796875" style="623"/>
    <col min="14598" max="14598" width="10.81640625" style="623" customWidth="1"/>
    <col min="14599" max="14600" width="0" style="623" hidden="1" customWidth="1"/>
    <col min="14601" max="14608" width="9.1796875" style="623"/>
    <col min="14609" max="14609" width="9.26953125" style="623" bestFit="1" customWidth="1"/>
    <col min="14610" max="14610" width="13.7265625" style="623" customWidth="1"/>
    <col min="14611" max="14611" width="9.1796875" style="623"/>
    <col min="14612" max="14612" width="8.1796875" style="623" customWidth="1"/>
    <col min="14613" max="14613" width="7.81640625" style="623" customWidth="1"/>
    <col min="14614" max="14619" width="0" style="623" hidden="1" customWidth="1"/>
    <col min="14620" max="14848" width="9.1796875" style="623"/>
    <col min="14849" max="14849" width="1.453125" style="623" customWidth="1"/>
    <col min="14850" max="14853" width="9.1796875" style="623"/>
    <col min="14854" max="14854" width="10.81640625" style="623" customWidth="1"/>
    <col min="14855" max="14856" width="0" style="623" hidden="1" customWidth="1"/>
    <col min="14857" max="14864" width="9.1796875" style="623"/>
    <col min="14865" max="14865" width="9.26953125" style="623" bestFit="1" customWidth="1"/>
    <col min="14866" max="14866" width="13.7265625" style="623" customWidth="1"/>
    <col min="14867" max="14867" width="9.1796875" style="623"/>
    <col min="14868" max="14868" width="8.1796875" style="623" customWidth="1"/>
    <col min="14869" max="14869" width="7.81640625" style="623" customWidth="1"/>
    <col min="14870" max="14875" width="0" style="623" hidden="1" customWidth="1"/>
    <col min="14876" max="15104" width="9.1796875" style="623"/>
    <col min="15105" max="15105" width="1.453125" style="623" customWidth="1"/>
    <col min="15106" max="15109" width="9.1796875" style="623"/>
    <col min="15110" max="15110" width="10.81640625" style="623" customWidth="1"/>
    <col min="15111" max="15112" width="0" style="623" hidden="1" customWidth="1"/>
    <col min="15113" max="15120" width="9.1796875" style="623"/>
    <col min="15121" max="15121" width="9.26953125" style="623" bestFit="1" customWidth="1"/>
    <col min="15122" max="15122" width="13.7265625" style="623" customWidth="1"/>
    <col min="15123" max="15123" width="9.1796875" style="623"/>
    <col min="15124" max="15124" width="8.1796875" style="623" customWidth="1"/>
    <col min="15125" max="15125" width="7.81640625" style="623" customWidth="1"/>
    <col min="15126" max="15131" width="0" style="623" hidden="1" customWidth="1"/>
    <col min="15132" max="15360" width="9.1796875" style="623"/>
    <col min="15361" max="15361" width="1.453125" style="623" customWidth="1"/>
    <col min="15362" max="15365" width="9.1796875" style="623"/>
    <col min="15366" max="15366" width="10.81640625" style="623" customWidth="1"/>
    <col min="15367" max="15368" width="0" style="623" hidden="1" customWidth="1"/>
    <col min="15369" max="15376" width="9.1796875" style="623"/>
    <col min="15377" max="15377" width="9.26953125" style="623" bestFit="1" customWidth="1"/>
    <col min="15378" max="15378" width="13.7265625" style="623" customWidth="1"/>
    <col min="15379" max="15379" width="9.1796875" style="623"/>
    <col min="15380" max="15380" width="8.1796875" style="623" customWidth="1"/>
    <col min="15381" max="15381" width="7.81640625" style="623" customWidth="1"/>
    <col min="15382" max="15387" width="0" style="623" hidden="1" customWidth="1"/>
    <col min="15388" max="15616" width="9.1796875" style="623"/>
    <col min="15617" max="15617" width="1.453125" style="623" customWidth="1"/>
    <col min="15618" max="15621" width="9.1796875" style="623"/>
    <col min="15622" max="15622" width="10.81640625" style="623" customWidth="1"/>
    <col min="15623" max="15624" width="0" style="623" hidden="1" customWidth="1"/>
    <col min="15625" max="15632" width="9.1796875" style="623"/>
    <col min="15633" max="15633" width="9.26953125" style="623" bestFit="1" customWidth="1"/>
    <col min="15634" max="15634" width="13.7265625" style="623" customWidth="1"/>
    <col min="15635" max="15635" width="9.1796875" style="623"/>
    <col min="15636" max="15636" width="8.1796875" style="623" customWidth="1"/>
    <col min="15637" max="15637" width="7.81640625" style="623" customWidth="1"/>
    <col min="15638" max="15643" width="0" style="623" hidden="1" customWidth="1"/>
    <col min="15644" max="15872" width="9.1796875" style="623"/>
    <col min="15873" max="15873" width="1.453125" style="623" customWidth="1"/>
    <col min="15874" max="15877" width="9.1796875" style="623"/>
    <col min="15878" max="15878" width="10.81640625" style="623" customWidth="1"/>
    <col min="15879" max="15880" width="0" style="623" hidden="1" customWidth="1"/>
    <col min="15881" max="15888" width="9.1796875" style="623"/>
    <col min="15889" max="15889" width="9.26953125" style="623" bestFit="1" customWidth="1"/>
    <col min="15890" max="15890" width="13.7265625" style="623" customWidth="1"/>
    <col min="15891" max="15891" width="9.1796875" style="623"/>
    <col min="15892" max="15892" width="8.1796875" style="623" customWidth="1"/>
    <col min="15893" max="15893" width="7.81640625" style="623" customWidth="1"/>
    <col min="15894" max="15899" width="0" style="623" hidden="1" customWidth="1"/>
    <col min="15900" max="16128" width="9.1796875" style="623"/>
    <col min="16129" max="16129" width="1.453125" style="623" customWidth="1"/>
    <col min="16130" max="16133" width="9.1796875" style="623"/>
    <col min="16134" max="16134" width="10.81640625" style="623" customWidth="1"/>
    <col min="16135" max="16136" width="0" style="623" hidden="1" customWidth="1"/>
    <col min="16137" max="16144" width="9.1796875" style="623"/>
    <col min="16145" max="16145" width="9.26953125" style="623" bestFit="1" customWidth="1"/>
    <col min="16146" max="16146" width="13.7265625" style="623" customWidth="1"/>
    <col min="16147" max="16147" width="9.1796875" style="623"/>
    <col min="16148" max="16148" width="8.1796875" style="623" customWidth="1"/>
    <col min="16149" max="16149" width="7.81640625" style="623" customWidth="1"/>
    <col min="16150" max="16155" width="0" style="623" hidden="1" customWidth="1"/>
    <col min="16156" max="16384" width="9.1796875" style="623"/>
  </cols>
  <sheetData>
    <row r="1" spans="1:45" s="520" customFormat="1" ht="6" customHeight="1">
      <c r="A1" s="623"/>
      <c r="B1" s="623"/>
      <c r="C1" s="623"/>
      <c r="D1" s="623"/>
      <c r="E1" s="623"/>
      <c r="F1" s="623"/>
      <c r="G1" s="623"/>
      <c r="H1" s="623"/>
      <c r="I1" s="623"/>
      <c r="J1" s="623"/>
      <c r="K1" s="623"/>
      <c r="L1" s="623"/>
      <c r="M1" s="623"/>
      <c r="N1" s="623"/>
      <c r="O1" s="623"/>
      <c r="P1" s="623"/>
      <c r="Q1" s="623"/>
      <c r="R1" s="623"/>
      <c r="S1" s="623"/>
      <c r="T1" s="623"/>
      <c r="U1" s="623"/>
      <c r="V1" s="623"/>
      <c r="W1" s="623"/>
      <c r="X1" s="623"/>
      <c r="Y1" s="623"/>
      <c r="Z1" s="623"/>
      <c r="AA1" s="623"/>
      <c r="AB1" s="623"/>
      <c r="AC1" s="623"/>
      <c r="AD1" s="623"/>
      <c r="AE1" s="623"/>
      <c r="AF1" s="623"/>
      <c r="AG1" s="623"/>
      <c r="AH1" s="623"/>
      <c r="AI1" s="623"/>
      <c r="AJ1" s="623"/>
      <c r="AK1" s="623"/>
      <c r="AL1" s="623"/>
      <c r="AM1" s="623"/>
      <c r="AN1" s="623"/>
      <c r="AO1" s="623"/>
      <c r="AP1" s="623"/>
      <c r="AQ1" s="623"/>
      <c r="AR1" s="623"/>
      <c r="AS1" s="623"/>
    </row>
    <row r="2" spans="1:45" ht="12.75" customHeight="1">
      <c r="B2" s="1861" t="s">
        <v>415</v>
      </c>
      <c r="C2" s="1862"/>
      <c r="D2" s="1862"/>
      <c r="E2" s="1862"/>
      <c r="F2" s="1862"/>
      <c r="G2" s="1865"/>
      <c r="H2" s="1865"/>
      <c r="I2" s="1865"/>
      <c r="J2" s="1868"/>
      <c r="K2" s="1861" t="s">
        <v>416</v>
      </c>
      <c r="L2" s="1865"/>
      <c r="M2" s="1865"/>
      <c r="N2" s="1865"/>
      <c r="O2" s="1868"/>
      <c r="P2" s="1861" t="s">
        <v>417</v>
      </c>
      <c r="Q2" s="1864"/>
      <c r="R2" s="1869"/>
    </row>
    <row r="3" spans="1:45" ht="12" customHeight="1">
      <c r="B3" s="521"/>
      <c r="C3" s="522"/>
      <c r="D3" s="522"/>
      <c r="E3" s="522"/>
      <c r="F3" s="523"/>
      <c r="G3" s="524"/>
      <c r="H3" s="520">
        <f>IF(L5="60C",20,15)</f>
        <v>15</v>
      </c>
      <c r="I3" s="522"/>
      <c r="J3" s="525"/>
      <c r="K3" s="521"/>
      <c r="L3" s="522"/>
      <c r="M3" s="522"/>
      <c r="N3" s="522"/>
      <c r="O3" s="525"/>
      <c r="P3" s="526"/>
      <c r="Q3" s="527"/>
      <c r="R3" s="528"/>
    </row>
    <row r="4" spans="1:45" ht="12.75" customHeight="1">
      <c r="B4" s="521"/>
      <c r="C4" s="529" t="s">
        <v>418</v>
      </c>
      <c r="D4" s="522"/>
      <c r="E4" s="530" t="s">
        <v>419</v>
      </c>
      <c r="F4" s="531"/>
      <c r="G4" s="532">
        <f>IF(C7&gt;0.9654,ROUND((1.0094684142-((6.33413410744*10^-4)*E7)+((1.45710416212*10^-7)*E7^2)),I5),ROUND((1.0108020095-((7.2343515319*10^-4)*E7)+((2.1996598346*10^-7)*E7^2)),I5))</f>
        <v>0.98787999999999998</v>
      </c>
      <c r="H4" s="520">
        <f>L7*10^6</f>
        <v>5000000</v>
      </c>
      <c r="I4" s="529" t="s">
        <v>420</v>
      </c>
      <c r="J4" s="533"/>
      <c r="K4" s="521"/>
      <c r="L4" s="530" t="s">
        <v>419</v>
      </c>
      <c r="M4" s="522"/>
      <c r="N4" s="523" t="s">
        <v>421</v>
      </c>
      <c r="O4" s="533"/>
      <c r="P4" s="534" t="s">
        <v>419</v>
      </c>
      <c r="Q4" s="535"/>
      <c r="R4" s="536" t="s">
        <v>422</v>
      </c>
    </row>
    <row r="5" spans="1:45" ht="12.75" customHeight="1">
      <c r="B5" s="521"/>
      <c r="C5" s="498" t="s">
        <v>513</v>
      </c>
      <c r="D5" s="529"/>
      <c r="E5" s="499" t="s">
        <v>514</v>
      </c>
      <c r="F5" s="537"/>
      <c r="G5" s="538">
        <f>IF(E5="60A",20,IF(E5="60B",20,IF(E5="60C",20,IF(E5="60D",20,15))))</f>
        <v>20</v>
      </c>
      <c r="H5" s="532">
        <f>IF(C5="1250 04",5,IF(I5="",4,I5))</f>
        <v>5</v>
      </c>
      <c r="I5" s="499">
        <v>5</v>
      </c>
      <c r="J5" s="539"/>
      <c r="K5" s="521"/>
      <c r="L5" s="499" t="s">
        <v>519</v>
      </c>
      <c r="M5" s="529"/>
      <c r="N5" s="500">
        <v>21</v>
      </c>
      <c r="O5" s="537"/>
      <c r="P5" s="499" t="s">
        <v>520</v>
      </c>
      <c r="Q5" s="535"/>
      <c r="R5" s="501">
        <v>0.73399999999999999</v>
      </c>
      <c r="V5" s="625" t="e">
        <f ca="1">IF(V6="","",IF(V6&lt;0.5,"Out of range",V6))</f>
        <v>#NAME?</v>
      </c>
      <c r="W5" s="625" t="str">
        <f>IF(W6="","",IF(W6&lt;0.5,"Out of range",W6))</f>
        <v/>
      </c>
    </row>
    <row r="6" spans="1:45" ht="17.25" customHeight="1">
      <c r="B6" s="521"/>
      <c r="C6" s="522" t="str">
        <f>"kg/l @ "&amp;G5&amp;"°C (vac)"</f>
        <v>kg/l @ 20°C (vac)</v>
      </c>
      <c r="D6" s="522"/>
      <c r="E6" s="523" t="s">
        <v>423</v>
      </c>
      <c r="F6" s="531"/>
      <c r="G6" s="540">
        <v>1980</v>
      </c>
      <c r="H6" s="541">
        <v>2004</v>
      </c>
      <c r="I6" s="529" t="s">
        <v>424</v>
      </c>
      <c r="J6" s="539"/>
      <c r="K6" s="521"/>
      <c r="L6" s="522" t="s">
        <v>425</v>
      </c>
      <c r="M6" s="522"/>
      <c r="N6" s="529" t="s">
        <v>424</v>
      </c>
      <c r="O6" s="533"/>
      <c r="P6" s="542" t="s">
        <v>421</v>
      </c>
      <c r="Q6" s="535"/>
      <c r="R6" s="536" t="str">
        <f>"kg/l @ "&amp;X6&amp;"°C (vac)"</f>
        <v>kg/l @ 15°C (vac)</v>
      </c>
      <c r="V6" s="626" t="e">
        <f ca="1">IF(P5="","",IF(R5="","",IF(P7="","",IF(P5="53A",ROUND(tab53a_04((R5*1000),P7)/1000,4),IF(P5="53B",ROUND(tab53b_04((R5*1000),P7)/1000,4),IF(P5="53D",ROUND(tab53d_04((R5*1000),P7)/1000,4),""))))))</f>
        <v>#NAME?</v>
      </c>
      <c r="W6" s="626" t="str">
        <f>IF(P5="","",IF(R5="","",IF(P7="","",IF(P5="59A",ROUND(tab59a_04((R5*1000),P7)/1000,4),IF(P5="59B",ROUND(tab59b_04((R5*1000),P7)/1000,4),IF(P5="59D",ROUND(tab59d_04((R5*1000),P7)/1000,4),""))))))</f>
        <v/>
      </c>
      <c r="X6" s="627">
        <f>IF(P5="59A",20,IF(P5="59B",20,IF(P5="59D",20,15)))</f>
        <v>15</v>
      </c>
    </row>
    <row r="7" spans="1:45" ht="12.75" customHeight="1">
      <c r="B7" s="521"/>
      <c r="C7" s="501">
        <v>0.84260000000000002</v>
      </c>
      <c r="D7" s="522"/>
      <c r="E7" s="500">
        <v>32</v>
      </c>
      <c r="F7" s="544" t="s">
        <v>426</v>
      </c>
      <c r="G7" s="545" t="str">
        <f>IF(G5=20,"",IF(E5="","",IF(C7="","",IF(E7="","",FIXED((IF(E7&gt;15,ROUND(T54Selector(E5,C7,E7),H5),ROUND(T54Selector(E5,C7,E7),4))),H5,TRUE)))))</f>
        <v/>
      </c>
      <c r="H7" s="502" t="e">
        <v>#NAME?</v>
      </c>
      <c r="I7" s="660">
        <f>IF(C7="","",IF(E7="","",IF(C5="1250 04",H7,IF(C5="1250 80",G7,IF(C5="4311 04",G4,"")))))</f>
        <v>0.98787999999999998</v>
      </c>
      <c r="J7" s="539"/>
      <c r="K7" s="521"/>
      <c r="L7" s="503">
        <v>5</v>
      </c>
      <c r="M7" s="522"/>
      <c r="N7" s="660" t="e">
        <f ca="1">IF(L7="","",IF(N5="","",IF(L5="54C",FIXED(tab54c_04(H4,N5),5,TRUE),IF(L5="60C",FIXED(tab60c_04(H4,N5),5,TRUE),""))))</f>
        <v>#NAME?</v>
      </c>
      <c r="O7" s="544"/>
      <c r="P7" s="500">
        <v>22</v>
      </c>
      <c r="Q7" s="535"/>
      <c r="R7" s="661" t="e">
        <f ca="1">IF(P5="59A",W5,IF(P5="59B",W5,IF(P5="59D",W5,V5)))</f>
        <v>#NAME?</v>
      </c>
    </row>
    <row r="8" spans="1:45" ht="11.25" customHeight="1">
      <c r="B8" s="546"/>
      <c r="C8" s="522"/>
      <c r="D8" s="522"/>
      <c r="E8" s="522"/>
      <c r="F8" s="522"/>
      <c r="I8" s="522"/>
      <c r="J8" s="547"/>
      <c r="K8" s="546"/>
      <c r="L8" s="548"/>
      <c r="M8" s="548"/>
      <c r="N8" s="548"/>
      <c r="O8" s="539"/>
      <c r="P8" s="546"/>
      <c r="Q8" s="548"/>
      <c r="R8" s="547"/>
    </row>
    <row r="9" spans="1:45" ht="17.25" customHeight="1">
      <c r="B9" s="1861" t="s">
        <v>427</v>
      </c>
      <c r="C9" s="1862"/>
      <c r="D9" s="1862"/>
      <c r="E9" s="1862"/>
      <c r="F9" s="1863"/>
      <c r="G9" s="653"/>
      <c r="H9" s="654"/>
      <c r="I9" s="1861" t="s">
        <v>428</v>
      </c>
      <c r="J9" s="1865"/>
      <c r="K9" s="1865"/>
      <c r="L9" s="1865"/>
      <c r="M9" s="1865"/>
      <c r="N9" s="1868"/>
      <c r="O9" s="1861" t="s">
        <v>429</v>
      </c>
      <c r="P9" s="1864"/>
      <c r="Q9" s="1869"/>
      <c r="R9" s="655" t="s">
        <v>430</v>
      </c>
      <c r="V9" s="628" t="s">
        <v>431</v>
      </c>
      <c r="W9" s="629" t="s">
        <v>432</v>
      </c>
      <c r="X9" s="630" t="s">
        <v>433</v>
      </c>
      <c r="Y9" s="629" t="s">
        <v>431</v>
      </c>
      <c r="Z9" s="629" t="s">
        <v>432</v>
      </c>
      <c r="AA9" s="630" t="s">
        <v>433</v>
      </c>
    </row>
    <row r="10" spans="1:45" ht="12.75" customHeight="1">
      <c r="B10" s="549"/>
      <c r="C10" s="550"/>
      <c r="D10" s="535"/>
      <c r="E10" s="551"/>
      <c r="F10" s="551"/>
      <c r="G10" s="552"/>
      <c r="H10" s="553"/>
      <c r="I10" s="521"/>
      <c r="J10" s="535"/>
      <c r="K10" s="535"/>
      <c r="L10" s="535"/>
      <c r="M10" s="535"/>
      <c r="N10" s="554"/>
      <c r="O10" s="526"/>
      <c r="P10" s="527"/>
      <c r="Q10" s="527"/>
      <c r="R10" s="555"/>
      <c r="V10" s="631">
        <v>0.5</v>
      </c>
      <c r="W10" s="632">
        <v>0.50039999999999996</v>
      </c>
      <c r="X10" s="633">
        <v>0.15870000000000001</v>
      </c>
      <c r="Y10" s="631">
        <v>0.5</v>
      </c>
      <c r="Z10" s="632">
        <v>0.50039999999999996</v>
      </c>
      <c r="AA10" s="634">
        <v>6.3010000000000002</v>
      </c>
    </row>
    <row r="11" spans="1:45" ht="12.75" customHeight="1">
      <c r="B11" s="549"/>
      <c r="C11" s="523" t="s">
        <v>434</v>
      </c>
      <c r="D11" s="535"/>
      <c r="E11" s="556" t="s">
        <v>435</v>
      </c>
      <c r="F11" s="556"/>
      <c r="G11" s="557">
        <f>E12-E15</f>
        <v>-186.87</v>
      </c>
      <c r="H11" s="558">
        <f>IF($K17=0,0,$K17-$K13)</f>
        <v>1189</v>
      </c>
      <c r="I11" s="521"/>
      <c r="J11" s="559" t="s">
        <v>436</v>
      </c>
      <c r="K11" s="501">
        <v>0.86040000000000005</v>
      </c>
      <c r="L11" s="559" t="s">
        <v>437</v>
      </c>
      <c r="M11" s="500">
        <v>34</v>
      </c>
      <c r="N11" s="554" t="s">
        <v>319</v>
      </c>
      <c r="O11" s="549" t="s">
        <v>438</v>
      </c>
      <c r="P11" s="504">
        <v>32</v>
      </c>
      <c r="Q11" s="535" t="s">
        <v>319</v>
      </c>
      <c r="R11" s="560" t="s">
        <v>439</v>
      </c>
      <c r="V11" s="635">
        <v>0.50049999999999994</v>
      </c>
      <c r="W11" s="636">
        <v>0.51739999999999997</v>
      </c>
      <c r="X11" s="637">
        <v>0.15873000000000001</v>
      </c>
      <c r="Y11" s="635">
        <v>0.50049999999999994</v>
      </c>
      <c r="Z11" s="636">
        <v>0.51739999999999997</v>
      </c>
      <c r="AA11" s="638">
        <v>6.3</v>
      </c>
    </row>
    <row r="12" spans="1:45">
      <c r="B12" s="549"/>
      <c r="C12" s="505">
        <v>5.54</v>
      </c>
      <c r="D12" s="523" t="s">
        <v>440</v>
      </c>
      <c r="E12" s="506">
        <v>103.45</v>
      </c>
      <c r="F12" s="523" t="s">
        <v>441</v>
      </c>
      <c r="G12" s="557">
        <f>C12-C15</f>
        <v>-1.33</v>
      </c>
      <c r="H12" s="563">
        <f>IF(K11=0,0,$K13*(K11-0.0011)/1000)</f>
        <v>0.85930000000000006</v>
      </c>
      <c r="I12" s="521"/>
      <c r="J12" s="522"/>
      <c r="K12" s="522"/>
      <c r="L12" s="522"/>
      <c r="M12" s="522"/>
      <c r="N12" s="554"/>
      <c r="O12" s="549"/>
      <c r="P12" s="522"/>
      <c r="Q12" s="522"/>
      <c r="R12" s="564" t="s">
        <v>442</v>
      </c>
      <c r="V12" s="635">
        <v>0.51749999999999996</v>
      </c>
      <c r="W12" s="636">
        <v>0.53639999999999999</v>
      </c>
      <c r="X12" s="637">
        <v>0.15876000000000001</v>
      </c>
      <c r="Y12" s="635">
        <v>0.51749999999999996</v>
      </c>
      <c r="Z12" s="636">
        <v>0.53639999999999999</v>
      </c>
      <c r="AA12" s="638">
        <v>6.2990000000000004</v>
      </c>
    </row>
    <row r="13" spans="1:45">
      <c r="B13" s="549"/>
      <c r="C13" s="565"/>
      <c r="D13" s="535"/>
      <c r="E13" s="565"/>
      <c r="F13" s="535"/>
      <c r="G13" s="566">
        <f>IF(C12="",0,IF(C15="",0,IF(C15&gt;C12,C15-C18,IF(C15&lt;C12,C12-C18))))</f>
        <v>0.87000000000000011</v>
      </c>
      <c r="H13" s="567">
        <f>IF($K17=0,0,H14+H12)</f>
        <v>1.8843369000000001</v>
      </c>
      <c r="I13" s="521"/>
      <c r="J13" s="559" t="s">
        <v>443</v>
      </c>
      <c r="K13" s="506">
        <v>1000</v>
      </c>
      <c r="L13" s="556"/>
      <c r="M13" s="556"/>
      <c r="N13" s="554"/>
      <c r="O13" s="549"/>
      <c r="P13" s="662">
        <f>IF(P11="","",ROUND(P11*1.8,1)+32)</f>
        <v>89.6</v>
      </c>
      <c r="Q13" s="535" t="s">
        <v>306</v>
      </c>
      <c r="R13" s="507">
        <v>0.85970000000000002</v>
      </c>
      <c r="V13" s="635">
        <v>0.53649999999999998</v>
      </c>
      <c r="W13" s="636">
        <v>0.55840000000000001</v>
      </c>
      <c r="X13" s="637">
        <v>0.15878</v>
      </c>
      <c r="Y13" s="635">
        <v>0.53649999999999998</v>
      </c>
      <c r="Z13" s="636">
        <v>0.55840000000000001</v>
      </c>
      <c r="AA13" s="638">
        <v>6.298</v>
      </c>
    </row>
    <row r="14" spans="1:45">
      <c r="B14" s="549"/>
      <c r="C14" s="523" t="s">
        <v>444</v>
      </c>
      <c r="D14" s="535"/>
      <c r="E14" s="556" t="s">
        <v>445</v>
      </c>
      <c r="F14" s="523"/>
      <c r="G14" s="568">
        <f>IF(ISERROR(G11/G12),0,ROUND(G11/G12,5))</f>
        <v>140.50376</v>
      </c>
      <c r="H14" s="563">
        <f>H11*(K15-0.0011)/1000</f>
        <v>1.0250369000000001</v>
      </c>
      <c r="I14" s="521"/>
      <c r="J14" s="535"/>
      <c r="K14" s="556"/>
      <c r="L14" s="556"/>
      <c r="M14" s="556"/>
      <c r="N14" s="554"/>
      <c r="O14" s="549"/>
      <c r="P14" s="522"/>
      <c r="Q14" s="522"/>
      <c r="R14" s="569" t="s">
        <v>446</v>
      </c>
      <c r="V14" s="635">
        <v>0.5585</v>
      </c>
      <c r="W14" s="636">
        <v>0.58540000000000003</v>
      </c>
      <c r="X14" s="637">
        <v>0.15881000000000001</v>
      </c>
      <c r="Y14" s="635">
        <v>0.5585</v>
      </c>
      <c r="Z14" s="636">
        <v>0.58540000000000003</v>
      </c>
      <c r="AA14" s="638">
        <v>6.2969999999999997</v>
      </c>
    </row>
    <row r="15" spans="1:45">
      <c r="B15" s="549"/>
      <c r="C15" s="505">
        <v>6.87</v>
      </c>
      <c r="D15" s="523" t="s">
        <v>440</v>
      </c>
      <c r="E15" s="506">
        <v>290.32</v>
      </c>
      <c r="F15" s="523" t="s">
        <v>441</v>
      </c>
      <c r="G15" s="557">
        <f>ROUND(G14*G13,3)</f>
        <v>122.238</v>
      </c>
      <c r="H15" s="570"/>
      <c r="I15" s="521"/>
      <c r="J15" s="559" t="s">
        <v>447</v>
      </c>
      <c r="K15" s="501">
        <v>0.86319999999999997</v>
      </c>
      <c r="L15" s="559" t="s">
        <v>437</v>
      </c>
      <c r="M15" s="500">
        <v>25</v>
      </c>
      <c r="N15" s="554" t="s">
        <v>319</v>
      </c>
      <c r="O15" s="549"/>
      <c r="P15" s="522"/>
      <c r="Q15" s="522"/>
      <c r="R15" s="571" t="s">
        <v>448</v>
      </c>
      <c r="S15" s="624"/>
      <c r="V15" s="635">
        <v>0.58550000000000002</v>
      </c>
      <c r="W15" s="636">
        <v>0.62339999999999995</v>
      </c>
      <c r="X15" s="637">
        <v>0.15883</v>
      </c>
      <c r="Y15" s="635">
        <v>0.58550000000000002</v>
      </c>
      <c r="Z15" s="636">
        <v>0.62339999999999995</v>
      </c>
      <c r="AA15" s="638">
        <v>6.2960000000000003</v>
      </c>
    </row>
    <row r="16" spans="1:45">
      <c r="B16" s="549"/>
      <c r="C16" s="535"/>
      <c r="D16" s="535"/>
      <c r="E16" s="535"/>
      <c r="F16" s="535"/>
      <c r="G16" s="552">
        <f>IF(C12="",0,IF(C15="",0,IF(C18="",0,IF(C12&lt;=C15,0,IF(E12&lt;=E15,0,IF(C12&gt;C15,IF(E12&gt;E15,E12-G15,0)))))))</f>
        <v>0</v>
      </c>
      <c r="H16" s="553"/>
      <c r="I16" s="521"/>
      <c r="J16" s="535"/>
      <c r="K16" s="535"/>
      <c r="L16" s="535"/>
      <c r="M16" s="572"/>
      <c r="N16" s="554"/>
      <c r="O16" s="549" t="s">
        <v>438</v>
      </c>
      <c r="P16" s="508">
        <v>90</v>
      </c>
      <c r="Q16" s="535" t="s">
        <v>306</v>
      </c>
      <c r="R16" s="664">
        <f>IF(R13="","",IF(R13&lt;0.5,"Out of range",IF(R13&gt;1.074,"Out of range",LOOKUP((R13),Y10:Y20,AA10:AA20))))</f>
        <v>6.2930000000000001</v>
      </c>
      <c r="V16" s="639">
        <v>0.62350000000000005</v>
      </c>
      <c r="W16" s="640">
        <v>0.65339999999999998</v>
      </c>
      <c r="X16" s="641">
        <v>0.15886</v>
      </c>
      <c r="Y16" s="639">
        <v>0.62350000000000005</v>
      </c>
      <c r="Z16" s="640">
        <v>0.65339999999999998</v>
      </c>
      <c r="AA16" s="642">
        <v>6.2949999999999999</v>
      </c>
    </row>
    <row r="17" spans="2:27">
      <c r="B17" s="549"/>
      <c r="C17" s="523" t="s">
        <v>449</v>
      </c>
      <c r="D17" s="535"/>
      <c r="E17" s="556" t="s">
        <v>16</v>
      </c>
      <c r="F17" s="535"/>
      <c r="G17" s="552">
        <f>IF(C12="",0,IF(C15="",0,IF(C18="",0,IF(C12&gt;=C15,0,IF(E12&lt;=E15,0,IF(C12&lt;C15,IF(E12&gt;E15,E15-G15,0)))))))</f>
        <v>0</v>
      </c>
      <c r="H17" s="553"/>
      <c r="I17" s="521"/>
      <c r="J17" s="559" t="s">
        <v>450</v>
      </c>
      <c r="K17" s="506">
        <v>2189</v>
      </c>
      <c r="L17" s="522"/>
      <c r="M17" s="573"/>
      <c r="N17" s="554"/>
      <c r="O17" s="549"/>
      <c r="P17" s="522"/>
      <c r="Q17" s="522"/>
      <c r="R17" s="574" t="s">
        <v>451</v>
      </c>
      <c r="V17" s="635">
        <v>0.65400000000000003</v>
      </c>
      <c r="W17" s="636">
        <v>0.68300000000000005</v>
      </c>
      <c r="X17" s="637">
        <v>0.15886</v>
      </c>
      <c r="Y17" s="643">
        <v>0.65449999999999997</v>
      </c>
      <c r="Z17" s="643">
        <v>0.69740000000000002</v>
      </c>
      <c r="AA17" s="644">
        <v>6.2949999999999999</v>
      </c>
    </row>
    <row r="18" spans="2:27">
      <c r="B18" s="549"/>
      <c r="C18" s="505">
        <v>6</v>
      </c>
      <c r="D18" s="523" t="s">
        <v>440</v>
      </c>
      <c r="E18" s="657">
        <f>IF(C18="","",IF(C12="","",IF(C15="","",SUM(G16:G19))))</f>
        <v>168.08199999999999</v>
      </c>
      <c r="F18" s="523" t="s">
        <v>441</v>
      </c>
      <c r="G18" s="552">
        <f>IF(C12="",0,IF(C15="",0,IF(C18="",0,IF(C12&gt;=C15,0,IF(E12&gt;=E15,0,IF(C12&lt;C15,IF(E12&lt;E15,E15-G15,0)))))))</f>
        <v>168.08199999999999</v>
      </c>
      <c r="H18" s="553"/>
      <c r="I18" s="521"/>
      <c r="J18" s="535"/>
      <c r="K18" s="535"/>
      <c r="L18" s="535"/>
      <c r="M18" s="535"/>
      <c r="N18" s="554"/>
      <c r="O18" s="549"/>
      <c r="P18" s="663">
        <f>IF(P16="","",ROUND((P16-32)/1.8,2))</f>
        <v>32.22</v>
      </c>
      <c r="Q18" s="535" t="s">
        <v>319</v>
      </c>
      <c r="R18" s="575" t="s">
        <v>452</v>
      </c>
      <c r="V18" s="635">
        <v>0.68400000000000005</v>
      </c>
      <c r="W18" s="636">
        <v>0.72199999999999998</v>
      </c>
      <c r="X18" s="637">
        <v>0.15887000000000001</v>
      </c>
      <c r="Y18" s="643">
        <v>0.69750000000000001</v>
      </c>
      <c r="Z18" s="643">
        <v>0.77839999999999998</v>
      </c>
      <c r="AA18" s="644">
        <v>6.2939999999999996</v>
      </c>
    </row>
    <row r="19" spans="2:27">
      <c r="B19" s="549"/>
      <c r="C19" s="522"/>
      <c r="D19" s="522"/>
      <c r="E19" s="522"/>
      <c r="F19" s="522"/>
      <c r="G19" s="552">
        <f>IF(C12="",0,IF(C15="",0,IF(C18="",0,IF(C12&lt;=C15,0,IF(E12&gt;=E15,0,IF(C12&gt;C15,IF(E12&lt;E15,E12-G15,0)))))))</f>
        <v>0</v>
      </c>
      <c r="H19" s="553"/>
      <c r="I19" s="521"/>
      <c r="J19" s="559" t="s">
        <v>453</v>
      </c>
      <c r="K19" s="658">
        <f>IF(K15="","",IF(K13="","",IF(K11="","",IF(K17="","",(H13/K17*1000)+0.0011))))</f>
        <v>0.86192087711283694</v>
      </c>
      <c r="L19" s="559" t="s">
        <v>437</v>
      </c>
      <c r="M19" s="659">
        <f>IF(K13="","",IF(K17="","",IF(M15="","",IF(M11="","",ROUND((((K13*M11)+((K17-K13)*M15))/K17),2)))))</f>
        <v>29.11</v>
      </c>
      <c r="N19" s="554" t="s">
        <v>319</v>
      </c>
      <c r="O19" s="549"/>
      <c r="P19" s="522"/>
      <c r="Q19" s="522"/>
      <c r="R19" s="665">
        <f>IF(R13="","",IF(R13&lt;0.5,"Out of range",IF(R13&gt;1.074,"Out of range",LOOKUP((R13),V10:V24,X10:X24))))</f>
        <v>0.15891</v>
      </c>
      <c r="V19" s="635">
        <v>0.72299999999999998</v>
      </c>
      <c r="W19" s="636">
        <v>0.76800000000000002</v>
      </c>
      <c r="X19" s="637">
        <v>0.15887999999999999</v>
      </c>
      <c r="Y19" s="643">
        <v>0.77849999999999997</v>
      </c>
      <c r="Z19" s="643">
        <v>0.90139999999999998</v>
      </c>
      <c r="AA19" s="644">
        <v>6.2930000000000001</v>
      </c>
    </row>
    <row r="20" spans="2:27" ht="3" customHeight="1">
      <c r="B20" s="546"/>
      <c r="C20" s="548"/>
      <c r="D20" s="548"/>
      <c r="E20" s="548"/>
      <c r="F20" s="548"/>
      <c r="G20" s="576"/>
      <c r="H20" s="577"/>
      <c r="I20" s="578"/>
      <c r="J20" s="579"/>
      <c r="K20" s="579"/>
      <c r="L20" s="579"/>
      <c r="M20" s="579"/>
      <c r="N20" s="580"/>
      <c r="O20" s="546"/>
      <c r="P20" s="548"/>
      <c r="Q20" s="548"/>
      <c r="R20" s="571"/>
      <c r="V20" s="635">
        <v>0.76900000000000002</v>
      </c>
      <c r="W20" s="636">
        <v>0.77900000000000003</v>
      </c>
      <c r="X20" s="637">
        <v>0.15889</v>
      </c>
      <c r="Y20" s="645">
        <v>0.90149999999999997</v>
      </c>
      <c r="Z20" s="645">
        <v>1.0740000000000001</v>
      </c>
      <c r="AA20" s="646">
        <v>6.2919999999999998</v>
      </c>
    </row>
    <row r="21" spans="2:27">
      <c r="B21" s="1861" t="s">
        <v>454</v>
      </c>
      <c r="C21" s="1862"/>
      <c r="D21" s="1862"/>
      <c r="E21" s="1862"/>
      <c r="F21" s="1863"/>
      <c r="G21" s="653"/>
      <c r="H21" s="654"/>
      <c r="I21" s="1864" t="s">
        <v>455</v>
      </c>
      <c r="J21" s="1865"/>
      <c r="K21" s="1865"/>
      <c r="L21" s="1865"/>
      <c r="M21" s="1865"/>
      <c r="N21" s="1865"/>
      <c r="O21" s="1861" t="s">
        <v>456</v>
      </c>
      <c r="P21" s="1864"/>
      <c r="Q21" s="1864"/>
      <c r="R21" s="656" t="s">
        <v>457</v>
      </c>
      <c r="V21" s="635">
        <v>0.78</v>
      </c>
      <c r="W21" s="636">
        <v>0.79800000000000004</v>
      </c>
      <c r="X21" s="637">
        <v>0.15890000000000001</v>
      </c>
    </row>
    <row r="22" spans="2:27" ht="3" customHeight="1">
      <c r="B22" s="581"/>
      <c r="C22" s="582"/>
      <c r="D22" s="583"/>
      <c r="E22" s="582"/>
      <c r="F22" s="582"/>
      <c r="G22" s="584"/>
      <c r="H22" s="585"/>
      <c r="I22" s="581"/>
      <c r="J22" s="527"/>
      <c r="K22" s="527"/>
      <c r="L22" s="527"/>
      <c r="M22" s="586"/>
      <c r="N22" s="527"/>
      <c r="O22" s="526"/>
      <c r="P22" s="527"/>
      <c r="Q22" s="527"/>
      <c r="R22" s="555"/>
      <c r="V22" s="635">
        <v>0.79900000000000004</v>
      </c>
      <c r="W22" s="636">
        <v>0.85899999999999999</v>
      </c>
      <c r="X22" s="637">
        <v>0.15891</v>
      </c>
    </row>
    <row r="23" spans="2:27">
      <c r="B23" s="521"/>
      <c r="C23" s="523" t="s">
        <v>458</v>
      </c>
      <c r="D23" s="535"/>
      <c r="E23" s="523" t="str">
        <f>"kg/l @ "&amp;E26&amp;"°C (vac)"</f>
        <v>kg/l @ 15°C (vac)</v>
      </c>
      <c r="F23" s="556"/>
      <c r="G23" s="545">
        <f>IF(C26="60A",20,IF(C26="60B",20,IF(C26="60C",20,IF(C26="60D",20,15))))</f>
        <v>15</v>
      </c>
      <c r="H23" s="587">
        <f>IF(J24="","",IF(L24="","",(J24-L24)*10000))</f>
        <v>4.0000000000006697</v>
      </c>
      <c r="I23" s="549"/>
      <c r="J23" s="522" t="s">
        <v>459</v>
      </c>
      <c r="K23" s="522"/>
      <c r="L23" s="556" t="s">
        <v>460</v>
      </c>
      <c r="M23" s="556" t="s">
        <v>461</v>
      </c>
      <c r="N23" s="522"/>
      <c r="O23" s="588" t="s">
        <v>462</v>
      </c>
      <c r="P23" s="509">
        <v>10.78</v>
      </c>
      <c r="Q23" s="522" t="s">
        <v>440</v>
      </c>
      <c r="R23" s="560" t="s">
        <v>439</v>
      </c>
      <c r="V23" s="635">
        <v>0.86</v>
      </c>
      <c r="W23" s="636">
        <v>0.96399999999999997</v>
      </c>
      <c r="X23" s="637">
        <v>0.15892000000000001</v>
      </c>
    </row>
    <row r="24" spans="2:27">
      <c r="B24" s="521"/>
      <c r="C24" s="499">
        <v>1200</v>
      </c>
      <c r="D24" s="523" t="s">
        <v>463</v>
      </c>
      <c r="E24" s="501">
        <v>0.83199999999999996</v>
      </c>
      <c r="F24" s="523" t="s">
        <v>200</v>
      </c>
      <c r="G24" s="552">
        <f>IF(E24="","",ROUND((1.0001506*E24)-0.0012202,4))</f>
        <v>0.83089999999999997</v>
      </c>
      <c r="H24" s="589">
        <f>IF(J30="","",IF(J26="","",(J30-J26)*2))</f>
        <v>20</v>
      </c>
      <c r="I24" s="549"/>
      <c r="J24" s="510">
        <v>0.86040000000000005</v>
      </c>
      <c r="K24" s="522" t="s">
        <v>464</v>
      </c>
      <c r="L24" s="505">
        <v>0.86</v>
      </c>
      <c r="M24" s="505">
        <v>0.83199999999999996</v>
      </c>
      <c r="N24" s="522" t="s">
        <v>464</v>
      </c>
      <c r="O24" s="588" t="s">
        <v>465</v>
      </c>
      <c r="P24" s="511">
        <v>11.25</v>
      </c>
      <c r="Q24" s="522"/>
      <c r="R24" s="564" t="s">
        <v>442</v>
      </c>
      <c r="V24" s="639">
        <v>0.96499999999999997</v>
      </c>
      <c r="W24" s="640">
        <v>1.0740000000000001</v>
      </c>
      <c r="X24" s="641">
        <v>0.15892999999999999</v>
      </c>
    </row>
    <row r="25" spans="2:27">
      <c r="B25" s="521"/>
      <c r="C25" s="523" t="s">
        <v>466</v>
      </c>
      <c r="D25" s="535"/>
      <c r="E25" s="523" t="s">
        <v>423</v>
      </c>
      <c r="F25" s="531"/>
      <c r="G25" s="590" t="str">
        <f>IF(G27="","",IF(G24="","",G24*G27))</f>
        <v/>
      </c>
      <c r="H25" s="591">
        <f>IF(H24="","",IF(L26="","",IF(L28="","",L26-((L26-L28)*H24))))</f>
        <v>0.92299999999999904</v>
      </c>
      <c r="I25" s="549"/>
      <c r="J25" s="522" t="s">
        <v>467</v>
      </c>
      <c r="K25" s="522"/>
      <c r="L25" s="592" t="s">
        <v>468</v>
      </c>
      <c r="M25" s="592" t="s">
        <v>469</v>
      </c>
      <c r="N25" s="522"/>
      <c r="O25" s="549" t="s">
        <v>470</v>
      </c>
      <c r="P25" s="511">
        <v>263</v>
      </c>
      <c r="Q25" s="539"/>
      <c r="R25" s="507">
        <v>0.83199999999999996</v>
      </c>
    </row>
    <row r="26" spans="2:27">
      <c r="B26" s="521"/>
      <c r="C26" s="499" t="s">
        <v>471</v>
      </c>
      <c r="D26" s="535"/>
      <c r="E26" s="500">
        <v>15</v>
      </c>
      <c r="F26" s="523" t="s">
        <v>319</v>
      </c>
      <c r="G26" s="593">
        <f>IF(H5="","",H5)</f>
        <v>5</v>
      </c>
      <c r="H26" s="591">
        <f>IF(H24="","",IF(M26="","",IF(M28="","",M26-((M26-M28)*H24))))</f>
        <v>0.92299999999999904</v>
      </c>
      <c r="I26" s="549"/>
      <c r="J26" s="512">
        <v>22</v>
      </c>
      <c r="K26" s="535" t="s">
        <v>472</v>
      </c>
      <c r="L26" s="505">
        <v>0.995</v>
      </c>
      <c r="M26" s="505">
        <v>0.995</v>
      </c>
      <c r="N26" s="522"/>
      <c r="O26" s="549" t="s">
        <v>473</v>
      </c>
      <c r="P26" s="667">
        <f>IF(P23="","",IF(P24="","",IF(P25="","",(P24-P23)/P25)))</f>
        <v>1.78707224334601E-3</v>
      </c>
      <c r="Q26" s="594"/>
      <c r="R26" s="555"/>
      <c r="V26" s="647" t="s">
        <v>431</v>
      </c>
      <c r="W26" s="648" t="s">
        <v>432</v>
      </c>
      <c r="X26" s="648" t="s">
        <v>433</v>
      </c>
      <c r="Y26" s="648" t="s">
        <v>431</v>
      </c>
      <c r="Z26" s="648" t="s">
        <v>432</v>
      </c>
      <c r="AA26" s="649" t="s">
        <v>433</v>
      </c>
    </row>
    <row r="27" spans="2:27">
      <c r="B27" s="521"/>
      <c r="C27" s="595"/>
      <c r="D27" s="522"/>
      <c r="E27" s="535"/>
      <c r="F27" s="539"/>
      <c r="G27" s="593" t="str">
        <f>IF(C26="54C",H30,IF(C26="60C",H30,IF(C5="1250 04",H29,G29)))</f>
        <v/>
      </c>
      <c r="H27" s="591">
        <f>IF(H25="","",IF(H23="","",IF(H26="","",H25-(H23/50*(H25-H26)))))</f>
        <v>0.92299999999999904</v>
      </c>
      <c r="I27" s="549"/>
      <c r="J27" s="522" t="s">
        <v>474</v>
      </c>
      <c r="K27" s="522"/>
      <c r="L27" s="592" t="s">
        <v>475</v>
      </c>
      <c r="M27" s="592" t="s">
        <v>476</v>
      </c>
      <c r="N27" s="522"/>
      <c r="O27" s="549"/>
      <c r="P27" s="535"/>
      <c r="Q27" s="554"/>
      <c r="R27" s="596" t="s">
        <v>477</v>
      </c>
      <c r="V27" s="635">
        <v>0.5</v>
      </c>
      <c r="W27" s="636">
        <v>0.51910000000000001</v>
      </c>
      <c r="X27" s="650">
        <v>0.99775000000000003</v>
      </c>
      <c r="Y27" s="636">
        <v>0.5</v>
      </c>
      <c r="Z27" s="636">
        <v>0.52010000000000001</v>
      </c>
      <c r="AA27" s="637">
        <v>1.0022500000000001</v>
      </c>
    </row>
    <row r="28" spans="2:27">
      <c r="B28" s="521"/>
      <c r="C28" s="595" t="str">
        <f>IF(C26="54C","Alpha Coeficent",IF(C26="60C","Alpha Coeficent",""))</f>
        <v/>
      </c>
      <c r="D28" s="535"/>
      <c r="E28" s="499">
        <v>33</v>
      </c>
      <c r="F28" s="535"/>
      <c r="G28" s="543">
        <v>1980</v>
      </c>
      <c r="H28" s="597">
        <v>2004</v>
      </c>
      <c r="I28" s="549"/>
      <c r="J28" s="512">
        <v>27</v>
      </c>
      <c r="K28" s="535" t="s">
        <v>472</v>
      </c>
      <c r="L28" s="505">
        <v>0.99139999999999995</v>
      </c>
      <c r="M28" s="505">
        <v>0.99139999999999995</v>
      </c>
      <c r="N28" s="522"/>
      <c r="O28" s="598" t="s">
        <v>478</v>
      </c>
      <c r="P28" s="511">
        <v>0.01</v>
      </c>
      <c r="Q28" s="539" t="s">
        <v>440</v>
      </c>
      <c r="R28" s="668">
        <f>IF(R25="","",ROUND((1.0001506*R25)-0.0012202,4))</f>
        <v>0.83089999999999997</v>
      </c>
      <c r="U28" s="651"/>
      <c r="V28" s="635">
        <v>0.51919999999999999</v>
      </c>
      <c r="W28" s="636">
        <v>0.54210000000000003</v>
      </c>
      <c r="X28" s="650">
        <v>0.99785000000000001</v>
      </c>
      <c r="Y28" s="636">
        <v>0.5202</v>
      </c>
      <c r="Z28" s="636">
        <v>0.54320000000000002</v>
      </c>
      <c r="AA28" s="637">
        <v>1.0021500000000001</v>
      </c>
    </row>
    <row r="29" spans="2:27">
      <c r="B29" s="521"/>
      <c r="C29" s="595"/>
      <c r="D29" s="535"/>
      <c r="E29" s="556"/>
      <c r="F29" s="535"/>
      <c r="G29" s="543" t="str">
        <f>IF(G5=20,"",IF(C26="","",IF(E24="","",IF(E26="","",FIXED((IF(E26&gt;15,ROUND(T54Selector(C26,E24,E26),H5),ROUND(T54Selector(C26,E24,E26),4))),H5,TRUE)))))</f>
        <v/>
      </c>
      <c r="H29" s="543" t="e">
        <f ca="1">IF(C26="54A",FIXED(tab54a_04((E24*1000),E26),H5,TRUE),IF(C26="54B",FIXED(tab54b_04((E24*1000),E26),H5,TRUE),IF(C26="54D",FIXED(tab54d_04((E24*1000),E26),H5,TRUE),IF(C26="60A",FIXED(tab60a_04((E24*1000),E26),H5,TRUE),IF(C26="60B",FIXED(tab60b_04((E24*1000),E26),H5,TRUE),IF(C26="60D",FIXED(tab60d_04((E24*1000),E26),H5,TRUE),""))))))</f>
        <v>#NAME?</v>
      </c>
      <c r="I29" s="549"/>
      <c r="J29" s="522" t="s">
        <v>479</v>
      </c>
      <c r="K29" s="522"/>
      <c r="L29" s="535" t="s">
        <v>480</v>
      </c>
      <c r="M29" s="522"/>
      <c r="N29" s="522"/>
      <c r="O29" s="549" t="s">
        <v>481</v>
      </c>
      <c r="P29" s="513">
        <v>40</v>
      </c>
      <c r="Q29" s="522" t="s">
        <v>441</v>
      </c>
      <c r="R29" s="555"/>
      <c r="U29" s="651"/>
      <c r="V29" s="635">
        <v>0.54220000000000002</v>
      </c>
      <c r="W29" s="636">
        <v>0.56730000000000003</v>
      </c>
      <c r="X29" s="650">
        <v>0.99795</v>
      </c>
      <c r="Y29" s="636">
        <v>0.54330000000000001</v>
      </c>
      <c r="Z29" s="636">
        <v>0.56840000000000002</v>
      </c>
      <c r="AA29" s="637">
        <v>1.0020500000000001</v>
      </c>
    </row>
    <row r="30" spans="2:27">
      <c r="B30" s="521"/>
      <c r="C30" s="523" t="s">
        <v>482</v>
      </c>
      <c r="D30" s="535"/>
      <c r="E30" s="657">
        <f>IF(C24="","",IF(C24="","",IF(E24="","",C24/E24)))</f>
        <v>1442.3076923076924</v>
      </c>
      <c r="F30" s="535" t="s">
        <v>441</v>
      </c>
      <c r="G30" s="532">
        <f>E28*10^6</f>
        <v>33000000</v>
      </c>
      <c r="H30" s="599" t="str">
        <f>IF(C26="","",IF(E26="","",IF(C26="54C",FIXED(tab54c_04(G30,E26),5,TRUE),IF(C26="60C",FIXED(tab60c_04(G30,E26),5,TRUE),""))))</f>
        <v/>
      </c>
      <c r="I30" s="549"/>
      <c r="J30" s="514">
        <v>32</v>
      </c>
      <c r="K30" s="535" t="s">
        <v>472</v>
      </c>
      <c r="L30" s="1866">
        <f>IF(H27="","",H27)</f>
        <v>0.92299999999999904</v>
      </c>
      <c r="M30" s="1867"/>
      <c r="N30" s="522"/>
      <c r="O30" s="549" t="s">
        <v>483</v>
      </c>
      <c r="P30" s="515">
        <v>0.04</v>
      </c>
      <c r="Q30" s="522" t="s">
        <v>440</v>
      </c>
      <c r="R30" s="537" t="s">
        <v>484</v>
      </c>
      <c r="U30" s="651"/>
      <c r="V30" s="635">
        <v>0.56740000000000002</v>
      </c>
      <c r="W30" s="636">
        <v>0.59499999999999997</v>
      </c>
      <c r="X30" s="650">
        <v>0.99804999999999999</v>
      </c>
      <c r="Y30" s="636">
        <v>0.56850000000000001</v>
      </c>
      <c r="Z30" s="636">
        <v>0.59599999999999997</v>
      </c>
      <c r="AA30" s="637">
        <v>1.0019499999999999</v>
      </c>
    </row>
    <row r="31" spans="2:27" ht="3" customHeight="1">
      <c r="B31" s="578"/>
      <c r="C31" s="579"/>
      <c r="D31" s="579"/>
      <c r="E31" s="579"/>
      <c r="F31" s="579"/>
      <c r="G31" s="593"/>
      <c r="H31" s="524"/>
      <c r="I31" s="600"/>
      <c r="J31" s="548"/>
      <c r="K31" s="601"/>
      <c r="L31" s="602"/>
      <c r="M31" s="603"/>
      <c r="N31" s="548"/>
      <c r="O31" s="549"/>
      <c r="P31" s="522"/>
      <c r="Q31" s="522"/>
      <c r="R31" s="571"/>
      <c r="V31" s="635">
        <v>0.59509999999999996</v>
      </c>
      <c r="W31" s="636">
        <v>0.62549999999999994</v>
      </c>
      <c r="X31" s="650">
        <v>0.99814999999999998</v>
      </c>
      <c r="Y31" s="636">
        <v>0.59609999999999996</v>
      </c>
      <c r="Z31" s="636">
        <v>0.62649999999999995</v>
      </c>
      <c r="AA31" s="637">
        <v>1.0018499999999999</v>
      </c>
    </row>
    <row r="32" spans="2:27">
      <c r="B32" s="1861" t="s">
        <v>485</v>
      </c>
      <c r="C32" s="1862"/>
      <c r="D32" s="1862"/>
      <c r="E32" s="1862"/>
      <c r="F32" s="1863"/>
      <c r="G32" s="654"/>
      <c r="H32" s="666"/>
      <c r="I32" s="1864" t="s">
        <v>486</v>
      </c>
      <c r="J32" s="1862"/>
      <c r="K32" s="1862"/>
      <c r="L32" s="1862"/>
      <c r="M32" s="1862"/>
      <c r="N32" s="1862"/>
      <c r="O32" s="598" t="s">
        <v>487</v>
      </c>
      <c r="P32" s="669">
        <f>IF(P25="","",IF(P35="","",ROUND((P35*P26),3)))</f>
        <v>5.3999999999999999E-2</v>
      </c>
      <c r="Q32" s="522" t="s">
        <v>440</v>
      </c>
      <c r="R32" s="664">
        <f>IF(R25="","",IF(R25&lt;0.5,"Out of range",IF(R25&gt;1.1,"Out of range",LOOKUP((R25),Y27:Y40,AA27:AA40))))</f>
        <v>1.00135</v>
      </c>
      <c r="V32" s="635">
        <v>0.62560000000000004</v>
      </c>
      <c r="W32" s="636">
        <v>0.6593</v>
      </c>
      <c r="X32" s="650">
        <v>0.99824999999999997</v>
      </c>
      <c r="Y32" s="636">
        <v>0.62660000000000005</v>
      </c>
      <c r="Z32" s="636">
        <v>0.6603</v>
      </c>
      <c r="AA32" s="637">
        <v>1.0017499999999999</v>
      </c>
    </row>
    <row r="33" spans="2:27" ht="15.75" customHeight="1">
      <c r="B33" s="526"/>
      <c r="C33" s="527"/>
      <c r="D33" s="527"/>
      <c r="E33" s="527"/>
      <c r="F33" s="604"/>
      <c r="G33" s="562">
        <f>IF(L35="",0,IF(M35="",0,M35-L35))</f>
        <v>-0.60000000000000009</v>
      </c>
      <c r="H33" s="561">
        <f>IF(G33=0,0,(J35-L35)/G33)</f>
        <v>1</v>
      </c>
      <c r="I33" s="526"/>
      <c r="J33" s="605"/>
      <c r="K33" s="583"/>
      <c r="L33" s="606"/>
      <c r="M33" s="606"/>
      <c r="N33" s="527"/>
      <c r="O33" s="549"/>
      <c r="P33" s="522"/>
      <c r="Q33" s="522"/>
      <c r="R33" s="555"/>
      <c r="V33" s="635">
        <v>0.65939999999999999</v>
      </c>
      <c r="W33" s="636">
        <v>0.69699999999999995</v>
      </c>
      <c r="X33" s="650">
        <v>0.99834999999999996</v>
      </c>
      <c r="Y33" s="636">
        <v>0.66039999999999999</v>
      </c>
      <c r="Z33" s="636">
        <v>0.69799999999999995</v>
      </c>
      <c r="AA33" s="637">
        <v>1.0016499999999999</v>
      </c>
    </row>
    <row r="34" spans="2:27">
      <c r="B34" s="521" t="s">
        <v>459</v>
      </c>
      <c r="C34" s="516">
        <v>0.86040000000000005</v>
      </c>
      <c r="D34" s="521" t="s">
        <v>488</v>
      </c>
      <c r="E34" s="690">
        <v>0.83199999999999996</v>
      </c>
      <c r="F34" s="607" t="s">
        <v>489</v>
      </c>
      <c r="G34" s="608">
        <f>IF(H44="","",IF(G44="","",H44-G44))</f>
        <v>16</v>
      </c>
      <c r="H34" s="608">
        <f>IF(G34="","",G44+(G34*H33))</f>
        <v>198</v>
      </c>
      <c r="I34" s="549"/>
      <c r="J34" s="523" t="s">
        <v>490</v>
      </c>
      <c r="K34" s="535"/>
      <c r="L34" s="556" t="s">
        <v>491</v>
      </c>
      <c r="M34" s="556" t="s">
        <v>492</v>
      </c>
      <c r="N34" s="522"/>
      <c r="O34" s="549" t="s">
        <v>493</v>
      </c>
      <c r="P34" s="511">
        <v>16</v>
      </c>
      <c r="Q34" s="522" t="s">
        <v>440</v>
      </c>
      <c r="R34" s="596" t="s">
        <v>494</v>
      </c>
      <c r="V34" s="635">
        <v>0.69710000000000005</v>
      </c>
      <c r="W34" s="636">
        <v>0.73919999999999997</v>
      </c>
      <c r="X34" s="650">
        <v>0.99844999999999995</v>
      </c>
      <c r="Y34" s="636">
        <v>0.69810000000000005</v>
      </c>
      <c r="Z34" s="636">
        <v>0.74019999999999997</v>
      </c>
      <c r="AA34" s="637">
        <v>1.0015499999999999</v>
      </c>
    </row>
    <row r="35" spans="2:27">
      <c r="B35" s="609" t="s">
        <v>495</v>
      </c>
      <c r="C35" s="691">
        <f>IF(C34="","",ROUND(141.5/(C34+C36)-131.5,2))</f>
        <v>32.86</v>
      </c>
      <c r="D35" s="609" t="s">
        <v>496</v>
      </c>
      <c r="E35" s="504">
        <v>32.86</v>
      </c>
      <c r="F35" s="539"/>
      <c r="G35" s="610">
        <f>L38-L40</f>
        <v>-1</v>
      </c>
      <c r="H35" s="557">
        <f>M38-M40</f>
        <v>-2</v>
      </c>
      <c r="I35" s="549"/>
      <c r="J35" s="505">
        <v>0.5</v>
      </c>
      <c r="K35" s="523" t="s">
        <v>440</v>
      </c>
      <c r="L35" s="505">
        <v>1.1000000000000001</v>
      </c>
      <c r="M35" s="505">
        <v>0.5</v>
      </c>
      <c r="N35" s="523" t="s">
        <v>440</v>
      </c>
      <c r="O35" s="549" t="s">
        <v>497</v>
      </c>
      <c r="P35" s="511">
        <v>30</v>
      </c>
      <c r="Q35" s="539"/>
      <c r="R35" s="664">
        <f>IF(R25="","",IF(R25&lt;0.5,"Out of range",IF(R25&gt;1.1,"Out of range",LOOKUP((R25),V27:V40,X27:X40))))</f>
        <v>0.99865000000000004</v>
      </c>
      <c r="V35" s="635">
        <v>0.73929999999999996</v>
      </c>
      <c r="W35" s="636">
        <v>0.78690000000000004</v>
      </c>
      <c r="X35" s="650">
        <v>0.99855000000000005</v>
      </c>
      <c r="Y35" s="636">
        <v>0.74029999999999996</v>
      </c>
      <c r="Z35" s="636">
        <v>0.78790000000000004</v>
      </c>
      <c r="AA35" s="637">
        <v>1.00145</v>
      </c>
    </row>
    <row r="36" spans="2:27">
      <c r="B36" s="546"/>
      <c r="C36" s="611">
        <f>IF(C34&lt;0.684,0.0001,IF(C34&lt;0.756,0.0002,IF(C34&lt;0.786,0.0003,IF(C34&lt;0.851,0.0004,IF(C34&lt;0.941,0.0005,IF(C34&lt;1.033,0.0006,0.0007))))))</f>
        <v>5.0000000000000001E-4</v>
      </c>
      <c r="D36" s="611">
        <f>IF(E36&lt;0.6841,0.0001,IF(E36&lt;0.7562,0.0002,IF(E36&lt;0.7863,0.0003,IF(E36&lt;0.8514,0.0004,IF(E36&lt;0.9415,0.0005,IF(E36&lt;1.0336,0.0006,0.0007))))))</f>
        <v>5.0000000000000001E-4</v>
      </c>
      <c r="E36" s="612">
        <f>141.5/(E35+131.5)</f>
        <v>0.86091506449257715</v>
      </c>
      <c r="F36" s="613">
        <f>E36-D36</f>
        <v>0.86041506449257721</v>
      </c>
      <c r="G36" s="610">
        <f>$J38-$J40</f>
        <v>-9.9999999999997868E-3</v>
      </c>
      <c r="H36" s="557">
        <f>$J38-$J40</f>
        <v>-9.9999999999997868E-3</v>
      </c>
      <c r="I36" s="549"/>
      <c r="J36" s="522"/>
      <c r="K36" s="522"/>
      <c r="L36" s="522"/>
      <c r="M36" s="522"/>
      <c r="N36" s="522"/>
      <c r="O36" s="549" t="s">
        <v>498</v>
      </c>
      <c r="P36" s="511">
        <v>20</v>
      </c>
      <c r="Q36" s="539"/>
      <c r="R36" s="571"/>
      <c r="V36" s="635">
        <v>0.78700000000000003</v>
      </c>
      <c r="W36" s="636">
        <v>0.84109999999999996</v>
      </c>
      <c r="X36" s="650">
        <v>0.99865000000000004</v>
      </c>
      <c r="Y36" s="636">
        <v>0.78800000000000003</v>
      </c>
      <c r="Z36" s="636">
        <v>0.84209999999999996</v>
      </c>
      <c r="AA36" s="637">
        <v>1.00135</v>
      </c>
    </row>
    <row r="37" spans="2:27">
      <c r="B37" s="1857" t="s">
        <v>499</v>
      </c>
      <c r="C37" s="1858"/>
      <c r="D37" s="1858"/>
      <c r="E37" s="1858"/>
      <c r="F37" s="1859"/>
      <c r="G37" s="566">
        <f>IF($J38="",0,IF($J40="",0,IF($J40&gt;$J38,$J40-$J43,IF($J40&lt;$J38,$J38-$J43))))</f>
        <v>-0.49000000000000021</v>
      </c>
      <c r="H37" s="566">
        <f>IF($J38="",0,IF($J40="",0,IF($J40&gt;$J38,$J40-$J43,IF($J40&lt;$J38,$J38-$J43))))</f>
        <v>-0.49000000000000021</v>
      </c>
      <c r="I37" s="549"/>
      <c r="J37" s="523" t="s">
        <v>434</v>
      </c>
      <c r="K37" s="535"/>
      <c r="L37" s="523" t="s">
        <v>500</v>
      </c>
      <c r="M37" s="556"/>
      <c r="N37" s="522"/>
      <c r="O37" s="549" t="s">
        <v>501</v>
      </c>
      <c r="P37" s="511">
        <v>2</v>
      </c>
      <c r="Q37" s="539"/>
      <c r="R37" s="655" t="s">
        <v>502</v>
      </c>
      <c r="V37" s="635">
        <v>0.84119999999999995</v>
      </c>
      <c r="W37" s="636">
        <v>0.90339999999999998</v>
      </c>
      <c r="X37" s="650">
        <v>0.99875000000000003</v>
      </c>
      <c r="Y37" s="636">
        <v>0.84219999999999995</v>
      </c>
      <c r="Z37" s="636">
        <v>0.90439999999999998</v>
      </c>
      <c r="AA37" s="637">
        <v>1.00125</v>
      </c>
    </row>
    <row r="38" spans="2:27">
      <c r="B38" s="526"/>
      <c r="C38" s="527"/>
      <c r="D38" s="527"/>
      <c r="E38" s="527"/>
      <c r="F38" s="604"/>
      <c r="G38" s="568">
        <f>IF(ISERROR(G35/G36),0,ROUND(G35/G36,5))</f>
        <v>100</v>
      </c>
      <c r="H38" s="568">
        <f>IF(ISERROR(H35/H36),0,ROUND(H35/H36,5))</f>
        <v>200</v>
      </c>
      <c r="I38" s="549"/>
      <c r="J38" s="505">
        <v>3</v>
      </c>
      <c r="K38" s="523" t="s">
        <v>440</v>
      </c>
      <c r="L38" s="506">
        <v>132</v>
      </c>
      <c r="M38" s="506">
        <v>98</v>
      </c>
      <c r="N38" s="523" t="s">
        <v>441</v>
      </c>
      <c r="O38" s="549" t="s">
        <v>503</v>
      </c>
      <c r="P38" s="522"/>
      <c r="Q38" s="539"/>
      <c r="R38" s="614" t="s">
        <v>439</v>
      </c>
      <c r="V38" s="635">
        <v>0.90349999999999997</v>
      </c>
      <c r="W38" s="636">
        <v>0.97560000000000002</v>
      </c>
      <c r="X38" s="650">
        <v>0.99885000000000002</v>
      </c>
      <c r="Y38" s="636">
        <v>0.90449999999999997</v>
      </c>
      <c r="Z38" s="636">
        <v>0.87660000000000005</v>
      </c>
      <c r="AA38" s="637">
        <v>1.00115</v>
      </c>
    </row>
    <row r="39" spans="2:27">
      <c r="B39" s="521" t="s">
        <v>504</v>
      </c>
      <c r="C39" s="522"/>
      <c r="D39" s="522"/>
      <c r="E39" s="517">
        <v>0.86040000000000005</v>
      </c>
      <c r="F39" s="615">
        <f>ROUND(ROUND((1.0001506*E39)-0.0012202,4)*1000,1)</f>
        <v>859.3</v>
      </c>
      <c r="G39" s="557">
        <f>ROUND(G38*G37,3)</f>
        <v>-49</v>
      </c>
      <c r="H39" s="557">
        <f>ROUND(H38*H37,3)</f>
        <v>-98</v>
      </c>
      <c r="I39" s="549"/>
      <c r="J39" s="523" t="s">
        <v>444</v>
      </c>
      <c r="K39" s="535"/>
      <c r="L39" s="523" t="s">
        <v>505</v>
      </c>
      <c r="M39" s="523"/>
      <c r="N39" s="523"/>
      <c r="O39" s="549"/>
      <c r="P39" s="522"/>
      <c r="Q39" s="539"/>
      <c r="R39" s="564" t="s">
        <v>442</v>
      </c>
      <c r="V39" s="635">
        <v>0.97570000000000001</v>
      </c>
      <c r="W39" s="636">
        <v>1.0604</v>
      </c>
      <c r="X39" s="650">
        <v>0.99895</v>
      </c>
      <c r="Y39" s="636">
        <v>0.97670000000000001</v>
      </c>
      <c r="Z39" s="636">
        <v>1.0613999999999999</v>
      </c>
      <c r="AA39" s="637">
        <v>1.00105</v>
      </c>
    </row>
    <row r="40" spans="2:27">
      <c r="B40" s="549" t="s">
        <v>506</v>
      </c>
      <c r="C40" s="522"/>
      <c r="D40" s="522"/>
      <c r="E40" s="518">
        <v>0.05</v>
      </c>
      <c r="F40" s="616"/>
      <c r="G40" s="552">
        <f>IF($J38="",0,IF($J40="",0,IF($J43="",0,IF($J38&lt;=$J40,0,IF(L38&lt;=L40,0,IF($J38&gt;$J40,IF(L38&gt;L40,L38-G39,0)))))))</f>
        <v>0</v>
      </c>
      <c r="H40" s="552">
        <f>IF($J38="",0,IF($J40="",0,IF($J43="",0,IF($J38&lt;=$J40,0,IF(M38&lt;=M40,0,IF($J38&gt;$J40,IF(M38&gt;M40,M38-H39,0)))))))</f>
        <v>0</v>
      </c>
      <c r="I40" s="549"/>
      <c r="J40" s="505">
        <v>3.01</v>
      </c>
      <c r="K40" s="523" t="s">
        <v>440</v>
      </c>
      <c r="L40" s="506">
        <v>133</v>
      </c>
      <c r="M40" s="506">
        <v>100</v>
      </c>
      <c r="N40" s="523" t="s">
        <v>441</v>
      </c>
      <c r="O40" s="549"/>
      <c r="P40" s="522"/>
      <c r="Q40" s="522"/>
      <c r="R40" s="507">
        <v>0.86040000000000005</v>
      </c>
      <c r="V40" s="639">
        <v>1.0605</v>
      </c>
      <c r="W40" s="640">
        <v>1.1000000000000001</v>
      </c>
      <c r="X40" s="652">
        <v>0.99904999999999999</v>
      </c>
      <c r="Y40" s="640">
        <v>1.0615000000000001</v>
      </c>
      <c r="Z40" s="640">
        <v>1.1000000000000001</v>
      </c>
      <c r="AA40" s="641">
        <v>1.00095</v>
      </c>
    </row>
    <row r="41" spans="2:27">
      <c r="B41" s="549" t="s">
        <v>507</v>
      </c>
      <c r="C41" s="522"/>
      <c r="D41" s="522"/>
      <c r="E41" s="519">
        <v>0.1</v>
      </c>
      <c r="F41" s="617"/>
      <c r="G41" s="552">
        <f>IF($J38="",0,IF($J40="",0,IF($J43="",0,IF($J38&gt;=$J40,0,IF(L38&lt;=L40,0,IF($J38&lt;$J40,IF(L38&gt;L40,L40-G39,0)))))))</f>
        <v>0</v>
      </c>
      <c r="H41" s="552">
        <f>IF($J38="",0,IF($J40="",0,IF($J43="",0,IF($J38&gt;=$J40,0,IF(M38&lt;=M40,0,IF($J38&lt;$J40,IF(M38&gt;M40,M40-H39,0)))))))</f>
        <v>0</v>
      </c>
      <c r="I41" s="549"/>
      <c r="J41" s="522"/>
      <c r="K41" s="522"/>
      <c r="L41" s="522"/>
      <c r="M41" s="522"/>
      <c r="N41" s="522"/>
      <c r="O41" s="549" t="s">
        <v>508</v>
      </c>
      <c r="P41" s="670">
        <f>IF(P30=0,"",IF(P32="","",IF(P34=0,"",IF(P36=0,"",IF(P37=0,"",IF(P30&gt;P32,"No Wedge",(ROUND((((POWER((((P37-(P34*P26))*P26)+(P30-P28)),2))*P36*0.5)/P26),3)*1000)))))))</f>
        <v>6288</v>
      </c>
      <c r="Q41" s="522" t="s">
        <v>441</v>
      </c>
      <c r="R41" s="618" t="s">
        <v>446</v>
      </c>
    </row>
    <row r="42" spans="2:27">
      <c r="B42" s="619" t="s">
        <v>509</v>
      </c>
      <c r="C42" s="522"/>
      <c r="D42" s="522"/>
      <c r="E42" s="517">
        <v>1</v>
      </c>
      <c r="F42" s="615">
        <f>ROUND(ROUND((1.0001506*E42)-0.0012202,4)*1000,1)</f>
        <v>998.9</v>
      </c>
      <c r="G42" s="552">
        <f>IF($J38="",0,IF($J40="",0,IF($J43="",0,IF($J38&gt;=$J40,0,IF(L38&gt;=L40,0,IF($J38&lt;$J40,IF(L38&lt;L40,L40-G39,0)))))))</f>
        <v>182</v>
      </c>
      <c r="H42" s="552">
        <f>IF($J38="",0,IF($J40="",0,IF($J43="",0,IF($J38&gt;=$J40,0,IF(M38&gt;=M40,0,IF($J38&lt;$J40,IF(M38&lt;M40,M40-H39,0)))))))</f>
        <v>198</v>
      </c>
      <c r="I42" s="549"/>
      <c r="J42" s="523" t="s">
        <v>449</v>
      </c>
      <c r="K42" s="535"/>
      <c r="L42" s="522" t="s">
        <v>510</v>
      </c>
      <c r="M42" s="535"/>
      <c r="N42" s="535"/>
      <c r="O42" s="549"/>
      <c r="P42" s="522"/>
      <c r="Q42" s="522"/>
      <c r="R42" s="571" t="s">
        <v>511</v>
      </c>
    </row>
    <row r="43" spans="2:27">
      <c r="B43" s="521" t="s">
        <v>512</v>
      </c>
      <c r="C43" s="522"/>
      <c r="D43" s="522"/>
      <c r="E43" s="672">
        <f>IF(E39="","",IF(E40="","",IF(E42="","",ROUND(((F43/1000)+0.0012202)/1.0001506,4))))</f>
        <v>0.85980000000000001</v>
      </c>
      <c r="F43" s="620">
        <f>ROUND((100-E40-E41)/((100/F39)-(E40/F42)-(E41/2000)),1)</f>
        <v>858.7</v>
      </c>
      <c r="G43" s="552">
        <f>IF($J38="",0,IF($J40="",0,IF($J43="",0,IF($J38&lt;=$J40,0,IF(L38&gt;=L40,0,IF($J38&gt;$J40,IF(L38&lt;L40,L38-G39,0)))))))</f>
        <v>0</v>
      </c>
      <c r="H43" s="552">
        <f>IF($J38="",0,IF($J40="",0,IF($J43="",0,IF($J38&lt;=$J40,0,IF(M38&gt;=M40,0,IF($J38&gt;$J40,IF(M38&lt;M40,M38-H39,0)))))))</f>
        <v>0</v>
      </c>
      <c r="I43" s="549"/>
      <c r="J43" s="505">
        <v>3.5</v>
      </c>
      <c r="K43" s="523" t="s">
        <v>440</v>
      </c>
      <c r="L43" s="1860">
        <f>H34</f>
        <v>198</v>
      </c>
      <c r="M43" s="1860"/>
      <c r="N43" s="523" t="s">
        <v>441</v>
      </c>
      <c r="O43" s="549" t="s">
        <v>197</v>
      </c>
      <c r="P43" s="670">
        <f>IF(P41="","",IF(P41="No Wedge","",P29+P41))</f>
        <v>6328</v>
      </c>
      <c r="Q43" s="539" t="s">
        <v>441</v>
      </c>
      <c r="R43" s="671">
        <f>IF(R40="","",IF(R40&lt;0.654,"Out of range",IF(R40&gt;1.075,"Out of range",ROUND(ROUND((ROUND((0.9843545*R40),7)-(ROUND(ROUND(2.2046223/2.24,7)*0.0012242,7))),5),4))))</f>
        <v>0.84570000000000001</v>
      </c>
    </row>
    <row r="44" spans="2:27" ht="3" customHeight="1">
      <c r="B44" s="546"/>
      <c r="C44" s="548"/>
      <c r="D44" s="548"/>
      <c r="E44" s="548"/>
      <c r="F44" s="547"/>
      <c r="G44" s="621">
        <f>IF($J43="","",IF($J38="","",IF($J40="","",SUM(G40:G43))))</f>
        <v>182</v>
      </c>
      <c r="H44" s="622">
        <f>IF($J43="","",IF($J38="","",IF($J40="","",SUM(H40:H43))))</f>
        <v>198</v>
      </c>
      <c r="I44" s="548"/>
      <c r="J44" s="548"/>
      <c r="K44" s="548"/>
      <c r="L44" s="548"/>
      <c r="M44" s="548"/>
      <c r="N44" s="548"/>
      <c r="O44" s="546"/>
      <c r="P44" s="548"/>
      <c r="Q44" s="547"/>
      <c r="R44" s="571"/>
    </row>
  </sheetData>
  <sheetProtection algorithmName="SHA-512" hashValue="Z+S/c5h/CqkCcTQuRNFhxcYs/7kLHERJikgM0Ub+hq5Qt2tXhkrwnk6XBGjGTFEbXwcAAlf5yvn4AUhRdJPeGA==" saltValue="jAN7RE20e520nJJNNwH5zg==" spinCount="100000" sheet="1" objects="1" scenarios="1"/>
  <mergeCells count="14">
    <mergeCell ref="B2:J2"/>
    <mergeCell ref="K2:O2"/>
    <mergeCell ref="P2:R2"/>
    <mergeCell ref="B9:F9"/>
    <mergeCell ref="I9:N9"/>
    <mergeCell ref="O9:Q9"/>
    <mergeCell ref="B37:F37"/>
    <mergeCell ref="L43:M43"/>
    <mergeCell ref="B21:F21"/>
    <mergeCell ref="I21:N21"/>
    <mergeCell ref="O21:Q21"/>
    <mergeCell ref="L30:M30"/>
    <mergeCell ref="B32:F32"/>
    <mergeCell ref="I32:N32"/>
  </mergeCells>
  <dataValidations count="6">
    <dataValidation type="list" allowBlank="1" showInputMessage="1" showErrorMessage="1" error="Pick from list" sqref="P5 JL5 TH5 ADD5 AMZ5 AWV5 BGR5 BQN5 CAJ5 CKF5 CUB5 DDX5 DNT5 DXP5 EHL5 ERH5 FBD5 FKZ5 FUV5 GER5 GON5 GYJ5 HIF5 HSB5 IBX5 ILT5 IVP5 JFL5 JPH5 JZD5 KIZ5 KSV5 LCR5 LMN5 LWJ5 MGF5 MQB5 MZX5 NJT5 NTP5 ODL5 ONH5 OXD5 PGZ5 PQV5 QAR5 QKN5 QUJ5 REF5 ROB5 RXX5 SHT5 SRP5 TBL5 TLH5 TVD5 UEZ5 UOV5 UYR5 VIN5 VSJ5 WCF5 WMB5 WVX5 P65541 JL65541 TH65541 ADD65541 AMZ65541 AWV65541 BGR65541 BQN65541 CAJ65541 CKF65541 CUB65541 DDX65541 DNT65541 DXP65541 EHL65541 ERH65541 FBD65541 FKZ65541 FUV65541 GER65541 GON65541 GYJ65541 HIF65541 HSB65541 IBX65541 ILT65541 IVP65541 JFL65541 JPH65541 JZD65541 KIZ65541 KSV65541 LCR65541 LMN65541 LWJ65541 MGF65541 MQB65541 MZX65541 NJT65541 NTP65541 ODL65541 ONH65541 OXD65541 PGZ65541 PQV65541 QAR65541 QKN65541 QUJ65541 REF65541 ROB65541 RXX65541 SHT65541 SRP65541 TBL65541 TLH65541 TVD65541 UEZ65541 UOV65541 UYR65541 VIN65541 VSJ65541 WCF65541 WMB65541 WVX65541 P131077 JL131077 TH131077 ADD131077 AMZ131077 AWV131077 BGR131077 BQN131077 CAJ131077 CKF131077 CUB131077 DDX131077 DNT131077 DXP131077 EHL131077 ERH131077 FBD131077 FKZ131077 FUV131077 GER131077 GON131077 GYJ131077 HIF131077 HSB131077 IBX131077 ILT131077 IVP131077 JFL131077 JPH131077 JZD131077 KIZ131077 KSV131077 LCR131077 LMN131077 LWJ131077 MGF131077 MQB131077 MZX131077 NJT131077 NTP131077 ODL131077 ONH131077 OXD131077 PGZ131077 PQV131077 QAR131077 QKN131077 QUJ131077 REF131077 ROB131077 RXX131077 SHT131077 SRP131077 TBL131077 TLH131077 TVD131077 UEZ131077 UOV131077 UYR131077 VIN131077 VSJ131077 WCF131077 WMB131077 WVX131077 P196613 JL196613 TH196613 ADD196613 AMZ196613 AWV196613 BGR196613 BQN196613 CAJ196613 CKF196613 CUB196613 DDX196613 DNT196613 DXP196613 EHL196613 ERH196613 FBD196613 FKZ196613 FUV196613 GER196613 GON196613 GYJ196613 HIF196613 HSB196613 IBX196613 ILT196613 IVP196613 JFL196613 JPH196613 JZD196613 KIZ196613 KSV196613 LCR196613 LMN196613 LWJ196613 MGF196613 MQB196613 MZX196613 NJT196613 NTP196613 ODL196613 ONH196613 OXD196613 PGZ196613 PQV196613 QAR196613 QKN196613 QUJ196613 REF196613 ROB196613 RXX196613 SHT196613 SRP196613 TBL196613 TLH196613 TVD196613 UEZ196613 UOV196613 UYR196613 VIN196613 VSJ196613 WCF196613 WMB196613 WVX196613 P262149 JL262149 TH262149 ADD262149 AMZ262149 AWV262149 BGR262149 BQN262149 CAJ262149 CKF262149 CUB262149 DDX262149 DNT262149 DXP262149 EHL262149 ERH262149 FBD262149 FKZ262149 FUV262149 GER262149 GON262149 GYJ262149 HIF262149 HSB262149 IBX262149 ILT262149 IVP262149 JFL262149 JPH262149 JZD262149 KIZ262149 KSV262149 LCR262149 LMN262149 LWJ262149 MGF262149 MQB262149 MZX262149 NJT262149 NTP262149 ODL262149 ONH262149 OXD262149 PGZ262149 PQV262149 QAR262149 QKN262149 QUJ262149 REF262149 ROB262149 RXX262149 SHT262149 SRP262149 TBL262149 TLH262149 TVD262149 UEZ262149 UOV262149 UYR262149 VIN262149 VSJ262149 WCF262149 WMB262149 WVX262149 P327685 JL327685 TH327685 ADD327685 AMZ327685 AWV327685 BGR327685 BQN327685 CAJ327685 CKF327685 CUB327685 DDX327685 DNT327685 DXP327685 EHL327685 ERH327685 FBD327685 FKZ327685 FUV327685 GER327685 GON327685 GYJ327685 HIF327685 HSB327685 IBX327685 ILT327685 IVP327685 JFL327685 JPH327685 JZD327685 KIZ327685 KSV327685 LCR327685 LMN327685 LWJ327685 MGF327685 MQB327685 MZX327685 NJT327685 NTP327685 ODL327685 ONH327685 OXD327685 PGZ327685 PQV327685 QAR327685 QKN327685 QUJ327685 REF327685 ROB327685 RXX327685 SHT327685 SRP327685 TBL327685 TLH327685 TVD327685 UEZ327685 UOV327685 UYR327685 VIN327685 VSJ327685 WCF327685 WMB327685 WVX327685 P393221 JL393221 TH393221 ADD393221 AMZ393221 AWV393221 BGR393221 BQN393221 CAJ393221 CKF393221 CUB393221 DDX393221 DNT393221 DXP393221 EHL393221 ERH393221 FBD393221 FKZ393221 FUV393221 GER393221 GON393221 GYJ393221 HIF393221 HSB393221 IBX393221 ILT393221 IVP393221 JFL393221 JPH393221 JZD393221 KIZ393221 KSV393221 LCR393221 LMN393221 LWJ393221 MGF393221 MQB393221 MZX393221 NJT393221 NTP393221 ODL393221 ONH393221 OXD393221 PGZ393221 PQV393221 QAR393221 QKN393221 QUJ393221 REF393221 ROB393221 RXX393221 SHT393221 SRP393221 TBL393221 TLH393221 TVD393221 UEZ393221 UOV393221 UYR393221 VIN393221 VSJ393221 WCF393221 WMB393221 WVX393221 P458757 JL458757 TH458757 ADD458757 AMZ458757 AWV458757 BGR458757 BQN458757 CAJ458757 CKF458757 CUB458757 DDX458757 DNT458757 DXP458757 EHL458757 ERH458757 FBD458757 FKZ458757 FUV458757 GER458757 GON458757 GYJ458757 HIF458757 HSB458757 IBX458757 ILT458757 IVP458757 JFL458757 JPH458757 JZD458757 KIZ458757 KSV458757 LCR458757 LMN458757 LWJ458757 MGF458757 MQB458757 MZX458757 NJT458757 NTP458757 ODL458757 ONH458757 OXD458757 PGZ458757 PQV458757 QAR458757 QKN458757 QUJ458757 REF458757 ROB458757 RXX458757 SHT458757 SRP458757 TBL458757 TLH458757 TVD458757 UEZ458757 UOV458757 UYR458757 VIN458757 VSJ458757 WCF458757 WMB458757 WVX458757 P524293 JL524293 TH524293 ADD524293 AMZ524293 AWV524293 BGR524293 BQN524293 CAJ524293 CKF524293 CUB524293 DDX524293 DNT524293 DXP524293 EHL524293 ERH524293 FBD524293 FKZ524293 FUV524293 GER524293 GON524293 GYJ524293 HIF524293 HSB524293 IBX524293 ILT524293 IVP524293 JFL524293 JPH524293 JZD524293 KIZ524293 KSV524293 LCR524293 LMN524293 LWJ524293 MGF524293 MQB524293 MZX524293 NJT524293 NTP524293 ODL524293 ONH524293 OXD524293 PGZ524293 PQV524293 QAR524293 QKN524293 QUJ524293 REF524293 ROB524293 RXX524293 SHT524293 SRP524293 TBL524293 TLH524293 TVD524293 UEZ524293 UOV524293 UYR524293 VIN524293 VSJ524293 WCF524293 WMB524293 WVX524293 P589829 JL589829 TH589829 ADD589829 AMZ589829 AWV589829 BGR589829 BQN589829 CAJ589829 CKF589829 CUB589829 DDX589829 DNT589829 DXP589829 EHL589829 ERH589829 FBD589829 FKZ589829 FUV589829 GER589829 GON589829 GYJ589829 HIF589829 HSB589829 IBX589829 ILT589829 IVP589829 JFL589829 JPH589829 JZD589829 KIZ589829 KSV589829 LCR589829 LMN589829 LWJ589829 MGF589829 MQB589829 MZX589829 NJT589829 NTP589829 ODL589829 ONH589829 OXD589829 PGZ589829 PQV589829 QAR589829 QKN589829 QUJ589829 REF589829 ROB589829 RXX589829 SHT589829 SRP589829 TBL589829 TLH589829 TVD589829 UEZ589829 UOV589829 UYR589829 VIN589829 VSJ589829 WCF589829 WMB589829 WVX589829 P655365 JL655365 TH655365 ADD655365 AMZ655365 AWV655365 BGR655365 BQN655365 CAJ655365 CKF655365 CUB655365 DDX655365 DNT655365 DXP655365 EHL655365 ERH655365 FBD655365 FKZ655365 FUV655365 GER655365 GON655365 GYJ655365 HIF655365 HSB655365 IBX655365 ILT655365 IVP655365 JFL655365 JPH655365 JZD655365 KIZ655365 KSV655365 LCR655365 LMN655365 LWJ655365 MGF655365 MQB655365 MZX655365 NJT655365 NTP655365 ODL655365 ONH655365 OXD655365 PGZ655365 PQV655365 QAR655365 QKN655365 QUJ655365 REF655365 ROB655365 RXX655365 SHT655365 SRP655365 TBL655365 TLH655365 TVD655365 UEZ655365 UOV655365 UYR655365 VIN655365 VSJ655365 WCF655365 WMB655365 WVX655365 P720901 JL720901 TH720901 ADD720901 AMZ720901 AWV720901 BGR720901 BQN720901 CAJ720901 CKF720901 CUB720901 DDX720901 DNT720901 DXP720901 EHL720901 ERH720901 FBD720901 FKZ720901 FUV720901 GER720901 GON720901 GYJ720901 HIF720901 HSB720901 IBX720901 ILT720901 IVP720901 JFL720901 JPH720901 JZD720901 KIZ720901 KSV720901 LCR720901 LMN720901 LWJ720901 MGF720901 MQB720901 MZX720901 NJT720901 NTP720901 ODL720901 ONH720901 OXD720901 PGZ720901 PQV720901 QAR720901 QKN720901 QUJ720901 REF720901 ROB720901 RXX720901 SHT720901 SRP720901 TBL720901 TLH720901 TVD720901 UEZ720901 UOV720901 UYR720901 VIN720901 VSJ720901 WCF720901 WMB720901 WVX720901 P786437 JL786437 TH786437 ADD786437 AMZ786437 AWV786437 BGR786437 BQN786437 CAJ786437 CKF786437 CUB786437 DDX786437 DNT786437 DXP786437 EHL786437 ERH786437 FBD786437 FKZ786437 FUV786437 GER786437 GON786437 GYJ786437 HIF786437 HSB786437 IBX786437 ILT786437 IVP786437 JFL786437 JPH786437 JZD786437 KIZ786437 KSV786437 LCR786437 LMN786437 LWJ786437 MGF786437 MQB786437 MZX786437 NJT786437 NTP786437 ODL786437 ONH786437 OXD786437 PGZ786437 PQV786437 QAR786437 QKN786437 QUJ786437 REF786437 ROB786437 RXX786437 SHT786437 SRP786437 TBL786437 TLH786437 TVD786437 UEZ786437 UOV786437 UYR786437 VIN786437 VSJ786437 WCF786437 WMB786437 WVX786437 P851973 JL851973 TH851973 ADD851973 AMZ851973 AWV851973 BGR851973 BQN851973 CAJ851973 CKF851973 CUB851973 DDX851973 DNT851973 DXP851973 EHL851973 ERH851973 FBD851973 FKZ851973 FUV851973 GER851973 GON851973 GYJ851973 HIF851973 HSB851973 IBX851973 ILT851973 IVP851973 JFL851973 JPH851973 JZD851973 KIZ851973 KSV851973 LCR851973 LMN851973 LWJ851973 MGF851973 MQB851973 MZX851973 NJT851973 NTP851973 ODL851973 ONH851973 OXD851973 PGZ851973 PQV851973 QAR851973 QKN851973 QUJ851973 REF851973 ROB851973 RXX851973 SHT851973 SRP851973 TBL851973 TLH851973 TVD851973 UEZ851973 UOV851973 UYR851973 VIN851973 VSJ851973 WCF851973 WMB851973 WVX851973 P917509 JL917509 TH917509 ADD917509 AMZ917509 AWV917509 BGR917509 BQN917509 CAJ917509 CKF917509 CUB917509 DDX917509 DNT917509 DXP917509 EHL917509 ERH917509 FBD917509 FKZ917509 FUV917509 GER917509 GON917509 GYJ917509 HIF917509 HSB917509 IBX917509 ILT917509 IVP917509 JFL917509 JPH917509 JZD917509 KIZ917509 KSV917509 LCR917509 LMN917509 LWJ917509 MGF917509 MQB917509 MZX917509 NJT917509 NTP917509 ODL917509 ONH917509 OXD917509 PGZ917509 PQV917509 QAR917509 QKN917509 QUJ917509 REF917509 ROB917509 RXX917509 SHT917509 SRP917509 TBL917509 TLH917509 TVD917509 UEZ917509 UOV917509 UYR917509 VIN917509 VSJ917509 WCF917509 WMB917509 WVX917509 P983045 JL983045 TH983045 ADD983045 AMZ983045 AWV983045 BGR983045 BQN983045 CAJ983045 CKF983045 CUB983045 DDX983045 DNT983045 DXP983045 EHL983045 ERH983045 FBD983045 FKZ983045 FUV983045 GER983045 GON983045 GYJ983045 HIF983045 HSB983045 IBX983045 ILT983045 IVP983045 JFL983045 JPH983045 JZD983045 KIZ983045 KSV983045 LCR983045 LMN983045 LWJ983045 MGF983045 MQB983045 MZX983045 NJT983045 NTP983045 ODL983045 ONH983045 OXD983045 PGZ983045 PQV983045 QAR983045 QKN983045 QUJ983045 REF983045 ROB983045 RXX983045 SHT983045 SRP983045 TBL983045 TLH983045 TVD983045 UEZ983045 UOV983045 UYR983045 VIN983045 VSJ983045 WCF983045 WMB983045 WVX983045" xr:uid="{080FA670-BB59-4420-B362-BAF0D901E4A3}">
      <formula1>"53A,53B,53D,59A,59B,59D"</formula1>
    </dataValidation>
    <dataValidation type="list" allowBlank="1" showInputMessage="1" showErrorMessage="1" error="Pick from list" sqref="C26 IY26 SU26 ACQ26 AMM26 AWI26 BGE26 BQA26 BZW26 CJS26 CTO26 DDK26 DNG26 DXC26 EGY26 EQU26 FAQ26 FKM26 FUI26 GEE26 GOA26 GXW26 HHS26 HRO26 IBK26 ILG26 IVC26 JEY26 JOU26 JYQ26 KIM26 KSI26 LCE26 LMA26 LVW26 MFS26 MPO26 MZK26 NJG26 NTC26 OCY26 OMU26 OWQ26 PGM26 PQI26 QAE26 QKA26 QTW26 RDS26 RNO26 RXK26 SHG26 SRC26 TAY26 TKU26 TUQ26 UEM26 UOI26 UYE26 VIA26 VRW26 WBS26 WLO26 WVK26 C65562 IY65562 SU65562 ACQ65562 AMM65562 AWI65562 BGE65562 BQA65562 BZW65562 CJS65562 CTO65562 DDK65562 DNG65562 DXC65562 EGY65562 EQU65562 FAQ65562 FKM65562 FUI65562 GEE65562 GOA65562 GXW65562 HHS65562 HRO65562 IBK65562 ILG65562 IVC65562 JEY65562 JOU65562 JYQ65562 KIM65562 KSI65562 LCE65562 LMA65562 LVW65562 MFS65562 MPO65562 MZK65562 NJG65562 NTC65562 OCY65562 OMU65562 OWQ65562 PGM65562 PQI65562 QAE65562 QKA65562 QTW65562 RDS65562 RNO65562 RXK65562 SHG65562 SRC65562 TAY65562 TKU65562 TUQ65562 UEM65562 UOI65562 UYE65562 VIA65562 VRW65562 WBS65562 WLO65562 WVK65562 C131098 IY131098 SU131098 ACQ131098 AMM131098 AWI131098 BGE131098 BQA131098 BZW131098 CJS131098 CTO131098 DDK131098 DNG131098 DXC131098 EGY131098 EQU131098 FAQ131098 FKM131098 FUI131098 GEE131098 GOA131098 GXW131098 HHS131098 HRO131098 IBK131098 ILG131098 IVC131098 JEY131098 JOU131098 JYQ131098 KIM131098 KSI131098 LCE131098 LMA131098 LVW131098 MFS131098 MPO131098 MZK131098 NJG131098 NTC131098 OCY131098 OMU131098 OWQ131098 PGM131098 PQI131098 QAE131098 QKA131098 QTW131098 RDS131098 RNO131098 RXK131098 SHG131098 SRC131098 TAY131098 TKU131098 TUQ131098 UEM131098 UOI131098 UYE131098 VIA131098 VRW131098 WBS131098 WLO131098 WVK131098 C196634 IY196634 SU196634 ACQ196634 AMM196634 AWI196634 BGE196634 BQA196634 BZW196634 CJS196634 CTO196634 DDK196634 DNG196634 DXC196634 EGY196634 EQU196634 FAQ196634 FKM196634 FUI196634 GEE196634 GOA196634 GXW196634 HHS196634 HRO196634 IBK196634 ILG196634 IVC196634 JEY196634 JOU196634 JYQ196634 KIM196634 KSI196634 LCE196634 LMA196634 LVW196634 MFS196634 MPO196634 MZK196634 NJG196634 NTC196634 OCY196634 OMU196634 OWQ196634 PGM196634 PQI196634 QAE196634 QKA196634 QTW196634 RDS196634 RNO196634 RXK196634 SHG196634 SRC196634 TAY196634 TKU196634 TUQ196634 UEM196634 UOI196634 UYE196634 VIA196634 VRW196634 WBS196634 WLO196634 WVK196634 C262170 IY262170 SU262170 ACQ262170 AMM262170 AWI262170 BGE262170 BQA262170 BZW262170 CJS262170 CTO262170 DDK262170 DNG262170 DXC262170 EGY262170 EQU262170 FAQ262170 FKM262170 FUI262170 GEE262170 GOA262170 GXW262170 HHS262170 HRO262170 IBK262170 ILG262170 IVC262170 JEY262170 JOU262170 JYQ262170 KIM262170 KSI262170 LCE262170 LMA262170 LVW262170 MFS262170 MPO262170 MZK262170 NJG262170 NTC262170 OCY262170 OMU262170 OWQ262170 PGM262170 PQI262170 QAE262170 QKA262170 QTW262170 RDS262170 RNO262170 RXK262170 SHG262170 SRC262170 TAY262170 TKU262170 TUQ262170 UEM262170 UOI262170 UYE262170 VIA262170 VRW262170 WBS262170 WLO262170 WVK262170 C327706 IY327706 SU327706 ACQ327706 AMM327706 AWI327706 BGE327706 BQA327706 BZW327706 CJS327706 CTO327706 DDK327706 DNG327706 DXC327706 EGY327706 EQU327706 FAQ327706 FKM327706 FUI327706 GEE327706 GOA327706 GXW327706 HHS327706 HRO327706 IBK327706 ILG327706 IVC327706 JEY327706 JOU327706 JYQ327706 KIM327706 KSI327706 LCE327706 LMA327706 LVW327706 MFS327706 MPO327706 MZK327706 NJG327706 NTC327706 OCY327706 OMU327706 OWQ327706 PGM327706 PQI327706 QAE327706 QKA327706 QTW327706 RDS327706 RNO327706 RXK327706 SHG327706 SRC327706 TAY327706 TKU327706 TUQ327706 UEM327706 UOI327706 UYE327706 VIA327706 VRW327706 WBS327706 WLO327706 WVK327706 C393242 IY393242 SU393242 ACQ393242 AMM393242 AWI393242 BGE393242 BQA393242 BZW393242 CJS393242 CTO393242 DDK393242 DNG393242 DXC393242 EGY393242 EQU393242 FAQ393242 FKM393242 FUI393242 GEE393242 GOA393242 GXW393242 HHS393242 HRO393242 IBK393242 ILG393242 IVC393242 JEY393242 JOU393242 JYQ393242 KIM393242 KSI393242 LCE393242 LMA393242 LVW393242 MFS393242 MPO393242 MZK393242 NJG393242 NTC393242 OCY393242 OMU393242 OWQ393242 PGM393242 PQI393242 QAE393242 QKA393242 QTW393242 RDS393242 RNO393242 RXK393242 SHG393242 SRC393242 TAY393242 TKU393242 TUQ393242 UEM393242 UOI393242 UYE393242 VIA393242 VRW393242 WBS393242 WLO393242 WVK393242 C458778 IY458778 SU458778 ACQ458778 AMM458778 AWI458778 BGE458778 BQA458778 BZW458778 CJS458778 CTO458778 DDK458778 DNG458778 DXC458778 EGY458778 EQU458778 FAQ458778 FKM458778 FUI458778 GEE458778 GOA458778 GXW458778 HHS458778 HRO458778 IBK458778 ILG458778 IVC458778 JEY458778 JOU458778 JYQ458778 KIM458778 KSI458778 LCE458778 LMA458778 LVW458778 MFS458778 MPO458778 MZK458778 NJG458778 NTC458778 OCY458778 OMU458778 OWQ458778 PGM458778 PQI458778 QAE458778 QKA458778 QTW458778 RDS458778 RNO458778 RXK458778 SHG458778 SRC458778 TAY458778 TKU458778 TUQ458778 UEM458778 UOI458778 UYE458778 VIA458778 VRW458778 WBS458778 WLO458778 WVK458778 C524314 IY524314 SU524314 ACQ524314 AMM524314 AWI524314 BGE524314 BQA524314 BZW524314 CJS524314 CTO524314 DDK524314 DNG524314 DXC524314 EGY524314 EQU524314 FAQ524314 FKM524314 FUI524314 GEE524314 GOA524314 GXW524314 HHS524314 HRO524314 IBK524314 ILG524314 IVC524314 JEY524314 JOU524314 JYQ524314 KIM524314 KSI524314 LCE524314 LMA524314 LVW524314 MFS524314 MPO524314 MZK524314 NJG524314 NTC524314 OCY524314 OMU524314 OWQ524314 PGM524314 PQI524314 QAE524314 QKA524314 QTW524314 RDS524314 RNO524314 RXK524314 SHG524314 SRC524314 TAY524314 TKU524314 TUQ524314 UEM524314 UOI524314 UYE524314 VIA524314 VRW524314 WBS524314 WLO524314 WVK524314 C589850 IY589850 SU589850 ACQ589850 AMM589850 AWI589850 BGE589850 BQA589850 BZW589850 CJS589850 CTO589850 DDK589850 DNG589850 DXC589850 EGY589850 EQU589850 FAQ589850 FKM589850 FUI589850 GEE589850 GOA589850 GXW589850 HHS589850 HRO589850 IBK589850 ILG589850 IVC589850 JEY589850 JOU589850 JYQ589850 KIM589850 KSI589850 LCE589850 LMA589850 LVW589850 MFS589850 MPO589850 MZK589850 NJG589850 NTC589850 OCY589850 OMU589850 OWQ589850 PGM589850 PQI589850 QAE589850 QKA589850 QTW589850 RDS589850 RNO589850 RXK589850 SHG589850 SRC589850 TAY589850 TKU589850 TUQ589850 UEM589850 UOI589850 UYE589850 VIA589850 VRW589850 WBS589850 WLO589850 WVK589850 C655386 IY655386 SU655386 ACQ655386 AMM655386 AWI655386 BGE655386 BQA655386 BZW655386 CJS655386 CTO655386 DDK655386 DNG655386 DXC655386 EGY655386 EQU655386 FAQ655386 FKM655386 FUI655386 GEE655386 GOA655386 GXW655386 HHS655386 HRO655386 IBK655386 ILG655386 IVC655386 JEY655386 JOU655386 JYQ655386 KIM655386 KSI655386 LCE655386 LMA655386 LVW655386 MFS655386 MPO655386 MZK655386 NJG655386 NTC655386 OCY655386 OMU655386 OWQ655386 PGM655386 PQI655386 QAE655386 QKA655386 QTW655386 RDS655386 RNO655386 RXK655386 SHG655386 SRC655386 TAY655386 TKU655386 TUQ655386 UEM655386 UOI655386 UYE655386 VIA655386 VRW655386 WBS655386 WLO655386 WVK655386 C720922 IY720922 SU720922 ACQ720922 AMM720922 AWI720922 BGE720922 BQA720922 BZW720922 CJS720922 CTO720922 DDK720922 DNG720922 DXC720922 EGY720922 EQU720922 FAQ720922 FKM720922 FUI720922 GEE720922 GOA720922 GXW720922 HHS720922 HRO720922 IBK720922 ILG720922 IVC720922 JEY720922 JOU720922 JYQ720922 KIM720922 KSI720922 LCE720922 LMA720922 LVW720922 MFS720922 MPO720922 MZK720922 NJG720922 NTC720922 OCY720922 OMU720922 OWQ720922 PGM720922 PQI720922 QAE720922 QKA720922 QTW720922 RDS720922 RNO720922 RXK720922 SHG720922 SRC720922 TAY720922 TKU720922 TUQ720922 UEM720922 UOI720922 UYE720922 VIA720922 VRW720922 WBS720922 WLO720922 WVK720922 C786458 IY786458 SU786458 ACQ786458 AMM786458 AWI786458 BGE786458 BQA786458 BZW786458 CJS786458 CTO786458 DDK786458 DNG786458 DXC786458 EGY786458 EQU786458 FAQ786458 FKM786458 FUI786458 GEE786458 GOA786458 GXW786458 HHS786458 HRO786458 IBK786458 ILG786458 IVC786458 JEY786458 JOU786458 JYQ786458 KIM786458 KSI786458 LCE786458 LMA786458 LVW786458 MFS786458 MPO786458 MZK786458 NJG786458 NTC786458 OCY786458 OMU786458 OWQ786458 PGM786458 PQI786458 QAE786458 QKA786458 QTW786458 RDS786458 RNO786458 RXK786458 SHG786458 SRC786458 TAY786458 TKU786458 TUQ786458 UEM786458 UOI786458 UYE786458 VIA786458 VRW786458 WBS786458 WLO786458 WVK786458 C851994 IY851994 SU851994 ACQ851994 AMM851994 AWI851994 BGE851994 BQA851994 BZW851994 CJS851994 CTO851994 DDK851994 DNG851994 DXC851994 EGY851994 EQU851994 FAQ851994 FKM851994 FUI851994 GEE851994 GOA851994 GXW851994 HHS851994 HRO851994 IBK851994 ILG851994 IVC851994 JEY851994 JOU851994 JYQ851994 KIM851994 KSI851994 LCE851994 LMA851994 LVW851994 MFS851994 MPO851994 MZK851994 NJG851994 NTC851994 OCY851994 OMU851994 OWQ851994 PGM851994 PQI851994 QAE851994 QKA851994 QTW851994 RDS851994 RNO851994 RXK851994 SHG851994 SRC851994 TAY851994 TKU851994 TUQ851994 UEM851994 UOI851994 UYE851994 VIA851994 VRW851994 WBS851994 WLO851994 WVK851994 C917530 IY917530 SU917530 ACQ917530 AMM917530 AWI917530 BGE917530 BQA917530 BZW917530 CJS917530 CTO917530 DDK917530 DNG917530 DXC917530 EGY917530 EQU917530 FAQ917530 FKM917530 FUI917530 GEE917530 GOA917530 GXW917530 HHS917530 HRO917530 IBK917530 ILG917530 IVC917530 JEY917530 JOU917530 JYQ917530 KIM917530 KSI917530 LCE917530 LMA917530 LVW917530 MFS917530 MPO917530 MZK917530 NJG917530 NTC917530 OCY917530 OMU917530 OWQ917530 PGM917530 PQI917530 QAE917530 QKA917530 QTW917530 RDS917530 RNO917530 RXK917530 SHG917530 SRC917530 TAY917530 TKU917530 TUQ917530 UEM917530 UOI917530 UYE917530 VIA917530 VRW917530 WBS917530 WLO917530 WVK917530 C983066 IY983066 SU983066 ACQ983066 AMM983066 AWI983066 BGE983066 BQA983066 BZW983066 CJS983066 CTO983066 DDK983066 DNG983066 DXC983066 EGY983066 EQU983066 FAQ983066 FKM983066 FUI983066 GEE983066 GOA983066 GXW983066 HHS983066 HRO983066 IBK983066 ILG983066 IVC983066 JEY983066 JOU983066 JYQ983066 KIM983066 KSI983066 LCE983066 LMA983066 LVW983066 MFS983066 MPO983066 MZK983066 NJG983066 NTC983066 OCY983066 OMU983066 OWQ983066 PGM983066 PQI983066 QAE983066 QKA983066 QTW983066 RDS983066 RNO983066 RXK983066 SHG983066 SRC983066 TAY983066 TKU983066 TUQ983066 UEM983066 UOI983066 UYE983066 VIA983066 VRW983066 WBS983066 WLO983066 WVK983066" xr:uid="{EBDE61FF-3FD6-4107-B250-99C3AEFA1A60}">
      <formula1>"54A,54B,54C,54D,60A,60B,60C,60D"</formula1>
    </dataValidation>
    <dataValidation type="list" allowBlank="1" showInputMessage="1" showErrorMessage="1" error="Pick from list" sqref="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E65541 JA65541 SW65541 ACS65541 AMO65541 AWK65541 BGG65541 BQC65541 BZY65541 CJU65541 CTQ65541 DDM65541 DNI65541 DXE65541 EHA65541 EQW65541 FAS65541 FKO65541 FUK65541 GEG65541 GOC65541 GXY65541 HHU65541 HRQ65541 IBM65541 ILI65541 IVE65541 JFA65541 JOW65541 JYS65541 KIO65541 KSK65541 LCG65541 LMC65541 LVY65541 MFU65541 MPQ65541 MZM65541 NJI65541 NTE65541 ODA65541 OMW65541 OWS65541 PGO65541 PQK65541 QAG65541 QKC65541 QTY65541 RDU65541 RNQ65541 RXM65541 SHI65541 SRE65541 TBA65541 TKW65541 TUS65541 UEO65541 UOK65541 UYG65541 VIC65541 VRY65541 WBU65541 WLQ65541 WVM65541 E131077 JA131077 SW131077 ACS131077 AMO131077 AWK131077 BGG131077 BQC131077 BZY131077 CJU131077 CTQ131077 DDM131077 DNI131077 DXE131077 EHA131077 EQW131077 FAS131077 FKO131077 FUK131077 GEG131077 GOC131077 GXY131077 HHU131077 HRQ131077 IBM131077 ILI131077 IVE131077 JFA131077 JOW131077 JYS131077 KIO131077 KSK131077 LCG131077 LMC131077 LVY131077 MFU131077 MPQ131077 MZM131077 NJI131077 NTE131077 ODA131077 OMW131077 OWS131077 PGO131077 PQK131077 QAG131077 QKC131077 QTY131077 RDU131077 RNQ131077 RXM131077 SHI131077 SRE131077 TBA131077 TKW131077 TUS131077 UEO131077 UOK131077 UYG131077 VIC131077 VRY131077 WBU131077 WLQ131077 WVM131077 E196613 JA196613 SW196613 ACS196613 AMO196613 AWK196613 BGG196613 BQC196613 BZY196613 CJU196613 CTQ196613 DDM196613 DNI196613 DXE196613 EHA196613 EQW196613 FAS196613 FKO196613 FUK196613 GEG196613 GOC196613 GXY196613 HHU196613 HRQ196613 IBM196613 ILI196613 IVE196613 JFA196613 JOW196613 JYS196613 KIO196613 KSK196613 LCG196613 LMC196613 LVY196613 MFU196613 MPQ196613 MZM196613 NJI196613 NTE196613 ODA196613 OMW196613 OWS196613 PGO196613 PQK196613 QAG196613 QKC196613 QTY196613 RDU196613 RNQ196613 RXM196613 SHI196613 SRE196613 TBA196613 TKW196613 TUS196613 UEO196613 UOK196613 UYG196613 VIC196613 VRY196613 WBU196613 WLQ196613 WVM196613 E262149 JA262149 SW262149 ACS262149 AMO262149 AWK262149 BGG262149 BQC262149 BZY262149 CJU262149 CTQ262149 DDM262149 DNI262149 DXE262149 EHA262149 EQW262149 FAS262149 FKO262149 FUK262149 GEG262149 GOC262149 GXY262149 HHU262149 HRQ262149 IBM262149 ILI262149 IVE262149 JFA262149 JOW262149 JYS262149 KIO262149 KSK262149 LCG262149 LMC262149 LVY262149 MFU262149 MPQ262149 MZM262149 NJI262149 NTE262149 ODA262149 OMW262149 OWS262149 PGO262149 PQK262149 QAG262149 QKC262149 QTY262149 RDU262149 RNQ262149 RXM262149 SHI262149 SRE262149 TBA262149 TKW262149 TUS262149 UEO262149 UOK262149 UYG262149 VIC262149 VRY262149 WBU262149 WLQ262149 WVM262149 E327685 JA327685 SW327685 ACS327685 AMO327685 AWK327685 BGG327685 BQC327685 BZY327685 CJU327685 CTQ327685 DDM327685 DNI327685 DXE327685 EHA327685 EQW327685 FAS327685 FKO327685 FUK327685 GEG327685 GOC327685 GXY327685 HHU327685 HRQ327685 IBM327685 ILI327685 IVE327685 JFA327685 JOW327685 JYS327685 KIO327685 KSK327685 LCG327685 LMC327685 LVY327685 MFU327685 MPQ327685 MZM327685 NJI327685 NTE327685 ODA327685 OMW327685 OWS327685 PGO327685 PQK327685 QAG327685 QKC327685 QTY327685 RDU327685 RNQ327685 RXM327685 SHI327685 SRE327685 TBA327685 TKW327685 TUS327685 UEO327685 UOK327685 UYG327685 VIC327685 VRY327685 WBU327685 WLQ327685 WVM327685 E393221 JA393221 SW393221 ACS393221 AMO393221 AWK393221 BGG393221 BQC393221 BZY393221 CJU393221 CTQ393221 DDM393221 DNI393221 DXE393221 EHA393221 EQW393221 FAS393221 FKO393221 FUK393221 GEG393221 GOC393221 GXY393221 HHU393221 HRQ393221 IBM393221 ILI393221 IVE393221 JFA393221 JOW393221 JYS393221 KIO393221 KSK393221 LCG393221 LMC393221 LVY393221 MFU393221 MPQ393221 MZM393221 NJI393221 NTE393221 ODA393221 OMW393221 OWS393221 PGO393221 PQK393221 QAG393221 QKC393221 QTY393221 RDU393221 RNQ393221 RXM393221 SHI393221 SRE393221 TBA393221 TKW393221 TUS393221 UEO393221 UOK393221 UYG393221 VIC393221 VRY393221 WBU393221 WLQ393221 WVM393221 E458757 JA458757 SW458757 ACS458757 AMO458757 AWK458757 BGG458757 BQC458757 BZY458757 CJU458757 CTQ458757 DDM458757 DNI458757 DXE458757 EHA458757 EQW458757 FAS458757 FKO458757 FUK458757 GEG458757 GOC458757 GXY458757 HHU458757 HRQ458757 IBM458757 ILI458757 IVE458757 JFA458757 JOW458757 JYS458757 KIO458757 KSK458757 LCG458757 LMC458757 LVY458757 MFU458757 MPQ458757 MZM458757 NJI458757 NTE458757 ODA458757 OMW458757 OWS458757 PGO458757 PQK458757 QAG458757 QKC458757 QTY458757 RDU458757 RNQ458757 RXM458757 SHI458757 SRE458757 TBA458757 TKW458757 TUS458757 UEO458757 UOK458757 UYG458757 VIC458757 VRY458757 WBU458757 WLQ458757 WVM458757 E524293 JA524293 SW524293 ACS524293 AMO524293 AWK524293 BGG524293 BQC524293 BZY524293 CJU524293 CTQ524293 DDM524293 DNI524293 DXE524293 EHA524293 EQW524293 FAS524293 FKO524293 FUK524293 GEG524293 GOC524293 GXY524293 HHU524293 HRQ524293 IBM524293 ILI524293 IVE524293 JFA524293 JOW524293 JYS524293 KIO524293 KSK524293 LCG524293 LMC524293 LVY524293 MFU524293 MPQ524293 MZM524293 NJI524293 NTE524293 ODA524293 OMW524293 OWS524293 PGO524293 PQK524293 QAG524293 QKC524293 QTY524293 RDU524293 RNQ524293 RXM524293 SHI524293 SRE524293 TBA524293 TKW524293 TUS524293 UEO524293 UOK524293 UYG524293 VIC524293 VRY524293 WBU524293 WLQ524293 WVM524293 E589829 JA589829 SW589829 ACS589829 AMO589829 AWK589829 BGG589829 BQC589829 BZY589829 CJU589829 CTQ589829 DDM589829 DNI589829 DXE589829 EHA589829 EQW589829 FAS589829 FKO589829 FUK589829 GEG589829 GOC589829 GXY589829 HHU589829 HRQ589829 IBM589829 ILI589829 IVE589829 JFA589829 JOW589829 JYS589829 KIO589829 KSK589829 LCG589829 LMC589829 LVY589829 MFU589829 MPQ589829 MZM589829 NJI589829 NTE589829 ODA589829 OMW589829 OWS589829 PGO589829 PQK589829 QAG589829 QKC589829 QTY589829 RDU589829 RNQ589829 RXM589829 SHI589829 SRE589829 TBA589829 TKW589829 TUS589829 UEO589829 UOK589829 UYG589829 VIC589829 VRY589829 WBU589829 WLQ589829 WVM589829 E655365 JA655365 SW655365 ACS655365 AMO655365 AWK655365 BGG655365 BQC655365 BZY655365 CJU655365 CTQ655365 DDM655365 DNI655365 DXE655365 EHA655365 EQW655365 FAS655365 FKO655365 FUK655365 GEG655365 GOC655365 GXY655365 HHU655365 HRQ655365 IBM655365 ILI655365 IVE655365 JFA655365 JOW655365 JYS655365 KIO655365 KSK655365 LCG655365 LMC655365 LVY655365 MFU655365 MPQ655365 MZM655365 NJI655365 NTE655365 ODA655365 OMW655365 OWS655365 PGO655365 PQK655365 QAG655365 QKC655365 QTY655365 RDU655365 RNQ655365 RXM655365 SHI655365 SRE655365 TBA655365 TKW655365 TUS655365 UEO655365 UOK655365 UYG655365 VIC655365 VRY655365 WBU655365 WLQ655365 WVM655365 E720901 JA720901 SW720901 ACS720901 AMO720901 AWK720901 BGG720901 BQC720901 BZY720901 CJU720901 CTQ720901 DDM720901 DNI720901 DXE720901 EHA720901 EQW720901 FAS720901 FKO720901 FUK720901 GEG720901 GOC720901 GXY720901 HHU720901 HRQ720901 IBM720901 ILI720901 IVE720901 JFA720901 JOW720901 JYS720901 KIO720901 KSK720901 LCG720901 LMC720901 LVY720901 MFU720901 MPQ720901 MZM720901 NJI720901 NTE720901 ODA720901 OMW720901 OWS720901 PGO720901 PQK720901 QAG720901 QKC720901 QTY720901 RDU720901 RNQ720901 RXM720901 SHI720901 SRE720901 TBA720901 TKW720901 TUS720901 UEO720901 UOK720901 UYG720901 VIC720901 VRY720901 WBU720901 WLQ720901 WVM720901 E786437 JA786437 SW786437 ACS786437 AMO786437 AWK786437 BGG786437 BQC786437 BZY786437 CJU786437 CTQ786437 DDM786437 DNI786437 DXE786437 EHA786437 EQW786437 FAS786437 FKO786437 FUK786437 GEG786437 GOC786437 GXY786437 HHU786437 HRQ786437 IBM786437 ILI786437 IVE786437 JFA786437 JOW786437 JYS786437 KIO786437 KSK786437 LCG786437 LMC786437 LVY786437 MFU786437 MPQ786437 MZM786437 NJI786437 NTE786437 ODA786437 OMW786437 OWS786437 PGO786437 PQK786437 QAG786437 QKC786437 QTY786437 RDU786437 RNQ786437 RXM786437 SHI786437 SRE786437 TBA786437 TKW786437 TUS786437 UEO786437 UOK786437 UYG786437 VIC786437 VRY786437 WBU786437 WLQ786437 WVM786437 E851973 JA851973 SW851973 ACS851973 AMO851973 AWK851973 BGG851973 BQC851973 BZY851973 CJU851973 CTQ851973 DDM851973 DNI851973 DXE851973 EHA851973 EQW851973 FAS851973 FKO851973 FUK851973 GEG851973 GOC851973 GXY851973 HHU851973 HRQ851973 IBM851973 ILI851973 IVE851973 JFA851973 JOW851973 JYS851973 KIO851973 KSK851973 LCG851973 LMC851973 LVY851973 MFU851973 MPQ851973 MZM851973 NJI851973 NTE851973 ODA851973 OMW851973 OWS851973 PGO851973 PQK851973 QAG851973 QKC851973 QTY851973 RDU851973 RNQ851973 RXM851973 SHI851973 SRE851973 TBA851973 TKW851973 TUS851973 UEO851973 UOK851973 UYG851973 VIC851973 VRY851973 WBU851973 WLQ851973 WVM851973 E917509 JA917509 SW917509 ACS917509 AMO917509 AWK917509 BGG917509 BQC917509 BZY917509 CJU917509 CTQ917509 DDM917509 DNI917509 DXE917509 EHA917509 EQW917509 FAS917509 FKO917509 FUK917509 GEG917509 GOC917509 GXY917509 HHU917509 HRQ917509 IBM917509 ILI917509 IVE917509 JFA917509 JOW917509 JYS917509 KIO917509 KSK917509 LCG917509 LMC917509 LVY917509 MFU917509 MPQ917509 MZM917509 NJI917509 NTE917509 ODA917509 OMW917509 OWS917509 PGO917509 PQK917509 QAG917509 QKC917509 QTY917509 RDU917509 RNQ917509 RXM917509 SHI917509 SRE917509 TBA917509 TKW917509 TUS917509 UEO917509 UOK917509 UYG917509 VIC917509 VRY917509 WBU917509 WLQ917509 WVM917509 E983045 JA983045 SW983045 ACS983045 AMO983045 AWK983045 BGG983045 BQC983045 BZY983045 CJU983045 CTQ983045 DDM983045 DNI983045 DXE983045 EHA983045 EQW983045 FAS983045 FKO983045 FUK983045 GEG983045 GOC983045 GXY983045 HHU983045 HRQ983045 IBM983045 ILI983045 IVE983045 JFA983045 JOW983045 JYS983045 KIO983045 KSK983045 LCG983045 LMC983045 LVY983045 MFU983045 MPQ983045 MZM983045 NJI983045 NTE983045 ODA983045 OMW983045 OWS983045 PGO983045 PQK983045 QAG983045 QKC983045 QTY983045 RDU983045 RNQ983045 RXM983045 SHI983045 SRE983045 TBA983045 TKW983045 TUS983045 UEO983045 UOK983045 UYG983045 VIC983045 VRY983045 WBU983045 WLQ983045 WVM983045" xr:uid="{6249354B-E3A6-4E72-8EC7-47E8F3895D4D}">
      <formula1>"54,54A,54B,54D,60A,60B,60D,Table 1"</formula1>
    </dataValidation>
    <dataValidation type="list" allowBlank="1" showInputMessage="1" showErrorMessage="1" error="Pick from list"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xr:uid="{E80050C8-7F06-4410-AFE8-34526D64295E}">
      <formula1>"1250 80,1250 04,4311 04"</formula1>
    </dataValidation>
    <dataValidation type="list" allowBlank="1" showInputMessage="1" sqref="I5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I65541 JE65541 TA65541 ACW65541 AMS65541 AWO65541 BGK65541 BQG65541 CAC65541 CJY65541 CTU65541 DDQ65541 DNM65541 DXI65541 EHE65541 ERA65541 FAW65541 FKS65541 FUO65541 GEK65541 GOG65541 GYC65541 HHY65541 HRU65541 IBQ65541 ILM65541 IVI65541 JFE65541 JPA65541 JYW65541 KIS65541 KSO65541 LCK65541 LMG65541 LWC65541 MFY65541 MPU65541 MZQ65541 NJM65541 NTI65541 ODE65541 ONA65541 OWW65541 PGS65541 PQO65541 QAK65541 QKG65541 QUC65541 RDY65541 RNU65541 RXQ65541 SHM65541 SRI65541 TBE65541 TLA65541 TUW65541 UES65541 UOO65541 UYK65541 VIG65541 VSC65541 WBY65541 WLU65541 WVQ65541 I131077 JE131077 TA131077 ACW131077 AMS131077 AWO131077 BGK131077 BQG131077 CAC131077 CJY131077 CTU131077 DDQ131077 DNM131077 DXI131077 EHE131077 ERA131077 FAW131077 FKS131077 FUO131077 GEK131077 GOG131077 GYC131077 HHY131077 HRU131077 IBQ131077 ILM131077 IVI131077 JFE131077 JPA131077 JYW131077 KIS131077 KSO131077 LCK131077 LMG131077 LWC131077 MFY131077 MPU131077 MZQ131077 NJM131077 NTI131077 ODE131077 ONA131077 OWW131077 PGS131077 PQO131077 QAK131077 QKG131077 QUC131077 RDY131077 RNU131077 RXQ131077 SHM131077 SRI131077 TBE131077 TLA131077 TUW131077 UES131077 UOO131077 UYK131077 VIG131077 VSC131077 WBY131077 WLU131077 WVQ131077 I196613 JE196613 TA196613 ACW196613 AMS196613 AWO196613 BGK196613 BQG196613 CAC196613 CJY196613 CTU196613 DDQ196613 DNM196613 DXI196613 EHE196613 ERA196613 FAW196613 FKS196613 FUO196613 GEK196613 GOG196613 GYC196613 HHY196613 HRU196613 IBQ196613 ILM196613 IVI196613 JFE196613 JPA196613 JYW196613 KIS196613 KSO196613 LCK196613 LMG196613 LWC196613 MFY196613 MPU196613 MZQ196613 NJM196613 NTI196613 ODE196613 ONA196613 OWW196613 PGS196613 PQO196613 QAK196613 QKG196613 QUC196613 RDY196613 RNU196613 RXQ196613 SHM196613 SRI196613 TBE196613 TLA196613 TUW196613 UES196613 UOO196613 UYK196613 VIG196613 VSC196613 WBY196613 WLU196613 WVQ196613 I262149 JE262149 TA262149 ACW262149 AMS262149 AWO262149 BGK262149 BQG262149 CAC262149 CJY262149 CTU262149 DDQ262149 DNM262149 DXI262149 EHE262149 ERA262149 FAW262149 FKS262149 FUO262149 GEK262149 GOG262149 GYC262149 HHY262149 HRU262149 IBQ262149 ILM262149 IVI262149 JFE262149 JPA262149 JYW262149 KIS262149 KSO262149 LCK262149 LMG262149 LWC262149 MFY262149 MPU262149 MZQ262149 NJM262149 NTI262149 ODE262149 ONA262149 OWW262149 PGS262149 PQO262149 QAK262149 QKG262149 QUC262149 RDY262149 RNU262149 RXQ262149 SHM262149 SRI262149 TBE262149 TLA262149 TUW262149 UES262149 UOO262149 UYK262149 VIG262149 VSC262149 WBY262149 WLU262149 WVQ262149 I327685 JE327685 TA327685 ACW327685 AMS327685 AWO327685 BGK327685 BQG327685 CAC327685 CJY327685 CTU327685 DDQ327685 DNM327685 DXI327685 EHE327685 ERA327685 FAW327685 FKS327685 FUO327685 GEK327685 GOG327685 GYC327685 HHY327685 HRU327685 IBQ327685 ILM327685 IVI327685 JFE327685 JPA327685 JYW327685 KIS327685 KSO327685 LCK327685 LMG327685 LWC327685 MFY327685 MPU327685 MZQ327685 NJM327685 NTI327685 ODE327685 ONA327685 OWW327685 PGS327685 PQO327685 QAK327685 QKG327685 QUC327685 RDY327685 RNU327685 RXQ327685 SHM327685 SRI327685 TBE327685 TLA327685 TUW327685 UES327685 UOO327685 UYK327685 VIG327685 VSC327685 WBY327685 WLU327685 WVQ327685 I393221 JE393221 TA393221 ACW393221 AMS393221 AWO393221 BGK393221 BQG393221 CAC393221 CJY393221 CTU393221 DDQ393221 DNM393221 DXI393221 EHE393221 ERA393221 FAW393221 FKS393221 FUO393221 GEK393221 GOG393221 GYC393221 HHY393221 HRU393221 IBQ393221 ILM393221 IVI393221 JFE393221 JPA393221 JYW393221 KIS393221 KSO393221 LCK393221 LMG393221 LWC393221 MFY393221 MPU393221 MZQ393221 NJM393221 NTI393221 ODE393221 ONA393221 OWW393221 PGS393221 PQO393221 QAK393221 QKG393221 QUC393221 RDY393221 RNU393221 RXQ393221 SHM393221 SRI393221 TBE393221 TLA393221 TUW393221 UES393221 UOO393221 UYK393221 VIG393221 VSC393221 WBY393221 WLU393221 WVQ393221 I458757 JE458757 TA458757 ACW458757 AMS458757 AWO458757 BGK458757 BQG458757 CAC458757 CJY458757 CTU458757 DDQ458757 DNM458757 DXI458757 EHE458757 ERA458757 FAW458757 FKS458757 FUO458757 GEK458757 GOG458757 GYC458757 HHY458757 HRU458757 IBQ458757 ILM458757 IVI458757 JFE458757 JPA458757 JYW458757 KIS458757 KSO458757 LCK458757 LMG458757 LWC458757 MFY458757 MPU458757 MZQ458757 NJM458757 NTI458757 ODE458757 ONA458757 OWW458757 PGS458757 PQO458757 QAK458757 QKG458757 QUC458757 RDY458757 RNU458757 RXQ458757 SHM458757 SRI458757 TBE458757 TLA458757 TUW458757 UES458757 UOO458757 UYK458757 VIG458757 VSC458757 WBY458757 WLU458757 WVQ458757 I524293 JE524293 TA524293 ACW524293 AMS524293 AWO524293 BGK524293 BQG524293 CAC524293 CJY524293 CTU524293 DDQ524293 DNM524293 DXI524293 EHE524293 ERA524293 FAW524293 FKS524293 FUO524293 GEK524293 GOG524293 GYC524293 HHY524293 HRU524293 IBQ524293 ILM524293 IVI524293 JFE524293 JPA524293 JYW524293 KIS524293 KSO524293 LCK524293 LMG524293 LWC524293 MFY524293 MPU524293 MZQ524293 NJM524293 NTI524293 ODE524293 ONA524293 OWW524293 PGS524293 PQO524293 QAK524293 QKG524293 QUC524293 RDY524293 RNU524293 RXQ524293 SHM524293 SRI524293 TBE524293 TLA524293 TUW524293 UES524293 UOO524293 UYK524293 VIG524293 VSC524293 WBY524293 WLU524293 WVQ524293 I589829 JE589829 TA589829 ACW589829 AMS589829 AWO589829 BGK589829 BQG589829 CAC589829 CJY589829 CTU589829 DDQ589829 DNM589829 DXI589829 EHE589829 ERA589829 FAW589829 FKS589829 FUO589829 GEK589829 GOG589829 GYC589829 HHY589829 HRU589829 IBQ589829 ILM589829 IVI589829 JFE589829 JPA589829 JYW589829 KIS589829 KSO589829 LCK589829 LMG589829 LWC589829 MFY589829 MPU589829 MZQ589829 NJM589829 NTI589829 ODE589829 ONA589829 OWW589829 PGS589829 PQO589829 QAK589829 QKG589829 QUC589829 RDY589829 RNU589829 RXQ589829 SHM589829 SRI589829 TBE589829 TLA589829 TUW589829 UES589829 UOO589829 UYK589829 VIG589829 VSC589829 WBY589829 WLU589829 WVQ589829 I655365 JE655365 TA655365 ACW655365 AMS655365 AWO655365 BGK655365 BQG655365 CAC655365 CJY655365 CTU655365 DDQ655365 DNM655365 DXI655365 EHE655365 ERA655365 FAW655365 FKS655365 FUO655365 GEK655365 GOG655365 GYC655365 HHY655365 HRU655365 IBQ655365 ILM655365 IVI655365 JFE655365 JPA655365 JYW655365 KIS655365 KSO655365 LCK655365 LMG655365 LWC655365 MFY655365 MPU655365 MZQ655365 NJM655365 NTI655365 ODE655365 ONA655365 OWW655365 PGS655365 PQO655365 QAK655365 QKG655365 QUC655365 RDY655365 RNU655365 RXQ655365 SHM655365 SRI655365 TBE655365 TLA655365 TUW655365 UES655365 UOO655365 UYK655365 VIG655365 VSC655365 WBY655365 WLU655365 WVQ655365 I720901 JE720901 TA720901 ACW720901 AMS720901 AWO720901 BGK720901 BQG720901 CAC720901 CJY720901 CTU720901 DDQ720901 DNM720901 DXI720901 EHE720901 ERA720901 FAW720901 FKS720901 FUO720901 GEK720901 GOG720901 GYC720901 HHY720901 HRU720901 IBQ720901 ILM720901 IVI720901 JFE720901 JPA720901 JYW720901 KIS720901 KSO720901 LCK720901 LMG720901 LWC720901 MFY720901 MPU720901 MZQ720901 NJM720901 NTI720901 ODE720901 ONA720901 OWW720901 PGS720901 PQO720901 QAK720901 QKG720901 QUC720901 RDY720901 RNU720901 RXQ720901 SHM720901 SRI720901 TBE720901 TLA720901 TUW720901 UES720901 UOO720901 UYK720901 VIG720901 VSC720901 WBY720901 WLU720901 WVQ720901 I786437 JE786437 TA786437 ACW786437 AMS786437 AWO786437 BGK786437 BQG786437 CAC786437 CJY786437 CTU786437 DDQ786437 DNM786437 DXI786437 EHE786437 ERA786437 FAW786437 FKS786437 FUO786437 GEK786437 GOG786437 GYC786437 HHY786437 HRU786437 IBQ786437 ILM786437 IVI786437 JFE786437 JPA786437 JYW786437 KIS786437 KSO786437 LCK786437 LMG786437 LWC786437 MFY786437 MPU786437 MZQ786437 NJM786437 NTI786437 ODE786437 ONA786437 OWW786437 PGS786437 PQO786437 QAK786437 QKG786437 QUC786437 RDY786437 RNU786437 RXQ786437 SHM786437 SRI786437 TBE786437 TLA786437 TUW786437 UES786437 UOO786437 UYK786437 VIG786437 VSC786437 WBY786437 WLU786437 WVQ786437 I851973 JE851973 TA851973 ACW851973 AMS851973 AWO851973 BGK851973 BQG851973 CAC851973 CJY851973 CTU851973 DDQ851973 DNM851973 DXI851973 EHE851973 ERA851973 FAW851973 FKS851973 FUO851973 GEK851973 GOG851973 GYC851973 HHY851973 HRU851973 IBQ851973 ILM851973 IVI851973 JFE851973 JPA851973 JYW851973 KIS851973 KSO851973 LCK851973 LMG851973 LWC851973 MFY851973 MPU851973 MZQ851973 NJM851973 NTI851973 ODE851973 ONA851973 OWW851973 PGS851973 PQO851973 QAK851973 QKG851973 QUC851973 RDY851973 RNU851973 RXQ851973 SHM851973 SRI851973 TBE851973 TLA851973 TUW851973 UES851973 UOO851973 UYK851973 VIG851973 VSC851973 WBY851973 WLU851973 WVQ851973 I917509 JE917509 TA917509 ACW917509 AMS917509 AWO917509 BGK917509 BQG917509 CAC917509 CJY917509 CTU917509 DDQ917509 DNM917509 DXI917509 EHE917509 ERA917509 FAW917509 FKS917509 FUO917509 GEK917509 GOG917509 GYC917509 HHY917509 HRU917509 IBQ917509 ILM917509 IVI917509 JFE917509 JPA917509 JYW917509 KIS917509 KSO917509 LCK917509 LMG917509 LWC917509 MFY917509 MPU917509 MZQ917509 NJM917509 NTI917509 ODE917509 ONA917509 OWW917509 PGS917509 PQO917509 QAK917509 QKG917509 QUC917509 RDY917509 RNU917509 RXQ917509 SHM917509 SRI917509 TBE917509 TLA917509 TUW917509 UES917509 UOO917509 UYK917509 VIG917509 VSC917509 WBY917509 WLU917509 WVQ917509 I983045 JE983045 TA983045 ACW983045 AMS983045 AWO983045 BGK983045 BQG983045 CAC983045 CJY983045 CTU983045 DDQ983045 DNM983045 DXI983045 EHE983045 ERA983045 FAW983045 FKS983045 FUO983045 GEK983045 GOG983045 GYC983045 HHY983045 HRU983045 IBQ983045 ILM983045 IVI983045 JFE983045 JPA983045 JYW983045 KIS983045 KSO983045 LCK983045 LMG983045 LWC983045 MFY983045 MPU983045 MZQ983045 NJM983045 NTI983045 ODE983045 ONA983045 OWW983045 PGS983045 PQO983045 QAK983045 QKG983045 QUC983045 RDY983045 RNU983045 RXQ983045 SHM983045 SRI983045 TBE983045 TLA983045 TUW983045 UES983045 UOO983045 UYK983045 VIG983045 VSC983045 WBY983045 WLU983045 WVQ983045" xr:uid="{75B7A3C3-3FAF-4598-B18C-364481C14E79}">
      <formula1>"4,5,6"</formula1>
    </dataValidation>
    <dataValidation type="list" allowBlank="1" showInputMessage="1" showErrorMessage="1" error="Pick from list" sqref="L5 JH5 TD5 ACZ5 AMV5 AWR5 BGN5 BQJ5 CAF5 CKB5 CTX5 DDT5 DNP5 DXL5 EHH5 ERD5 FAZ5 FKV5 FUR5 GEN5 GOJ5 GYF5 HIB5 HRX5 IBT5 ILP5 IVL5 JFH5 JPD5 JYZ5 KIV5 KSR5 LCN5 LMJ5 LWF5 MGB5 MPX5 MZT5 NJP5 NTL5 ODH5 OND5 OWZ5 PGV5 PQR5 QAN5 QKJ5 QUF5 REB5 RNX5 RXT5 SHP5 SRL5 TBH5 TLD5 TUZ5 UEV5 UOR5 UYN5 VIJ5 VSF5 WCB5 WLX5 WVT5 L65541 JH65541 TD65541 ACZ65541 AMV65541 AWR65541 BGN65541 BQJ65541 CAF65541 CKB65541 CTX65541 DDT65541 DNP65541 DXL65541 EHH65541 ERD65541 FAZ65541 FKV65541 FUR65541 GEN65541 GOJ65541 GYF65541 HIB65541 HRX65541 IBT65541 ILP65541 IVL65541 JFH65541 JPD65541 JYZ65541 KIV65541 KSR65541 LCN65541 LMJ65541 LWF65541 MGB65541 MPX65541 MZT65541 NJP65541 NTL65541 ODH65541 OND65541 OWZ65541 PGV65541 PQR65541 QAN65541 QKJ65541 QUF65541 REB65541 RNX65541 RXT65541 SHP65541 SRL65541 TBH65541 TLD65541 TUZ65541 UEV65541 UOR65541 UYN65541 VIJ65541 VSF65541 WCB65541 WLX65541 WVT65541 L131077 JH131077 TD131077 ACZ131077 AMV131077 AWR131077 BGN131077 BQJ131077 CAF131077 CKB131077 CTX131077 DDT131077 DNP131077 DXL131077 EHH131077 ERD131077 FAZ131077 FKV131077 FUR131077 GEN131077 GOJ131077 GYF131077 HIB131077 HRX131077 IBT131077 ILP131077 IVL131077 JFH131077 JPD131077 JYZ131077 KIV131077 KSR131077 LCN131077 LMJ131077 LWF131077 MGB131077 MPX131077 MZT131077 NJP131077 NTL131077 ODH131077 OND131077 OWZ131077 PGV131077 PQR131077 QAN131077 QKJ131077 QUF131077 REB131077 RNX131077 RXT131077 SHP131077 SRL131077 TBH131077 TLD131077 TUZ131077 UEV131077 UOR131077 UYN131077 VIJ131077 VSF131077 WCB131077 WLX131077 WVT131077 L196613 JH196613 TD196613 ACZ196613 AMV196613 AWR196613 BGN196613 BQJ196613 CAF196613 CKB196613 CTX196613 DDT196613 DNP196613 DXL196613 EHH196613 ERD196613 FAZ196613 FKV196613 FUR196613 GEN196613 GOJ196613 GYF196613 HIB196613 HRX196613 IBT196613 ILP196613 IVL196613 JFH196613 JPD196613 JYZ196613 KIV196613 KSR196613 LCN196613 LMJ196613 LWF196613 MGB196613 MPX196613 MZT196613 NJP196613 NTL196613 ODH196613 OND196613 OWZ196613 PGV196613 PQR196613 QAN196613 QKJ196613 QUF196613 REB196613 RNX196613 RXT196613 SHP196613 SRL196613 TBH196613 TLD196613 TUZ196613 UEV196613 UOR196613 UYN196613 VIJ196613 VSF196613 WCB196613 WLX196613 WVT196613 L262149 JH262149 TD262149 ACZ262149 AMV262149 AWR262149 BGN262149 BQJ262149 CAF262149 CKB262149 CTX262149 DDT262149 DNP262149 DXL262149 EHH262149 ERD262149 FAZ262149 FKV262149 FUR262149 GEN262149 GOJ262149 GYF262149 HIB262149 HRX262149 IBT262149 ILP262149 IVL262149 JFH262149 JPD262149 JYZ262149 KIV262149 KSR262149 LCN262149 LMJ262149 LWF262149 MGB262149 MPX262149 MZT262149 NJP262149 NTL262149 ODH262149 OND262149 OWZ262149 PGV262149 PQR262149 QAN262149 QKJ262149 QUF262149 REB262149 RNX262149 RXT262149 SHP262149 SRL262149 TBH262149 TLD262149 TUZ262149 UEV262149 UOR262149 UYN262149 VIJ262149 VSF262149 WCB262149 WLX262149 WVT262149 L327685 JH327685 TD327685 ACZ327685 AMV327685 AWR327685 BGN327685 BQJ327685 CAF327685 CKB327685 CTX327685 DDT327685 DNP327685 DXL327685 EHH327685 ERD327685 FAZ327685 FKV327685 FUR327685 GEN327685 GOJ327685 GYF327685 HIB327685 HRX327685 IBT327685 ILP327685 IVL327685 JFH327685 JPD327685 JYZ327685 KIV327685 KSR327685 LCN327685 LMJ327685 LWF327685 MGB327685 MPX327685 MZT327685 NJP327685 NTL327685 ODH327685 OND327685 OWZ327685 PGV327685 PQR327685 QAN327685 QKJ327685 QUF327685 REB327685 RNX327685 RXT327685 SHP327685 SRL327685 TBH327685 TLD327685 TUZ327685 UEV327685 UOR327685 UYN327685 VIJ327685 VSF327685 WCB327685 WLX327685 WVT327685 L393221 JH393221 TD393221 ACZ393221 AMV393221 AWR393221 BGN393221 BQJ393221 CAF393221 CKB393221 CTX393221 DDT393221 DNP393221 DXL393221 EHH393221 ERD393221 FAZ393221 FKV393221 FUR393221 GEN393221 GOJ393221 GYF393221 HIB393221 HRX393221 IBT393221 ILP393221 IVL393221 JFH393221 JPD393221 JYZ393221 KIV393221 KSR393221 LCN393221 LMJ393221 LWF393221 MGB393221 MPX393221 MZT393221 NJP393221 NTL393221 ODH393221 OND393221 OWZ393221 PGV393221 PQR393221 QAN393221 QKJ393221 QUF393221 REB393221 RNX393221 RXT393221 SHP393221 SRL393221 TBH393221 TLD393221 TUZ393221 UEV393221 UOR393221 UYN393221 VIJ393221 VSF393221 WCB393221 WLX393221 WVT393221 L458757 JH458757 TD458757 ACZ458757 AMV458757 AWR458757 BGN458757 BQJ458757 CAF458757 CKB458757 CTX458757 DDT458757 DNP458757 DXL458757 EHH458757 ERD458757 FAZ458757 FKV458757 FUR458757 GEN458757 GOJ458757 GYF458757 HIB458757 HRX458757 IBT458757 ILP458757 IVL458757 JFH458757 JPD458757 JYZ458757 KIV458757 KSR458757 LCN458757 LMJ458757 LWF458757 MGB458757 MPX458757 MZT458757 NJP458757 NTL458757 ODH458757 OND458757 OWZ458757 PGV458757 PQR458757 QAN458757 QKJ458757 QUF458757 REB458757 RNX458757 RXT458757 SHP458757 SRL458757 TBH458757 TLD458757 TUZ458757 UEV458757 UOR458757 UYN458757 VIJ458757 VSF458757 WCB458757 WLX458757 WVT458757 L524293 JH524293 TD524293 ACZ524293 AMV524293 AWR524293 BGN524293 BQJ524293 CAF524293 CKB524293 CTX524293 DDT524293 DNP524293 DXL524293 EHH524293 ERD524293 FAZ524293 FKV524293 FUR524293 GEN524293 GOJ524293 GYF524293 HIB524293 HRX524293 IBT524293 ILP524293 IVL524293 JFH524293 JPD524293 JYZ524293 KIV524293 KSR524293 LCN524293 LMJ524293 LWF524293 MGB524293 MPX524293 MZT524293 NJP524293 NTL524293 ODH524293 OND524293 OWZ524293 PGV524293 PQR524293 QAN524293 QKJ524293 QUF524293 REB524293 RNX524293 RXT524293 SHP524293 SRL524293 TBH524293 TLD524293 TUZ524293 UEV524293 UOR524293 UYN524293 VIJ524293 VSF524293 WCB524293 WLX524293 WVT524293 L589829 JH589829 TD589829 ACZ589829 AMV589829 AWR589829 BGN589829 BQJ589829 CAF589829 CKB589829 CTX589829 DDT589829 DNP589829 DXL589829 EHH589829 ERD589829 FAZ589829 FKV589829 FUR589829 GEN589829 GOJ589829 GYF589829 HIB589829 HRX589829 IBT589829 ILP589829 IVL589829 JFH589829 JPD589829 JYZ589829 KIV589829 KSR589829 LCN589829 LMJ589829 LWF589829 MGB589829 MPX589829 MZT589829 NJP589829 NTL589829 ODH589829 OND589829 OWZ589829 PGV589829 PQR589829 QAN589829 QKJ589829 QUF589829 REB589829 RNX589829 RXT589829 SHP589829 SRL589829 TBH589829 TLD589829 TUZ589829 UEV589829 UOR589829 UYN589829 VIJ589829 VSF589829 WCB589829 WLX589829 WVT589829 L655365 JH655365 TD655365 ACZ655365 AMV655365 AWR655365 BGN655365 BQJ655365 CAF655365 CKB655365 CTX655365 DDT655365 DNP655365 DXL655365 EHH655365 ERD655365 FAZ655365 FKV655365 FUR655365 GEN655365 GOJ655365 GYF655365 HIB655365 HRX655365 IBT655365 ILP655365 IVL655365 JFH655365 JPD655365 JYZ655365 KIV655365 KSR655365 LCN655365 LMJ655365 LWF655365 MGB655365 MPX655365 MZT655365 NJP655365 NTL655365 ODH655365 OND655365 OWZ655365 PGV655365 PQR655365 QAN655365 QKJ655365 QUF655365 REB655365 RNX655365 RXT655365 SHP655365 SRL655365 TBH655365 TLD655365 TUZ655365 UEV655365 UOR655365 UYN655365 VIJ655365 VSF655365 WCB655365 WLX655365 WVT655365 L720901 JH720901 TD720901 ACZ720901 AMV720901 AWR720901 BGN720901 BQJ720901 CAF720901 CKB720901 CTX720901 DDT720901 DNP720901 DXL720901 EHH720901 ERD720901 FAZ720901 FKV720901 FUR720901 GEN720901 GOJ720901 GYF720901 HIB720901 HRX720901 IBT720901 ILP720901 IVL720901 JFH720901 JPD720901 JYZ720901 KIV720901 KSR720901 LCN720901 LMJ720901 LWF720901 MGB720901 MPX720901 MZT720901 NJP720901 NTL720901 ODH720901 OND720901 OWZ720901 PGV720901 PQR720901 QAN720901 QKJ720901 QUF720901 REB720901 RNX720901 RXT720901 SHP720901 SRL720901 TBH720901 TLD720901 TUZ720901 UEV720901 UOR720901 UYN720901 VIJ720901 VSF720901 WCB720901 WLX720901 WVT720901 L786437 JH786437 TD786437 ACZ786437 AMV786437 AWR786437 BGN786437 BQJ786437 CAF786437 CKB786437 CTX786437 DDT786437 DNP786437 DXL786437 EHH786437 ERD786437 FAZ786437 FKV786437 FUR786437 GEN786437 GOJ786437 GYF786437 HIB786437 HRX786437 IBT786437 ILP786437 IVL786437 JFH786437 JPD786437 JYZ786437 KIV786437 KSR786437 LCN786437 LMJ786437 LWF786437 MGB786437 MPX786437 MZT786437 NJP786437 NTL786437 ODH786437 OND786437 OWZ786437 PGV786437 PQR786437 QAN786437 QKJ786437 QUF786437 REB786437 RNX786437 RXT786437 SHP786437 SRL786437 TBH786437 TLD786437 TUZ786437 UEV786437 UOR786437 UYN786437 VIJ786437 VSF786437 WCB786437 WLX786437 WVT786437 L851973 JH851973 TD851973 ACZ851973 AMV851973 AWR851973 BGN851973 BQJ851973 CAF851973 CKB851973 CTX851973 DDT851973 DNP851973 DXL851973 EHH851973 ERD851973 FAZ851973 FKV851973 FUR851973 GEN851973 GOJ851973 GYF851973 HIB851973 HRX851973 IBT851973 ILP851973 IVL851973 JFH851973 JPD851973 JYZ851973 KIV851973 KSR851973 LCN851973 LMJ851973 LWF851973 MGB851973 MPX851973 MZT851973 NJP851973 NTL851973 ODH851973 OND851973 OWZ851973 PGV851973 PQR851973 QAN851973 QKJ851973 QUF851973 REB851973 RNX851973 RXT851973 SHP851973 SRL851973 TBH851973 TLD851973 TUZ851973 UEV851973 UOR851973 UYN851973 VIJ851973 VSF851973 WCB851973 WLX851973 WVT851973 L917509 JH917509 TD917509 ACZ917509 AMV917509 AWR917509 BGN917509 BQJ917509 CAF917509 CKB917509 CTX917509 DDT917509 DNP917509 DXL917509 EHH917509 ERD917509 FAZ917509 FKV917509 FUR917509 GEN917509 GOJ917509 GYF917509 HIB917509 HRX917509 IBT917509 ILP917509 IVL917509 JFH917509 JPD917509 JYZ917509 KIV917509 KSR917509 LCN917509 LMJ917509 LWF917509 MGB917509 MPX917509 MZT917509 NJP917509 NTL917509 ODH917509 OND917509 OWZ917509 PGV917509 PQR917509 QAN917509 QKJ917509 QUF917509 REB917509 RNX917509 RXT917509 SHP917509 SRL917509 TBH917509 TLD917509 TUZ917509 UEV917509 UOR917509 UYN917509 VIJ917509 VSF917509 WCB917509 WLX917509 WVT917509 L983045 JH983045 TD983045 ACZ983045 AMV983045 AWR983045 BGN983045 BQJ983045 CAF983045 CKB983045 CTX983045 DDT983045 DNP983045 DXL983045 EHH983045 ERD983045 FAZ983045 FKV983045 FUR983045 GEN983045 GOJ983045 GYF983045 HIB983045 HRX983045 IBT983045 ILP983045 IVL983045 JFH983045 JPD983045 JYZ983045 KIV983045 KSR983045 LCN983045 LMJ983045 LWF983045 MGB983045 MPX983045 MZT983045 NJP983045 NTL983045 ODH983045 OND983045 OWZ983045 PGV983045 PQR983045 QAN983045 QKJ983045 QUF983045 REB983045 RNX983045 RXT983045 SHP983045 SRL983045 TBH983045 TLD983045 TUZ983045 UEV983045 UOR983045 UYN983045 VIJ983045 VSF983045 WCB983045 WLX983045 WVT983045" xr:uid="{C6501298-2C31-4F85-979D-5677A48E2C8C}">
      <formula1>"54C,60C"</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88B8-20D3-4545-9A78-7B122640B562}">
  <sheetPr codeName="Feuil2"/>
  <dimension ref="A1:I1000"/>
  <sheetViews>
    <sheetView showRowColHeaders="0" zoomScaleNormal="100" workbookViewId="0">
      <selection activeCell="K47" sqref="K47"/>
    </sheetView>
  </sheetViews>
  <sheetFormatPr baseColWidth="10" defaultColWidth="12.6328125" defaultRowHeight="15" customHeight="1"/>
  <cols>
    <col min="1" max="1" width="13.6328125" style="777" customWidth="1"/>
    <col min="2" max="2" width="10.36328125" style="777" customWidth="1"/>
    <col min="3" max="3" width="11.90625" style="777" customWidth="1"/>
    <col min="4" max="4" width="11" style="777" customWidth="1"/>
    <col min="5" max="5" width="10.90625" style="777" customWidth="1"/>
    <col min="6" max="7" width="11.36328125" style="777" customWidth="1"/>
    <col min="8" max="8" width="13.08984375" style="777" customWidth="1"/>
    <col min="9" max="9" width="6.7265625" style="777" customWidth="1"/>
    <col min="10" max="26" width="10" style="777" customWidth="1"/>
    <col min="27" max="16384" width="12.6328125" style="777"/>
  </cols>
  <sheetData>
    <row r="1" spans="1:8" ht="11.25" customHeight="1">
      <c r="A1" s="775"/>
      <c r="B1" s="775"/>
      <c r="C1" s="775"/>
      <c r="D1" s="775"/>
      <c r="E1" s="775"/>
      <c r="F1" s="776" t="s">
        <v>271</v>
      </c>
      <c r="G1" s="1890"/>
      <c r="H1" s="1891"/>
    </row>
    <row r="2" spans="1:8" ht="11.25" customHeight="1">
      <c r="A2" s="775"/>
      <c r="B2" s="775"/>
      <c r="C2" s="775"/>
      <c r="D2" s="775"/>
      <c r="E2" s="775"/>
      <c r="F2" s="778" t="s">
        <v>272</v>
      </c>
      <c r="G2" s="1892"/>
      <c r="H2" s="1893"/>
    </row>
    <row r="3" spans="1:8" ht="11.25" customHeight="1">
      <c r="A3" s="775"/>
      <c r="B3" s="775"/>
      <c r="C3" s="775"/>
      <c r="D3" s="775"/>
      <c r="E3" s="775"/>
      <c r="F3" s="778" t="s">
        <v>39</v>
      </c>
      <c r="G3" s="1892"/>
      <c r="H3" s="1893"/>
    </row>
    <row r="4" spans="1:8" ht="11.25" customHeight="1">
      <c r="A4" s="775"/>
      <c r="B4" s="775"/>
      <c r="C4" s="775"/>
      <c r="D4" s="775"/>
      <c r="E4" s="775"/>
      <c r="F4" s="778" t="s">
        <v>335</v>
      </c>
      <c r="G4" s="1894"/>
      <c r="H4" s="1893"/>
    </row>
    <row r="5" spans="1:8" ht="11.25" customHeight="1">
      <c r="A5" s="775"/>
      <c r="B5" s="775"/>
      <c r="C5" s="775"/>
      <c r="D5" s="775"/>
      <c r="E5" s="775"/>
      <c r="F5" s="779" t="s">
        <v>37</v>
      </c>
      <c r="G5" s="1895"/>
      <c r="H5" s="1896"/>
    </row>
    <row r="6" spans="1:8" ht="12.75" customHeight="1">
      <c r="A6" s="775"/>
      <c r="B6" s="775"/>
      <c r="C6" s="775"/>
      <c r="D6" s="775"/>
      <c r="E6" s="775"/>
      <c r="F6" s="775"/>
      <c r="G6" s="775"/>
      <c r="H6" s="775"/>
    </row>
    <row r="7" spans="1:8" ht="15.75" customHeight="1">
      <c r="B7" s="780"/>
      <c r="C7" s="780"/>
      <c r="D7" s="1889" t="s">
        <v>336</v>
      </c>
      <c r="E7" s="1873"/>
      <c r="F7" s="780"/>
      <c r="G7" s="780"/>
      <c r="H7" s="780"/>
    </row>
    <row r="8" spans="1:8" ht="12.75" customHeight="1">
      <c r="A8" s="781"/>
      <c r="B8" s="781"/>
      <c r="C8" s="781"/>
      <c r="D8" s="1881" t="s">
        <v>515</v>
      </c>
      <c r="E8" s="1873"/>
      <c r="F8" s="775"/>
      <c r="G8" s="775"/>
      <c r="H8" s="775"/>
    </row>
    <row r="9" spans="1:8" ht="12.75" customHeight="1">
      <c r="A9" s="775"/>
      <c r="B9" s="775"/>
      <c r="C9" s="775"/>
      <c r="F9" s="775"/>
      <c r="G9" s="775"/>
      <c r="H9" s="775"/>
    </row>
    <row r="10" spans="1:8" ht="12.75" customHeight="1">
      <c r="A10" s="782"/>
      <c r="B10" s="782"/>
      <c r="C10" s="775"/>
      <c r="D10" s="775"/>
      <c r="E10" s="775"/>
      <c r="F10" s="775"/>
      <c r="G10" s="775"/>
      <c r="H10" s="775"/>
    </row>
    <row r="11" spans="1:8" ht="12.75" customHeight="1">
      <c r="A11" s="1882" t="s">
        <v>337</v>
      </c>
      <c r="B11" s="1873"/>
      <c r="C11" s="750" t="s">
        <v>338</v>
      </c>
      <c r="D11" s="775"/>
      <c r="E11" s="1882" t="s">
        <v>339</v>
      </c>
      <c r="F11" s="1873"/>
      <c r="G11" s="748">
        <v>162.46799999999999</v>
      </c>
      <c r="H11" s="775" t="s">
        <v>44</v>
      </c>
    </row>
    <row r="12" spans="1:8" ht="12.75" customHeight="1">
      <c r="A12" s="783"/>
      <c r="B12" s="784" t="s">
        <v>340</v>
      </c>
      <c r="C12" s="750">
        <v>40782</v>
      </c>
      <c r="D12" s="775"/>
      <c r="E12" s="1882" t="s">
        <v>341</v>
      </c>
      <c r="F12" s="1873"/>
      <c r="G12" s="749" t="s">
        <v>342</v>
      </c>
      <c r="H12" s="775"/>
    </row>
    <row r="13" spans="1:8" ht="12.75" customHeight="1">
      <c r="A13" s="783"/>
      <c r="B13" s="784" t="s">
        <v>343</v>
      </c>
      <c r="C13" s="751"/>
      <c r="D13" s="775" t="s">
        <v>344</v>
      </c>
      <c r="E13" s="787"/>
      <c r="F13" s="787"/>
      <c r="G13" s="782"/>
      <c r="H13" s="775"/>
    </row>
    <row r="14" spans="1:8" ht="12.75" customHeight="1">
      <c r="A14" s="1882" t="s">
        <v>345</v>
      </c>
      <c r="B14" s="1873"/>
      <c r="C14" s="784" t="s">
        <v>83</v>
      </c>
      <c r="D14" s="1883"/>
      <c r="E14" s="1879"/>
      <c r="F14" s="784" t="s">
        <v>346</v>
      </c>
      <c r="G14" s="750"/>
      <c r="H14" s="788"/>
    </row>
    <row r="15" spans="1:8" ht="12.75" customHeight="1">
      <c r="A15" s="775"/>
      <c r="B15" s="775"/>
      <c r="C15" s="775"/>
      <c r="D15" s="1882" t="s">
        <v>347</v>
      </c>
      <c r="E15" s="1873"/>
      <c r="F15" s="1884"/>
      <c r="G15" s="749"/>
      <c r="H15" s="775"/>
    </row>
    <row r="16" spans="1:8" ht="12.75" customHeight="1">
      <c r="D16" s="789"/>
      <c r="E16" s="789"/>
      <c r="F16" s="789"/>
    </row>
    <row r="17" spans="1:9" ht="12.75" customHeight="1">
      <c r="C17" s="1885" t="s">
        <v>348</v>
      </c>
      <c r="D17" s="1886"/>
      <c r="E17" s="790"/>
      <c r="F17" s="791" t="s">
        <v>349</v>
      </c>
      <c r="G17" s="748">
        <v>0.3</v>
      </c>
      <c r="H17" s="775" t="s">
        <v>44</v>
      </c>
    </row>
    <row r="18" spans="1:9" ht="12.75" customHeight="1">
      <c r="A18" s="775"/>
      <c r="C18" s="792"/>
      <c r="D18" s="775"/>
      <c r="E18" s="793"/>
      <c r="F18" s="794" t="s">
        <v>350</v>
      </c>
      <c r="G18" s="748">
        <v>0.3</v>
      </c>
      <c r="H18" s="775" t="s">
        <v>44</v>
      </c>
    </row>
    <row r="19" spans="1:9" ht="12.75" customHeight="1">
      <c r="A19" s="775"/>
      <c r="C19" s="792"/>
      <c r="D19" s="775"/>
      <c r="E19" s="1882" t="s">
        <v>351</v>
      </c>
      <c r="F19" s="1884"/>
      <c r="G19" s="748">
        <v>0.3</v>
      </c>
      <c r="H19" s="775" t="s">
        <v>44</v>
      </c>
    </row>
    <row r="20" spans="1:9" ht="12.75" customHeight="1">
      <c r="A20" s="775"/>
      <c r="C20" s="795"/>
      <c r="D20" s="796"/>
      <c r="E20" s="1887"/>
      <c r="F20" s="1888"/>
      <c r="G20" s="748">
        <v>0.3</v>
      </c>
      <c r="H20" s="775" t="s">
        <v>44</v>
      </c>
    </row>
    <row r="21" spans="1:9" ht="12.75" customHeight="1">
      <c r="A21" s="775"/>
      <c r="E21" s="1887"/>
      <c r="F21" s="1888"/>
    </row>
    <row r="22" spans="1:9" ht="12.75" customHeight="1">
      <c r="B22" s="787" t="s">
        <v>352</v>
      </c>
      <c r="C22" s="786" t="s">
        <v>303</v>
      </c>
      <c r="D22" s="787" t="s">
        <v>353</v>
      </c>
      <c r="E22" s="786" t="s">
        <v>354</v>
      </c>
      <c r="F22" s="787" t="s">
        <v>355</v>
      </c>
      <c r="G22" s="786" t="s">
        <v>319</v>
      </c>
      <c r="H22" s="787" t="s">
        <v>356</v>
      </c>
      <c r="I22" s="786" t="s">
        <v>357</v>
      </c>
    </row>
    <row r="23" spans="1:9" ht="12.75" customHeight="1">
      <c r="A23" s="775"/>
      <c r="B23" s="775"/>
      <c r="C23" s="775"/>
      <c r="D23" s="775"/>
      <c r="E23" s="775"/>
      <c r="F23" s="775"/>
      <c r="G23" s="775"/>
      <c r="H23" s="775"/>
    </row>
    <row r="24" spans="1:9" ht="12.75" customHeight="1">
      <c r="A24" s="1875" t="s">
        <v>358</v>
      </c>
      <c r="B24" s="1876"/>
      <c r="C24" s="787" t="s">
        <v>359</v>
      </c>
      <c r="D24" s="797">
        <f>+[3]ULL!C12</f>
        <v>0</v>
      </c>
      <c r="E24" s="787" t="s">
        <v>360</v>
      </c>
      <c r="F24" s="798">
        <f>+[3]ULL!I5</f>
        <v>40790</v>
      </c>
      <c r="G24" s="787" t="s">
        <v>361</v>
      </c>
      <c r="H24" s="799" t="s">
        <v>362</v>
      </c>
    </row>
    <row r="25" spans="1:9" ht="12.75" customHeight="1">
      <c r="A25" s="800" t="s">
        <v>363</v>
      </c>
      <c r="B25" s="800" t="s">
        <v>364</v>
      </c>
      <c r="C25" s="800" t="s">
        <v>365</v>
      </c>
      <c r="D25" s="800" t="s">
        <v>366</v>
      </c>
      <c r="E25" s="800" t="s">
        <v>367</v>
      </c>
      <c r="F25" s="800" t="s">
        <v>368</v>
      </c>
      <c r="G25" s="800" t="s">
        <v>369</v>
      </c>
      <c r="H25" s="800" t="s">
        <v>370</v>
      </c>
      <c r="I25" s="801" t="s">
        <v>371</v>
      </c>
    </row>
    <row r="26" spans="1:9" ht="12.75" customHeight="1">
      <c r="A26" s="837" t="s">
        <v>372</v>
      </c>
      <c r="B26" s="838">
        <v>2.46</v>
      </c>
      <c r="C26" s="834">
        <v>41.481000000000002</v>
      </c>
      <c r="D26" s="832">
        <v>31</v>
      </c>
      <c r="E26" s="828">
        <v>0.85470000000000002</v>
      </c>
      <c r="F26" s="802">
        <f>IF(A26="","",[4]!T54B(E26,D26))</f>
        <v>0.98670000000000002</v>
      </c>
      <c r="G26" s="803">
        <f>IF(A26="","",+C26*F26)</f>
        <v>40.929302700000001</v>
      </c>
      <c r="H26" s="803">
        <f>IF(A26="","",+G26*(E26-0.0011))</f>
        <v>34.937252784720002</v>
      </c>
      <c r="I26" s="804"/>
    </row>
    <row r="27" spans="1:9" ht="12.75" customHeight="1">
      <c r="A27" s="839" t="s">
        <v>373</v>
      </c>
      <c r="B27" s="840">
        <v>2.6</v>
      </c>
      <c r="C27" s="835">
        <v>117.54</v>
      </c>
      <c r="D27" s="833">
        <v>22</v>
      </c>
      <c r="E27" s="829">
        <v>0.87029999999999996</v>
      </c>
      <c r="F27" s="802">
        <f>IF(A27="","",[4]!T54B(E27,D27))</f>
        <v>0.99439999999999995</v>
      </c>
      <c r="G27" s="803">
        <f t="shared" ref="G27:G34" si="0">IF(A27="","",+C27*F27)</f>
        <v>116.881776</v>
      </c>
      <c r="H27" s="803">
        <f t="shared" ref="H27:H33" si="1">IF(A27="","",+G27*(E27-0.0011))</f>
        <v>101.5936396992</v>
      </c>
      <c r="I27" s="805"/>
    </row>
    <row r="28" spans="1:9" ht="12.75" customHeight="1">
      <c r="A28" s="841" t="s">
        <v>374</v>
      </c>
      <c r="B28" s="840">
        <v>5.0199999999999996</v>
      </c>
      <c r="C28" s="835">
        <v>30.454000000000001</v>
      </c>
      <c r="D28" s="833">
        <v>23</v>
      </c>
      <c r="E28" s="829">
        <v>0.85470000000000002</v>
      </c>
      <c r="F28" s="802">
        <f>IF(A28="","",[4]!T54B(E28,D28))</f>
        <v>0.99339999999999995</v>
      </c>
      <c r="G28" s="803">
        <f t="shared" si="0"/>
        <v>30.2530036</v>
      </c>
      <c r="H28" s="803">
        <f t="shared" si="1"/>
        <v>25.82396387296</v>
      </c>
      <c r="I28" s="805"/>
    </row>
    <row r="29" spans="1:9" ht="12.75" customHeight="1">
      <c r="A29" s="830" t="s">
        <v>517</v>
      </c>
      <c r="B29" s="833">
        <v>3.21</v>
      </c>
      <c r="C29" s="835">
        <v>11.23</v>
      </c>
      <c r="D29" s="833">
        <v>31</v>
      </c>
      <c r="E29" s="829">
        <v>0.85460000000000003</v>
      </c>
      <c r="F29" s="802">
        <f>IF(A29="","",[4]!T54B(E29,D29))</f>
        <v>0.98670000000000002</v>
      </c>
      <c r="G29" s="803">
        <f t="shared" si="0"/>
        <v>11.080641</v>
      </c>
      <c r="H29" s="803">
        <f t="shared" si="1"/>
        <v>9.4573270935</v>
      </c>
      <c r="I29" s="805"/>
    </row>
    <row r="30" spans="1:9" ht="12.75" customHeight="1">
      <c r="A30" s="830"/>
      <c r="B30" s="833"/>
      <c r="C30" s="835"/>
      <c r="D30" s="833"/>
      <c r="E30" s="829"/>
      <c r="F30" s="802" t="str">
        <f>IF(A30="","",[4]!T54B(E30,D30))</f>
        <v/>
      </c>
      <c r="G30" s="803" t="str">
        <f t="shared" si="0"/>
        <v/>
      </c>
      <c r="H30" s="803" t="str">
        <f t="shared" si="1"/>
        <v/>
      </c>
      <c r="I30" s="806"/>
    </row>
    <row r="31" spans="1:9" ht="12.75" customHeight="1">
      <c r="A31" s="830"/>
      <c r="B31" s="833"/>
      <c r="C31" s="835"/>
      <c r="D31" s="833"/>
      <c r="E31" s="829"/>
      <c r="F31" s="802" t="str">
        <f>IF(A31="","",[4]!T54B(E31,D31))</f>
        <v/>
      </c>
      <c r="G31" s="803" t="str">
        <f t="shared" si="0"/>
        <v/>
      </c>
      <c r="H31" s="803" t="str">
        <f t="shared" si="1"/>
        <v/>
      </c>
      <c r="I31" s="805"/>
    </row>
    <row r="32" spans="1:9" ht="12.75" customHeight="1">
      <c r="A32" s="842"/>
      <c r="B32" s="843"/>
      <c r="C32" s="835"/>
      <c r="D32" s="833"/>
      <c r="E32" s="829"/>
      <c r="F32" s="802" t="str">
        <f>IF(A32="","",[4]!T54B(E32,D32))</f>
        <v/>
      </c>
      <c r="G32" s="803" t="str">
        <f t="shared" si="0"/>
        <v/>
      </c>
      <c r="H32" s="803" t="str">
        <f t="shared" si="1"/>
        <v/>
      </c>
      <c r="I32" s="807"/>
    </row>
    <row r="33" spans="1:9" ht="12.75" customHeight="1">
      <c r="A33" s="772"/>
      <c r="B33" s="830"/>
      <c r="C33" s="835"/>
      <c r="D33" s="830"/>
      <c r="E33" s="830"/>
      <c r="F33" s="802" t="str">
        <f>IF(A33="","",[4]!T54B(E33,D33))</f>
        <v/>
      </c>
      <c r="G33" s="803" t="str">
        <f t="shared" si="0"/>
        <v/>
      </c>
      <c r="H33" s="803" t="str">
        <f t="shared" si="1"/>
        <v/>
      </c>
      <c r="I33" s="805"/>
    </row>
    <row r="34" spans="1:9" ht="12.75" customHeight="1">
      <c r="A34" s="844"/>
      <c r="B34" s="831"/>
      <c r="C34" s="836"/>
      <c r="D34" s="831"/>
      <c r="E34" s="831"/>
      <c r="F34" s="802" t="str">
        <f>IF(A34="","",[4]!T54B(E34,D34))</f>
        <v/>
      </c>
      <c r="G34" s="803" t="str">
        <f t="shared" si="0"/>
        <v/>
      </c>
      <c r="H34" s="808"/>
      <c r="I34" s="809"/>
    </row>
    <row r="35" spans="1:9" ht="12.75" customHeight="1">
      <c r="A35" s="775"/>
      <c r="B35" s="810" t="s">
        <v>324</v>
      </c>
      <c r="C35" s="811">
        <f>SUM(C26:C34)</f>
        <v>200.70500000000001</v>
      </c>
      <c r="D35" s="1872"/>
      <c r="E35" s="1873"/>
      <c r="F35" s="1873"/>
      <c r="G35" s="811">
        <f t="shared" ref="G35:H35" si="2">SUM(G26:G34)</f>
        <v>199.14472330000001</v>
      </c>
      <c r="H35" s="811">
        <f t="shared" si="2"/>
        <v>171.81218345038002</v>
      </c>
      <c r="I35" s="812"/>
    </row>
    <row r="36" spans="1:9" ht="12.75" customHeight="1">
      <c r="A36" s="775"/>
      <c r="B36" s="782"/>
      <c r="C36" s="783"/>
      <c r="D36" s="813"/>
      <c r="E36" s="782"/>
      <c r="F36" s="782"/>
      <c r="G36" s="814"/>
      <c r="H36" s="783"/>
    </row>
    <row r="37" spans="1:9" ht="12.75" customHeight="1">
      <c r="A37" s="1874" t="s">
        <v>375</v>
      </c>
      <c r="B37" s="1873"/>
      <c r="C37" s="787" t="s">
        <v>376</v>
      </c>
      <c r="D37" s="848"/>
      <c r="E37" s="775" t="s">
        <v>303</v>
      </c>
      <c r="F37" s="787" t="s">
        <v>377</v>
      </c>
      <c r="G37" s="849"/>
      <c r="H37" s="775" t="s">
        <v>44</v>
      </c>
    </row>
    <row r="38" spans="1:9" ht="12.75" customHeight="1">
      <c r="A38" s="815"/>
      <c r="B38" s="815"/>
      <c r="C38" s="775"/>
      <c r="D38" s="775"/>
      <c r="E38" s="775"/>
      <c r="F38" s="775"/>
      <c r="G38" s="775"/>
      <c r="H38" s="775"/>
    </row>
    <row r="39" spans="1:9" ht="12.75" customHeight="1">
      <c r="A39" s="1875" t="s">
        <v>378</v>
      </c>
      <c r="B39" s="1876"/>
      <c r="C39" s="787" t="s">
        <v>379</v>
      </c>
      <c r="D39" s="797">
        <v>3</v>
      </c>
      <c r="E39" s="787" t="s">
        <v>346</v>
      </c>
      <c r="F39" s="799" t="str">
        <f>+[3]ROB!I5</f>
        <v>06/09/2011</v>
      </c>
      <c r="G39" s="787" t="s">
        <v>380</v>
      </c>
      <c r="H39" s="799" t="s">
        <v>381</v>
      </c>
    </row>
    <row r="40" spans="1:9" ht="12.75" customHeight="1">
      <c r="A40" s="785" t="s">
        <v>382</v>
      </c>
      <c r="B40" s="785" t="s">
        <v>364</v>
      </c>
      <c r="C40" s="785" t="s">
        <v>365</v>
      </c>
      <c r="D40" s="785" t="s">
        <v>366</v>
      </c>
      <c r="E40" s="785" t="s">
        <v>367</v>
      </c>
      <c r="F40" s="785" t="s">
        <v>368</v>
      </c>
      <c r="G40" s="785" t="s">
        <v>369</v>
      </c>
      <c r="H40" s="785" t="s">
        <v>370</v>
      </c>
      <c r="I40" s="801" t="s">
        <v>371</v>
      </c>
    </row>
    <row r="41" spans="1:9" ht="12.75" customHeight="1">
      <c r="A41" s="837" t="s">
        <v>372</v>
      </c>
      <c r="B41" s="838">
        <v>2.46</v>
      </c>
      <c r="C41" s="834">
        <v>41.481000000000002</v>
      </c>
      <c r="D41" s="832">
        <v>22</v>
      </c>
      <c r="E41" s="828">
        <v>0.85470000000000002</v>
      </c>
      <c r="F41" s="802">
        <f>IF(A41="","",[4]!T54B(E41,D41))</f>
        <v>0.99419999999999997</v>
      </c>
      <c r="G41" s="803">
        <f t="shared" ref="G41:G43" si="3">+C41*F41</f>
        <v>41.240410199999999</v>
      </c>
      <c r="H41" s="803">
        <f>IF(A41="","",+G41*(E41-0.0011))</f>
        <v>35.202814146720002</v>
      </c>
      <c r="I41" s="807"/>
    </row>
    <row r="42" spans="1:9" ht="12.75" customHeight="1">
      <c r="A42" s="839" t="s">
        <v>373</v>
      </c>
      <c r="B42" s="840">
        <v>2.6</v>
      </c>
      <c r="C42" s="835">
        <v>117.54</v>
      </c>
      <c r="D42" s="833">
        <v>32</v>
      </c>
      <c r="E42" s="829">
        <v>0.87029999999999996</v>
      </c>
      <c r="F42" s="802">
        <f>IF(A42="","",[4]!T54B(E42,D42))</f>
        <v>0.98629999999999995</v>
      </c>
      <c r="G42" s="816">
        <f t="shared" si="3"/>
        <v>115.92970200000001</v>
      </c>
      <c r="H42" s="803">
        <f t="shared" ref="H42:H50" si="4">IF(A42="","",+G42*(E42-0.0011))</f>
        <v>100.7660969784</v>
      </c>
      <c r="I42" s="805"/>
    </row>
    <row r="43" spans="1:9" ht="12.75" customHeight="1">
      <c r="A43" s="841" t="s">
        <v>374</v>
      </c>
      <c r="B43" s="840">
        <v>5.0199999999999996</v>
      </c>
      <c r="C43" s="835">
        <v>30.454000000000001</v>
      </c>
      <c r="D43" s="833">
        <v>22</v>
      </c>
      <c r="E43" s="829">
        <v>0.85470000000000002</v>
      </c>
      <c r="F43" s="802">
        <f>IF(A43="","",[4]!T54B(E43,D43))</f>
        <v>0.99419999999999997</v>
      </c>
      <c r="G43" s="816">
        <f t="shared" si="3"/>
        <v>30.277366799999999</v>
      </c>
      <c r="H43" s="803">
        <f t="shared" si="4"/>
        <v>25.844760300480001</v>
      </c>
      <c r="I43" s="805"/>
    </row>
    <row r="44" spans="1:9" ht="12.75" customHeight="1">
      <c r="A44" s="830"/>
      <c r="B44" s="833"/>
      <c r="C44" s="835"/>
      <c r="D44" s="833"/>
      <c r="E44" s="829"/>
      <c r="F44" s="802" t="str">
        <f>IF(A44="","",[4]!T54B(E44,D44))</f>
        <v/>
      </c>
      <c r="G44" s="816"/>
      <c r="H44" s="803" t="str">
        <f t="shared" si="4"/>
        <v/>
      </c>
      <c r="I44" s="805"/>
    </row>
    <row r="45" spans="1:9" ht="12.75" customHeight="1">
      <c r="A45" s="830"/>
      <c r="B45" s="833"/>
      <c r="C45" s="835"/>
      <c r="D45" s="833"/>
      <c r="E45" s="829"/>
      <c r="F45" s="802" t="str">
        <f>IF(A45="","",[4]!T54B(E45,D45))</f>
        <v/>
      </c>
      <c r="G45" s="816"/>
      <c r="H45" s="803" t="str">
        <f t="shared" si="4"/>
        <v/>
      </c>
      <c r="I45" s="805"/>
    </row>
    <row r="46" spans="1:9" ht="12.75" customHeight="1">
      <c r="A46" s="845"/>
      <c r="B46" s="833"/>
      <c r="C46" s="835"/>
      <c r="D46" s="833"/>
      <c r="E46" s="829"/>
      <c r="F46" s="802" t="str">
        <f>IF(A46="","",[4]!T54B(E46,D46))</f>
        <v/>
      </c>
      <c r="G46" s="816"/>
      <c r="H46" s="803" t="str">
        <f t="shared" si="4"/>
        <v/>
      </c>
      <c r="I46" s="805"/>
    </row>
    <row r="47" spans="1:9" ht="12.75" customHeight="1">
      <c r="A47" s="845"/>
      <c r="B47" s="843"/>
      <c r="C47" s="835"/>
      <c r="D47" s="833"/>
      <c r="E47" s="829"/>
      <c r="F47" s="802" t="str">
        <f>IF(A47="","",[4]!T54B(E47,D47))</f>
        <v/>
      </c>
      <c r="G47" s="816"/>
      <c r="H47" s="803" t="str">
        <f t="shared" si="4"/>
        <v/>
      </c>
      <c r="I47" s="805"/>
    </row>
    <row r="48" spans="1:9" ht="12.75" customHeight="1">
      <c r="A48" s="772"/>
      <c r="B48" s="772"/>
      <c r="C48" s="846"/>
      <c r="D48" s="772" t="s">
        <v>222</v>
      </c>
      <c r="E48" s="772" t="s">
        <v>222</v>
      </c>
      <c r="F48" s="802" t="str">
        <f>IF(A48="","",[4]!T54B(E48,D48))</f>
        <v/>
      </c>
      <c r="G48" s="817" t="s">
        <v>222</v>
      </c>
      <c r="H48" s="803" t="str">
        <f t="shared" si="4"/>
        <v/>
      </c>
      <c r="I48" s="805"/>
    </row>
    <row r="49" spans="1:9" ht="12.75" customHeight="1">
      <c r="A49" s="772"/>
      <c r="B49" s="772"/>
      <c r="C49" s="846"/>
      <c r="D49" s="772" t="s">
        <v>222</v>
      </c>
      <c r="E49" s="772" t="s">
        <v>222</v>
      </c>
      <c r="F49" s="802" t="str">
        <f>IF(A49="","",[4]!T54B(E49,D49))</f>
        <v/>
      </c>
      <c r="G49" s="817" t="s">
        <v>222</v>
      </c>
      <c r="H49" s="803" t="str">
        <f t="shared" si="4"/>
        <v/>
      </c>
      <c r="I49" s="805"/>
    </row>
    <row r="50" spans="1:9" ht="12.75" customHeight="1">
      <c r="A50" s="844" t="s">
        <v>222</v>
      </c>
      <c r="B50" s="844"/>
      <c r="C50" s="847"/>
      <c r="D50" s="844" t="s">
        <v>222</v>
      </c>
      <c r="E50" s="844" t="s">
        <v>222</v>
      </c>
      <c r="F50" s="802" t="str">
        <f>IF(A50="","",[4]!T54B(E50,D50))</f>
        <v/>
      </c>
      <c r="G50" s="818" t="s">
        <v>222</v>
      </c>
      <c r="H50" s="803" t="str">
        <f t="shared" si="4"/>
        <v/>
      </c>
      <c r="I50" s="809"/>
    </row>
    <row r="51" spans="1:9" ht="12.75" customHeight="1">
      <c r="A51" s="775"/>
      <c r="B51" s="785" t="s">
        <v>324</v>
      </c>
      <c r="C51" s="819">
        <f>SUM(C41:C50)</f>
        <v>189.47500000000002</v>
      </c>
      <c r="D51" s="1877"/>
      <c r="E51" s="1873"/>
      <c r="F51" s="1873"/>
      <c r="G51" s="819">
        <f t="shared" ref="G51:H51" si="5">SUM(G41:G50)</f>
        <v>187.44747900000002</v>
      </c>
      <c r="H51" s="819">
        <f t="shared" si="5"/>
        <v>161.81367142560001</v>
      </c>
      <c r="I51" s="812"/>
    </row>
    <row r="52" spans="1:9" ht="12.75" customHeight="1">
      <c r="A52" s="775"/>
      <c r="B52" s="775"/>
      <c r="C52" s="775"/>
      <c r="D52" s="775"/>
      <c r="E52" s="775"/>
      <c r="F52" s="775"/>
      <c r="G52" s="775"/>
      <c r="H52" s="775"/>
    </row>
    <row r="53" spans="1:9" ht="12.75" customHeight="1">
      <c r="A53" s="775"/>
      <c r="B53" s="775"/>
      <c r="C53" s="775"/>
      <c r="D53" s="775"/>
      <c r="E53" s="1878" t="s">
        <v>383</v>
      </c>
      <c r="F53" s="1879"/>
      <c r="G53" s="820">
        <f t="shared" ref="G53:H53" si="6">+G35-G51</f>
        <v>11.697244299999994</v>
      </c>
      <c r="H53" s="820">
        <f t="shared" si="6"/>
        <v>9.9985120247800126</v>
      </c>
    </row>
    <row r="54" spans="1:9" ht="12.75" customHeight="1">
      <c r="D54" s="789"/>
    </row>
    <row r="55" spans="1:9" ht="12.75" customHeight="1">
      <c r="D55" s="789"/>
    </row>
    <row r="56" spans="1:9" ht="12.75" customHeight="1">
      <c r="A56" s="821" t="s">
        <v>332</v>
      </c>
      <c r="E56" s="789"/>
      <c r="F56" s="821" t="s">
        <v>332</v>
      </c>
      <c r="G56" s="789"/>
    </row>
    <row r="57" spans="1:9" ht="12.75" customHeight="1">
      <c r="A57" s="821" t="s">
        <v>333</v>
      </c>
      <c r="B57" s="822"/>
      <c r="C57" s="822"/>
      <c r="D57" s="822"/>
      <c r="E57" s="789"/>
      <c r="F57" s="821" t="s">
        <v>333</v>
      </c>
      <c r="G57" s="1880"/>
      <c r="H57" s="1871"/>
      <c r="I57" s="1871"/>
    </row>
    <row r="58" spans="1:9" ht="12.75" customHeight="1">
      <c r="A58" s="823" t="s">
        <v>334</v>
      </c>
      <c r="B58" s="822"/>
      <c r="C58" s="822"/>
      <c r="D58" s="822"/>
      <c r="E58" s="789"/>
      <c r="F58" s="823" t="s">
        <v>334</v>
      </c>
      <c r="G58" s="1870" t="s">
        <v>638</v>
      </c>
      <c r="H58" s="1871"/>
      <c r="I58" s="1871"/>
    </row>
    <row r="59" spans="1:9" ht="12.75" customHeight="1"/>
    <row r="60" spans="1:9" ht="12.75" customHeight="1"/>
    <row r="61" spans="1:9" ht="12.75" customHeight="1">
      <c r="A61" s="824"/>
    </row>
    <row r="62" spans="1:9" ht="19.5" customHeight="1">
      <c r="B62" s="825"/>
      <c r="C62" s="823"/>
      <c r="D62" s="823"/>
      <c r="E62" s="823"/>
      <c r="F62" s="823"/>
      <c r="G62" s="823"/>
      <c r="H62" s="823"/>
    </row>
    <row r="63" spans="1:9" ht="6.75" customHeight="1"/>
    <row r="64" spans="1:9" ht="12.75" customHeight="1">
      <c r="B64" s="826"/>
      <c r="C64" s="827"/>
      <c r="D64" s="827"/>
      <c r="G64" s="826"/>
    </row>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FCerZg0ZATjojGLE8EjyTMApJiyFgvT91KPzri5pRw5+Etq8TIaFS9TVWFoOkCz1dZSfhhRzOPppIThShs4XUg==" saltValue="fN3qPvUIkBmNhXvLRrIcOQ==" spinCount="100000" sheet="1" objects="1" scenarios="1"/>
  <mergeCells count="25">
    <mergeCell ref="D7:E7"/>
    <mergeCell ref="G1:H1"/>
    <mergeCell ref="G2:H2"/>
    <mergeCell ref="G3:H3"/>
    <mergeCell ref="G4:H4"/>
    <mergeCell ref="G5:H5"/>
    <mergeCell ref="A24:B24"/>
    <mergeCell ref="D8:E8"/>
    <mergeCell ref="A11:B11"/>
    <mergeCell ref="E11:F11"/>
    <mergeCell ref="E12:F12"/>
    <mergeCell ref="A14:B14"/>
    <mergeCell ref="D14:E14"/>
    <mergeCell ref="D15:F15"/>
    <mergeCell ref="C17:D17"/>
    <mergeCell ref="E19:F19"/>
    <mergeCell ref="E20:F20"/>
    <mergeCell ref="E21:F21"/>
    <mergeCell ref="G58:I58"/>
    <mergeCell ref="D35:F35"/>
    <mergeCell ref="A37:B37"/>
    <mergeCell ref="A39:B39"/>
    <mergeCell ref="D51:F51"/>
    <mergeCell ref="E53:F53"/>
    <mergeCell ref="G57:I57"/>
  </mergeCells>
  <printOptions horizontalCentered="1" verticalCentered="1"/>
  <pageMargins left="0.31496062992125984" right="0.31496062992125984" top="0.15748031496062992" bottom="0.35433070866141736" header="0.19685039370078741" footer="0.11811023622047245"/>
  <pageSetup paperSize="9" scale="88" orientation="portrait" r:id="rId1"/>
  <colBreaks count="1" manualBreakCount="1">
    <brk id="10"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5FC26-0849-4FA7-957D-0C6EF707B0CF}">
  <sheetPr codeName="Feuil3"/>
  <dimension ref="A1:J1000"/>
  <sheetViews>
    <sheetView showRowColHeaders="0" view="pageBreakPreview" zoomScale="60" zoomScaleNormal="100" workbookViewId="0">
      <selection activeCell="C68" sqref="C68"/>
    </sheetView>
  </sheetViews>
  <sheetFormatPr baseColWidth="10" defaultColWidth="12.6328125" defaultRowHeight="15" customHeight="1"/>
  <cols>
    <col min="1" max="1" width="18.08984375" style="497" customWidth="1"/>
    <col min="2" max="3" width="10.36328125" style="497" customWidth="1"/>
    <col min="4" max="4" width="10.08984375" style="497" customWidth="1"/>
    <col min="5" max="5" width="9.90625" style="497" customWidth="1"/>
    <col min="6" max="6" width="11.36328125" style="497" customWidth="1"/>
    <col min="7" max="7" width="10.7265625" style="497" customWidth="1"/>
    <col min="8" max="8" width="12.36328125" style="497" customWidth="1"/>
    <col min="9" max="9" width="6.7265625" style="497" customWidth="1"/>
    <col min="10" max="26" width="10" style="497" customWidth="1"/>
    <col min="27" max="16384" width="12.6328125" style="497"/>
  </cols>
  <sheetData>
    <row r="1" spans="1:9" ht="11.25" customHeight="1">
      <c r="A1" s="692"/>
      <c r="B1" s="692"/>
      <c r="C1" s="692"/>
      <c r="D1" s="692"/>
      <c r="E1" s="692"/>
      <c r="F1" s="693" t="s">
        <v>271</v>
      </c>
      <c r="G1" s="1917"/>
      <c r="H1" s="1918"/>
      <c r="I1" s="1891"/>
    </row>
    <row r="2" spans="1:9" ht="11.25" customHeight="1">
      <c r="A2" s="692"/>
      <c r="B2" s="692"/>
      <c r="C2" s="692"/>
      <c r="D2" s="692"/>
      <c r="E2" s="692"/>
      <c r="F2" s="694" t="s">
        <v>272</v>
      </c>
      <c r="G2" s="1892"/>
      <c r="H2" s="1919"/>
      <c r="I2" s="1893"/>
    </row>
    <row r="3" spans="1:9" ht="11.25" customHeight="1">
      <c r="A3" s="692"/>
      <c r="B3" s="692"/>
      <c r="C3" s="692"/>
      <c r="D3" s="692"/>
      <c r="E3" s="692"/>
      <c r="F3" s="694" t="s">
        <v>39</v>
      </c>
      <c r="G3" s="1892"/>
      <c r="H3" s="1919"/>
      <c r="I3" s="1893"/>
    </row>
    <row r="4" spans="1:9" ht="11.25" customHeight="1">
      <c r="A4" s="692"/>
      <c r="B4" s="692"/>
      <c r="C4" s="692"/>
      <c r="D4" s="692"/>
      <c r="E4" s="692"/>
      <c r="F4" s="694" t="s">
        <v>335</v>
      </c>
      <c r="G4" s="1920"/>
      <c r="H4" s="1919"/>
      <c r="I4" s="1893"/>
    </row>
    <row r="5" spans="1:9" ht="11.25" customHeight="1">
      <c r="A5" s="692"/>
      <c r="B5" s="692"/>
      <c r="C5" s="692"/>
      <c r="D5" s="692"/>
      <c r="E5" s="692"/>
      <c r="F5" s="695" t="s">
        <v>37</v>
      </c>
      <c r="G5" s="1895"/>
      <c r="H5" s="1921"/>
      <c r="I5" s="1896"/>
    </row>
    <row r="6" spans="1:9" ht="12.75" customHeight="1">
      <c r="A6" s="692"/>
      <c r="B6" s="692"/>
      <c r="C6" s="692"/>
      <c r="D6" s="692"/>
      <c r="E6" s="692"/>
      <c r="F6" s="692"/>
      <c r="G6" s="692"/>
      <c r="H6" s="692"/>
    </row>
    <row r="7" spans="1:9" ht="15.75" customHeight="1">
      <c r="B7" s="696"/>
      <c r="C7" s="696"/>
      <c r="D7" s="697" t="s">
        <v>521</v>
      </c>
      <c r="E7" s="698"/>
      <c r="F7" s="696"/>
      <c r="G7" s="696"/>
      <c r="H7" s="696"/>
    </row>
    <row r="8" spans="1:9" ht="12.75" customHeight="1">
      <c r="A8" s="699"/>
      <c r="B8" s="699"/>
      <c r="C8" s="699"/>
      <c r="D8" s="1914" t="s">
        <v>518</v>
      </c>
      <c r="E8" s="1898"/>
      <c r="F8" s="692"/>
      <c r="G8" s="692"/>
      <c r="H8" s="692"/>
    </row>
    <row r="9" spans="1:9" ht="12.75" customHeight="1">
      <c r="A9" s="700"/>
      <c r="B9" s="700"/>
      <c r="C9" s="692"/>
      <c r="D9" s="692"/>
      <c r="E9" s="692"/>
      <c r="F9" s="692"/>
      <c r="G9" s="692"/>
      <c r="H9" s="692"/>
    </row>
    <row r="10" spans="1:9" ht="12.75" customHeight="1">
      <c r="A10" s="1907" t="s">
        <v>337</v>
      </c>
      <c r="B10" s="1898"/>
      <c r="C10" s="750" t="str">
        <f>+'[3]BUNKERS D'!C11</f>
        <v>CEYHAN</v>
      </c>
      <c r="D10" s="692"/>
      <c r="E10" s="1907" t="s">
        <v>339</v>
      </c>
      <c r="F10" s="1898"/>
      <c r="G10" s="748">
        <v>1969.3230000000001</v>
      </c>
      <c r="H10" s="692" t="s">
        <v>44</v>
      </c>
    </row>
    <row r="11" spans="1:9" ht="12.75" customHeight="1">
      <c r="A11" s="701"/>
      <c r="B11" s="702" t="s">
        <v>340</v>
      </c>
      <c r="C11" s="750">
        <f>+'[3]BUNKERS D'!C12</f>
        <v>40782</v>
      </c>
      <c r="D11" s="692"/>
      <c r="E11" s="1907" t="s">
        <v>634</v>
      </c>
      <c r="F11" s="1898"/>
      <c r="G11" s="749" t="s">
        <v>342</v>
      </c>
      <c r="H11" s="692"/>
    </row>
    <row r="12" spans="1:9" ht="12.75" customHeight="1">
      <c r="A12" s="701"/>
      <c r="B12" s="702" t="s">
        <v>343</v>
      </c>
      <c r="C12" s="751"/>
      <c r="D12" s="692" t="s">
        <v>344</v>
      </c>
      <c r="E12" s="705"/>
      <c r="F12" s="705"/>
      <c r="G12" s="700"/>
      <c r="H12" s="692"/>
    </row>
    <row r="13" spans="1:9" ht="12.75" customHeight="1">
      <c r="A13" s="1907" t="s">
        <v>345</v>
      </c>
      <c r="B13" s="1898"/>
      <c r="C13" s="702" t="s">
        <v>83</v>
      </c>
      <c r="D13" s="1915"/>
      <c r="E13" s="1916"/>
      <c r="F13" s="702" t="s">
        <v>346</v>
      </c>
      <c r="G13" s="750"/>
      <c r="H13" s="706"/>
    </row>
    <row r="14" spans="1:9" ht="12.75" customHeight="1">
      <c r="A14" s="692"/>
      <c r="B14" s="692"/>
      <c r="C14" s="692"/>
      <c r="D14" s="1907" t="s">
        <v>347</v>
      </c>
      <c r="E14" s="1898"/>
      <c r="F14" s="1908"/>
      <c r="G14" s="749"/>
      <c r="H14" s="692" t="s">
        <v>44</v>
      </c>
    </row>
    <row r="15" spans="1:9" ht="12.75" customHeight="1">
      <c r="D15" s="707"/>
      <c r="E15" s="707"/>
      <c r="F15" s="707"/>
    </row>
    <row r="16" spans="1:9" ht="12.75" customHeight="1">
      <c r="C16" s="1909" t="s">
        <v>348</v>
      </c>
      <c r="D16" s="1910"/>
      <c r="E16" s="708"/>
      <c r="F16" s="709" t="s">
        <v>349</v>
      </c>
      <c r="G16" s="752" t="s">
        <v>384</v>
      </c>
      <c r="H16" s="692" t="s">
        <v>44</v>
      </c>
    </row>
    <row r="17" spans="1:10" ht="12.75" customHeight="1">
      <c r="A17" s="692"/>
      <c r="C17" s="710"/>
      <c r="D17" s="692"/>
      <c r="E17" s="711"/>
      <c r="F17" s="712" t="s">
        <v>350</v>
      </c>
      <c r="G17" s="752">
        <v>9.11</v>
      </c>
      <c r="H17" s="692" t="s">
        <v>44</v>
      </c>
    </row>
    <row r="18" spans="1:10" ht="12.75" customHeight="1">
      <c r="A18" s="692"/>
      <c r="C18" s="710"/>
      <c r="D18" s="692"/>
      <c r="E18" s="1907" t="s">
        <v>351</v>
      </c>
      <c r="F18" s="1908"/>
      <c r="G18" s="752">
        <v>9.11</v>
      </c>
      <c r="H18" s="692" t="s">
        <v>44</v>
      </c>
    </row>
    <row r="19" spans="1:10" ht="12.75" customHeight="1">
      <c r="A19" s="692"/>
      <c r="C19" s="713"/>
      <c r="D19" s="714"/>
      <c r="E19" s="1911" t="s">
        <v>385</v>
      </c>
      <c r="F19" s="1912"/>
      <c r="G19" s="752">
        <v>65.75</v>
      </c>
      <c r="H19" s="692" t="s">
        <v>44</v>
      </c>
    </row>
    <row r="20" spans="1:10" ht="12.75" customHeight="1">
      <c r="A20" s="692"/>
    </row>
    <row r="21" spans="1:10" ht="12.75" customHeight="1">
      <c r="B21" s="705" t="s">
        <v>352</v>
      </c>
      <c r="C21" s="704" t="s">
        <v>303</v>
      </c>
      <c r="D21" s="705" t="s">
        <v>353</v>
      </c>
      <c r="E21" s="704" t="s">
        <v>354</v>
      </c>
      <c r="F21" s="705" t="s">
        <v>355</v>
      </c>
      <c r="G21" s="704" t="s">
        <v>319</v>
      </c>
      <c r="H21" s="705" t="s">
        <v>356</v>
      </c>
      <c r="I21" s="704" t="s">
        <v>522</v>
      </c>
    </row>
    <row r="22" spans="1:10" ht="12.75" customHeight="1">
      <c r="A22" s="692"/>
      <c r="B22" s="692"/>
      <c r="C22" s="692"/>
      <c r="D22" s="692"/>
      <c r="E22" s="692"/>
      <c r="F22" s="692"/>
      <c r="G22" s="692"/>
      <c r="H22" s="692"/>
    </row>
    <row r="23" spans="1:10" ht="12.75" customHeight="1">
      <c r="A23" s="1899" t="s">
        <v>358</v>
      </c>
      <c r="B23" s="1900"/>
      <c r="C23" s="705" t="s">
        <v>359</v>
      </c>
      <c r="D23" s="715">
        <f>'[3]BUNKERS D'!D24</f>
        <v>0</v>
      </c>
      <c r="E23" s="705" t="s">
        <v>360</v>
      </c>
      <c r="F23" s="716">
        <f>'[3]BUNKERS D'!F24</f>
        <v>40790</v>
      </c>
      <c r="G23" s="705" t="s">
        <v>361</v>
      </c>
      <c r="H23" s="717" t="str">
        <f>+'[3]BUNKERS D'!H24</f>
        <v>0600</v>
      </c>
    </row>
    <row r="24" spans="1:10" ht="12.75" customHeight="1">
      <c r="A24" s="718" t="s">
        <v>363</v>
      </c>
      <c r="B24" s="718" t="s">
        <v>364</v>
      </c>
      <c r="C24" s="718" t="s">
        <v>365</v>
      </c>
      <c r="D24" s="718" t="s">
        <v>366</v>
      </c>
      <c r="E24" s="718" t="s">
        <v>367</v>
      </c>
      <c r="F24" s="718" t="s">
        <v>368</v>
      </c>
      <c r="G24" s="718" t="s">
        <v>369</v>
      </c>
      <c r="H24" s="718" t="s">
        <v>370</v>
      </c>
      <c r="I24" s="719" t="s">
        <v>371</v>
      </c>
    </row>
    <row r="25" spans="1:10" ht="12.75" customHeight="1">
      <c r="A25" s="769" t="s">
        <v>386</v>
      </c>
      <c r="B25" s="753">
        <v>5.87</v>
      </c>
      <c r="C25" s="758">
        <v>438.35</v>
      </c>
      <c r="D25" s="753">
        <v>31</v>
      </c>
      <c r="E25" s="764">
        <v>0.97670000000000001</v>
      </c>
      <c r="F25" s="720">
        <f>IF(A25="","",[5]!T54A(E25,D25))</f>
        <v>0.98970000000000002</v>
      </c>
      <c r="G25" s="721">
        <f>IF(A25="","",+C25*F25)</f>
        <v>433.83499500000005</v>
      </c>
      <c r="H25" s="722">
        <f t="shared" ref="H25:H33" si="0">+G25*(E25-0.0011)</f>
        <v>423.24942112200006</v>
      </c>
      <c r="I25" s="723"/>
      <c r="J25" s="724"/>
    </row>
    <row r="26" spans="1:10" ht="12.75" customHeight="1">
      <c r="A26" s="769" t="s">
        <v>387</v>
      </c>
      <c r="B26" s="754">
        <v>2.46</v>
      </c>
      <c r="C26" s="759">
        <v>654.01</v>
      </c>
      <c r="D26" s="754">
        <v>46</v>
      </c>
      <c r="E26" s="765">
        <v>0.93240000000000001</v>
      </c>
      <c r="F26" s="720">
        <f>IF(A26="","",[5]!T54A(E26,D26))</f>
        <v>0.97800000000000009</v>
      </c>
      <c r="G26" s="721">
        <f t="shared" ref="G26:G33" si="1">IF(A26="","",+C26*F26)</f>
        <v>639.62178000000006</v>
      </c>
      <c r="H26" s="722">
        <f t="shared" si="0"/>
        <v>595.67976371400005</v>
      </c>
      <c r="I26" s="725"/>
      <c r="J26" s="724"/>
    </row>
    <row r="27" spans="1:10" ht="12.75" customHeight="1">
      <c r="A27" s="769" t="s">
        <v>388</v>
      </c>
      <c r="B27" s="754">
        <v>5.32</v>
      </c>
      <c r="C27" s="759">
        <v>413.10500000000002</v>
      </c>
      <c r="D27" s="754">
        <v>46</v>
      </c>
      <c r="E27" s="765">
        <v>0.93240000000000001</v>
      </c>
      <c r="F27" s="720">
        <f>IF(A27="","",[5]!T54A(E27,D27))</f>
        <v>0.97800000000000009</v>
      </c>
      <c r="G27" s="721">
        <f t="shared" si="1"/>
        <v>404.01669000000004</v>
      </c>
      <c r="H27" s="722">
        <f t="shared" si="0"/>
        <v>376.26074339700006</v>
      </c>
      <c r="I27" s="725"/>
      <c r="J27" s="724"/>
    </row>
    <row r="28" spans="1:10" ht="12.75" customHeight="1">
      <c r="A28" s="769" t="s">
        <v>389</v>
      </c>
      <c r="B28" s="754">
        <v>14.3</v>
      </c>
      <c r="C28" s="759">
        <v>2.4</v>
      </c>
      <c r="D28" s="754">
        <v>32</v>
      </c>
      <c r="E28" s="765">
        <v>0.95730000000000004</v>
      </c>
      <c r="F28" s="720">
        <f>IF(A28="","",[5]!T54A(E28,D28))</f>
        <v>0.98860000000000003</v>
      </c>
      <c r="G28" s="721">
        <f t="shared" si="1"/>
        <v>2.3726400000000001</v>
      </c>
      <c r="H28" s="722">
        <f t="shared" si="0"/>
        <v>2.268718368</v>
      </c>
      <c r="I28" s="725"/>
      <c r="J28" s="724"/>
    </row>
    <row r="29" spans="1:10" ht="12.75" customHeight="1">
      <c r="A29" s="769" t="s">
        <v>390</v>
      </c>
      <c r="B29" s="754">
        <v>1.31</v>
      </c>
      <c r="C29" s="759">
        <v>65.147000000000006</v>
      </c>
      <c r="D29" s="754">
        <v>90</v>
      </c>
      <c r="E29" s="765">
        <v>0.95730000000000004</v>
      </c>
      <c r="F29" s="720">
        <f>IF(A29="","",[5]!T54A(E29,D29))</f>
        <v>0.94910000000000005</v>
      </c>
      <c r="G29" s="721">
        <f t="shared" si="1"/>
        <v>61.831017700000011</v>
      </c>
      <c r="H29" s="722">
        <f t="shared" si="0"/>
        <v>59.122819124740012</v>
      </c>
      <c r="I29" s="725"/>
    </row>
    <row r="30" spans="1:10" ht="12.75" customHeight="1">
      <c r="A30" s="770" t="s">
        <v>391</v>
      </c>
      <c r="B30" s="754">
        <v>0.74</v>
      </c>
      <c r="C30" s="759">
        <v>68.805999999999997</v>
      </c>
      <c r="D30" s="754">
        <v>81</v>
      </c>
      <c r="E30" s="765">
        <v>0.95730000000000004</v>
      </c>
      <c r="F30" s="720">
        <f>IF(A30="","",[5]!T54A(E30,D30))</f>
        <v>0.95520000000000005</v>
      </c>
      <c r="G30" s="721">
        <f t="shared" si="1"/>
        <v>65.723491199999998</v>
      </c>
      <c r="H30" s="722">
        <f t="shared" si="0"/>
        <v>62.844802285440004</v>
      </c>
      <c r="I30" s="725"/>
    </row>
    <row r="31" spans="1:10" ht="12.75" customHeight="1">
      <c r="A31" s="769" t="s">
        <v>392</v>
      </c>
      <c r="B31" s="754">
        <v>1.0900000000000001</v>
      </c>
      <c r="C31" s="759">
        <v>67.426000000000002</v>
      </c>
      <c r="D31" s="754">
        <v>70</v>
      </c>
      <c r="E31" s="765">
        <v>0.98950000000000005</v>
      </c>
      <c r="F31" s="720">
        <f>IF(A31="","",[5]!T54A(E31,D31))</f>
        <v>0.96520000000000006</v>
      </c>
      <c r="G31" s="721">
        <f t="shared" si="1"/>
        <v>65.079575200000008</v>
      </c>
      <c r="H31" s="722">
        <f t="shared" si="0"/>
        <v>64.324652127680011</v>
      </c>
      <c r="I31" s="725"/>
    </row>
    <row r="32" spans="1:10" ht="12.75" customHeight="1">
      <c r="A32" s="770" t="s">
        <v>393</v>
      </c>
      <c r="B32" s="755">
        <v>2.27</v>
      </c>
      <c r="C32" s="759">
        <v>54.494999999999997</v>
      </c>
      <c r="D32" s="754">
        <v>88</v>
      </c>
      <c r="E32" s="765">
        <v>0.9647</v>
      </c>
      <c r="F32" s="720">
        <f>IF(A32="","",[5]!T54A(E32,D32))</f>
        <v>0.95120000000000005</v>
      </c>
      <c r="G32" s="721">
        <f t="shared" si="1"/>
        <v>51.835644000000002</v>
      </c>
      <c r="H32" s="722">
        <f t="shared" si="0"/>
        <v>49.9488265584</v>
      </c>
      <c r="I32" s="725"/>
    </row>
    <row r="33" spans="1:9" ht="12.75" customHeight="1">
      <c r="A33" s="770" t="s">
        <v>394</v>
      </c>
      <c r="B33" s="755">
        <v>0.4</v>
      </c>
      <c r="C33" s="759">
        <v>0.5</v>
      </c>
      <c r="D33" s="754">
        <v>100</v>
      </c>
      <c r="E33" s="765">
        <v>0.98860000000000003</v>
      </c>
      <c r="F33" s="720">
        <f>IF(A33="","",[5]!T54A(E33,D33))</f>
        <v>0.94580000000000009</v>
      </c>
      <c r="G33" s="721">
        <f t="shared" si="1"/>
        <v>0.47290000000000004</v>
      </c>
      <c r="H33" s="722">
        <f t="shared" si="0"/>
        <v>0.46698875000000006</v>
      </c>
      <c r="I33" s="725"/>
    </row>
    <row r="34" spans="1:9" ht="12.75" customHeight="1">
      <c r="A34" s="771"/>
      <c r="B34" s="756"/>
      <c r="C34" s="760"/>
      <c r="D34" s="762"/>
      <c r="E34" s="766"/>
      <c r="F34" s="720" t="str">
        <f>IF(A34="","",[5]!T54A(E34,D34))</f>
        <v/>
      </c>
      <c r="G34" s="721" t="str">
        <f>IF(A34="","",+C34*F34)</f>
        <v/>
      </c>
      <c r="H34" s="726"/>
      <c r="I34" s="727"/>
    </row>
    <row r="35" spans="1:9" ht="12.75" customHeight="1">
      <c r="A35" s="773"/>
      <c r="B35" s="757"/>
      <c r="C35" s="761"/>
      <c r="D35" s="763"/>
      <c r="E35" s="767"/>
      <c r="F35" s="728"/>
      <c r="G35" s="729"/>
      <c r="H35" s="729"/>
      <c r="I35" s="727"/>
    </row>
    <row r="36" spans="1:9" ht="12.75" customHeight="1">
      <c r="A36" s="692"/>
      <c r="B36" s="730" t="s">
        <v>324</v>
      </c>
      <c r="C36" s="731">
        <f>SUM(C25:C35)</f>
        <v>1764.239</v>
      </c>
      <c r="D36" s="1913"/>
      <c r="E36" s="1898"/>
      <c r="F36" s="1898"/>
      <c r="G36" s="731">
        <f>SUM(G25:G35)</f>
        <v>1724.7887330999999</v>
      </c>
      <c r="H36" s="731">
        <f t="shared" ref="H36" si="2">SUM(H25:H35)</f>
        <v>1634.1667354472602</v>
      </c>
      <c r="I36" s="732"/>
    </row>
    <row r="37" spans="1:9" ht="12.75" customHeight="1">
      <c r="A37" s="692"/>
      <c r="B37" s="700"/>
      <c r="C37" s="701"/>
      <c r="D37" s="733"/>
      <c r="E37" s="700"/>
      <c r="F37" s="700"/>
      <c r="G37" s="734"/>
      <c r="H37" s="701"/>
    </row>
    <row r="38" spans="1:9" ht="12.75" customHeight="1">
      <c r="A38" s="1897" t="s">
        <v>375</v>
      </c>
      <c r="B38" s="1898"/>
      <c r="C38" s="705" t="s">
        <v>376</v>
      </c>
      <c r="D38" s="735"/>
      <c r="E38" s="692" t="s">
        <v>303</v>
      </c>
      <c r="F38" s="705" t="s">
        <v>377</v>
      </c>
      <c r="G38" s="736"/>
      <c r="H38" s="692" t="s">
        <v>44</v>
      </c>
    </row>
    <row r="39" spans="1:9" ht="12.75" customHeight="1">
      <c r="A39" s="737"/>
      <c r="B39" s="737"/>
      <c r="C39" s="692"/>
      <c r="D39" s="692"/>
      <c r="E39" s="692"/>
      <c r="F39" s="692"/>
      <c r="G39" s="692"/>
      <c r="H39" s="692"/>
    </row>
    <row r="40" spans="1:9" ht="12.75" customHeight="1">
      <c r="A40" s="1899" t="s">
        <v>378</v>
      </c>
      <c r="B40" s="1900"/>
      <c r="C40" s="705" t="s">
        <v>379</v>
      </c>
      <c r="D40" s="715">
        <f>'[3]BUNKERS D'!D39</f>
        <v>3</v>
      </c>
      <c r="E40" s="705" t="s">
        <v>346</v>
      </c>
      <c r="F40" s="716" t="str">
        <f>'[3]BUNKERS D'!F39</f>
        <v>06/09/2011</v>
      </c>
      <c r="G40" s="705" t="s">
        <v>380</v>
      </c>
      <c r="H40" s="717" t="str">
        <f>'[3]BUNKERS D'!H39</f>
        <v>0200</v>
      </c>
    </row>
    <row r="41" spans="1:9" ht="12.75" customHeight="1">
      <c r="A41" s="703" t="s">
        <v>382</v>
      </c>
      <c r="B41" s="703" t="s">
        <v>364</v>
      </c>
      <c r="C41" s="703" t="s">
        <v>365</v>
      </c>
      <c r="D41" s="703" t="s">
        <v>366</v>
      </c>
      <c r="E41" s="703" t="s">
        <v>367</v>
      </c>
      <c r="F41" s="703" t="s">
        <v>368</v>
      </c>
      <c r="G41" s="703" t="s">
        <v>369</v>
      </c>
      <c r="H41" s="703" t="s">
        <v>370</v>
      </c>
      <c r="I41" s="719" t="s">
        <v>371</v>
      </c>
    </row>
    <row r="42" spans="1:9" ht="12.75" customHeight="1">
      <c r="A42" s="769" t="s">
        <v>386</v>
      </c>
      <c r="B42" s="753">
        <v>5.87</v>
      </c>
      <c r="C42" s="758">
        <v>438.35</v>
      </c>
      <c r="D42" s="753">
        <v>29</v>
      </c>
      <c r="E42" s="764">
        <v>0.97670000000000001</v>
      </c>
      <c r="F42" s="720">
        <f>(IF(A42="","",[5]!T54A(E42,D42)))</f>
        <v>0.9910000000000001</v>
      </c>
      <c r="G42" s="721">
        <f>IF(A42="","",+C42*F42)</f>
        <v>434.40485000000007</v>
      </c>
      <c r="H42" s="722">
        <f t="shared" ref="H42:H50" si="3">+G42*(E42-0.0011)</f>
        <v>423.80537166000005</v>
      </c>
      <c r="I42" s="723"/>
    </row>
    <row r="43" spans="1:9" ht="12.75" customHeight="1">
      <c r="A43" s="769" t="s">
        <v>387</v>
      </c>
      <c r="B43" s="754">
        <v>2.46</v>
      </c>
      <c r="C43" s="759">
        <v>654.01</v>
      </c>
      <c r="D43" s="754">
        <v>46</v>
      </c>
      <c r="E43" s="765">
        <v>0.93240000000000001</v>
      </c>
      <c r="F43" s="720">
        <f>(IF(A43="","",[5]!T54A(E43,D43)))</f>
        <v>0.97800000000000009</v>
      </c>
      <c r="G43" s="721">
        <f t="shared" ref="G43:G51" si="4">IF(A43="","",+C43*F43)</f>
        <v>639.62178000000006</v>
      </c>
      <c r="H43" s="722">
        <f t="shared" si="3"/>
        <v>595.67976371400005</v>
      </c>
      <c r="I43" s="725"/>
    </row>
    <row r="44" spans="1:9" ht="12.75" customHeight="1">
      <c r="A44" s="769" t="s">
        <v>388</v>
      </c>
      <c r="B44" s="754">
        <v>6.3</v>
      </c>
      <c r="C44" s="759">
        <v>335.08499999999998</v>
      </c>
      <c r="D44" s="754">
        <v>46</v>
      </c>
      <c r="E44" s="765">
        <v>0.93240000000000001</v>
      </c>
      <c r="F44" s="720">
        <f>(IF(A44="","",[5]!T54A(E44,D44)))</f>
        <v>0.97800000000000009</v>
      </c>
      <c r="G44" s="721">
        <f t="shared" si="4"/>
        <v>327.71313000000004</v>
      </c>
      <c r="H44" s="722">
        <f t="shared" si="3"/>
        <v>305.19923796900002</v>
      </c>
      <c r="I44" s="725"/>
    </row>
    <row r="45" spans="1:9" ht="12.75" customHeight="1">
      <c r="A45" s="769" t="s">
        <v>389</v>
      </c>
      <c r="B45" s="754">
        <v>14.3</v>
      </c>
      <c r="C45" s="759">
        <v>2.4</v>
      </c>
      <c r="D45" s="754">
        <v>32</v>
      </c>
      <c r="E45" s="765">
        <v>0.95730000000000004</v>
      </c>
      <c r="F45" s="720">
        <f>(IF(A45="","",[5]!T54A(E45,D45)))</f>
        <v>0.98860000000000003</v>
      </c>
      <c r="G45" s="721">
        <f t="shared" si="4"/>
        <v>2.3726400000000001</v>
      </c>
      <c r="H45" s="722">
        <f t="shared" si="3"/>
        <v>2.268718368</v>
      </c>
      <c r="I45" s="725"/>
    </row>
    <row r="46" spans="1:9" ht="12.75" customHeight="1">
      <c r="A46" s="769" t="s">
        <v>390</v>
      </c>
      <c r="B46" s="754">
        <v>1.31</v>
      </c>
      <c r="C46" s="759">
        <v>65.147000000000006</v>
      </c>
      <c r="D46" s="754">
        <v>90</v>
      </c>
      <c r="E46" s="765">
        <v>0.95730000000000004</v>
      </c>
      <c r="F46" s="720">
        <f>(IF(A46="","",[5]!T54A(E46,D46)))</f>
        <v>0.94910000000000005</v>
      </c>
      <c r="G46" s="721">
        <f t="shared" si="4"/>
        <v>61.831017700000011</v>
      </c>
      <c r="H46" s="722">
        <f t="shared" si="3"/>
        <v>59.122819124740012</v>
      </c>
      <c r="I46" s="725"/>
    </row>
    <row r="47" spans="1:9" ht="12.75" customHeight="1">
      <c r="A47" s="770" t="s">
        <v>391</v>
      </c>
      <c r="B47" s="754">
        <v>0.74</v>
      </c>
      <c r="C47" s="759">
        <v>68.805999999999997</v>
      </c>
      <c r="D47" s="754">
        <v>81</v>
      </c>
      <c r="E47" s="765">
        <v>0.95730000000000004</v>
      </c>
      <c r="F47" s="720">
        <f>(IF(A47="","",[5]!T54A(E47,D47)))</f>
        <v>0.95520000000000005</v>
      </c>
      <c r="G47" s="721">
        <f t="shared" si="4"/>
        <v>65.723491199999998</v>
      </c>
      <c r="H47" s="722">
        <f t="shared" si="3"/>
        <v>62.844802285440004</v>
      </c>
      <c r="I47" s="725"/>
    </row>
    <row r="48" spans="1:9" ht="12.75" customHeight="1">
      <c r="A48" s="769" t="s">
        <v>392</v>
      </c>
      <c r="B48" s="754">
        <v>1.0900000000000001</v>
      </c>
      <c r="C48" s="759">
        <v>67.426000000000002</v>
      </c>
      <c r="D48" s="754">
        <v>70</v>
      </c>
      <c r="E48" s="765">
        <v>0.98950000000000005</v>
      </c>
      <c r="F48" s="720">
        <f>(IF(A48="","",[5]!T54A(E48,D48)))</f>
        <v>0.96520000000000006</v>
      </c>
      <c r="G48" s="721">
        <f t="shared" si="4"/>
        <v>65.079575200000008</v>
      </c>
      <c r="H48" s="722">
        <f t="shared" si="3"/>
        <v>64.324652127680011</v>
      </c>
      <c r="I48" s="725"/>
    </row>
    <row r="49" spans="1:10" ht="12.75" customHeight="1">
      <c r="A49" s="770" t="s">
        <v>393</v>
      </c>
      <c r="B49" s="755">
        <v>2.27</v>
      </c>
      <c r="C49" s="759">
        <v>54.494999999999997</v>
      </c>
      <c r="D49" s="754">
        <v>88</v>
      </c>
      <c r="E49" s="765">
        <v>0.9647</v>
      </c>
      <c r="F49" s="720">
        <f>(IF(A49="","",[5]!T54A(E49,D49)))</f>
        <v>0.95120000000000005</v>
      </c>
      <c r="G49" s="721">
        <f t="shared" si="4"/>
        <v>51.835644000000002</v>
      </c>
      <c r="H49" s="722">
        <f t="shared" si="3"/>
        <v>49.9488265584</v>
      </c>
      <c r="I49" s="725"/>
    </row>
    <row r="50" spans="1:10" ht="12.75" customHeight="1">
      <c r="A50" s="770" t="s">
        <v>394</v>
      </c>
      <c r="B50" s="755">
        <v>0.4</v>
      </c>
      <c r="C50" s="759">
        <v>0.5</v>
      </c>
      <c r="D50" s="754">
        <v>100</v>
      </c>
      <c r="E50" s="765">
        <v>0.98860000000000003</v>
      </c>
      <c r="F50" s="720">
        <f>(IF(A50="","",[5]!T54A(E50,D50)))</f>
        <v>0.94580000000000009</v>
      </c>
      <c r="G50" s="721">
        <f t="shared" si="4"/>
        <v>0.47290000000000004</v>
      </c>
      <c r="H50" s="722">
        <f t="shared" si="3"/>
        <v>0.46698875000000006</v>
      </c>
      <c r="I50" s="725"/>
    </row>
    <row r="51" spans="1:10" ht="12.75" customHeight="1">
      <c r="A51" s="771"/>
      <c r="B51" s="756"/>
      <c r="C51" s="760"/>
      <c r="D51" s="762"/>
      <c r="E51" s="766"/>
      <c r="F51" s="720" t="str">
        <f>(IF(A51="","",[5]!T54A(E51,D51)))</f>
        <v/>
      </c>
      <c r="G51" s="721" t="str">
        <f t="shared" si="4"/>
        <v/>
      </c>
      <c r="H51" s="726"/>
      <c r="I51" s="725"/>
    </row>
    <row r="52" spans="1:10" ht="12.75" customHeight="1">
      <c r="A52" s="772"/>
      <c r="B52" s="768"/>
      <c r="C52" s="774"/>
      <c r="D52" s="754"/>
      <c r="E52" s="765"/>
      <c r="F52" s="720" t="str">
        <f>(IF(A52="","",[5]!T54A(E52,D52)))</f>
        <v/>
      </c>
      <c r="G52" s="722"/>
      <c r="H52" s="722"/>
      <c r="I52" s="725"/>
    </row>
    <row r="53" spans="1:10" ht="12.75" customHeight="1">
      <c r="A53" s="692"/>
      <c r="B53" s="730" t="s">
        <v>324</v>
      </c>
      <c r="C53" s="731">
        <f>SUM(C42:C52)</f>
        <v>1686.2190000000001</v>
      </c>
      <c r="D53" s="1901"/>
      <c r="E53" s="1898"/>
      <c r="F53" s="1898"/>
      <c r="G53" s="731">
        <f t="shared" ref="G53:H53" si="5">SUM(G42:G52)</f>
        <v>1649.0550281000001</v>
      </c>
      <c r="H53" s="731">
        <f t="shared" si="5"/>
        <v>1563.6611805572602</v>
      </c>
      <c r="I53" s="732"/>
    </row>
    <row r="54" spans="1:10" ht="12.75" customHeight="1">
      <c r="A54" s="692"/>
      <c r="B54" s="692"/>
      <c r="C54" s="692"/>
      <c r="D54" s="692"/>
      <c r="E54" s="692"/>
      <c r="F54" s="692"/>
      <c r="G54" s="692"/>
      <c r="H54" s="692"/>
    </row>
    <row r="55" spans="1:10" ht="12.75" customHeight="1">
      <c r="A55" s="692"/>
      <c r="B55" s="692"/>
      <c r="C55" s="692"/>
      <c r="D55" s="692"/>
      <c r="E55" s="1902" t="s">
        <v>383</v>
      </c>
      <c r="F55" s="1903"/>
      <c r="G55" s="738">
        <f t="shared" ref="G55:H55" si="6">+G36-G53</f>
        <v>75.733704999999873</v>
      </c>
      <c r="H55" s="739">
        <f t="shared" si="6"/>
        <v>70.505554889999985</v>
      </c>
    </row>
    <row r="56" spans="1:10" ht="12.75" customHeight="1">
      <c r="D56" s="707"/>
    </row>
    <row r="57" spans="1:10" ht="12.75" customHeight="1">
      <c r="A57" s="740" t="s">
        <v>332</v>
      </c>
      <c r="E57" s="707"/>
      <c r="F57" s="740" t="s">
        <v>332</v>
      </c>
      <c r="G57" s="707"/>
    </row>
    <row r="58" spans="1:10" ht="12.75" customHeight="1">
      <c r="A58" s="740" t="s">
        <v>333</v>
      </c>
      <c r="B58" s="741"/>
      <c r="C58" s="741"/>
      <c r="D58" s="741"/>
      <c r="E58" s="707"/>
      <c r="F58" s="740" t="s">
        <v>333</v>
      </c>
      <c r="G58" s="1904"/>
      <c r="H58" s="1905"/>
      <c r="I58" s="1905"/>
    </row>
    <row r="59" spans="1:10" ht="12.75" customHeight="1">
      <c r="A59" s="742" t="s">
        <v>334</v>
      </c>
      <c r="B59" s="741"/>
      <c r="C59" s="741"/>
      <c r="D59" s="741"/>
      <c r="E59" s="707"/>
      <c r="F59" s="742" t="s">
        <v>334</v>
      </c>
      <c r="G59" s="1906" t="s">
        <v>638</v>
      </c>
      <c r="H59" s="1905"/>
      <c r="I59" s="1905"/>
    </row>
    <row r="60" spans="1:10" ht="12.75" customHeight="1"/>
    <row r="61" spans="1:10" ht="12.75" customHeight="1"/>
    <row r="62" spans="1:10" ht="13.5" customHeight="1">
      <c r="A62" s="1193"/>
      <c r="B62" s="1194"/>
      <c r="C62" s="1194"/>
      <c r="D62" s="1194"/>
      <c r="E62" s="1194"/>
      <c r="F62" s="1194"/>
      <c r="G62" s="1194"/>
      <c r="H62" s="1194"/>
      <c r="I62" s="1194"/>
      <c r="J62" s="1195"/>
    </row>
    <row r="63" spans="1:10" ht="19.5" customHeight="1">
      <c r="B63" s="745"/>
      <c r="C63" s="742"/>
      <c r="D63" s="742"/>
      <c r="E63" s="742"/>
      <c r="F63" s="742"/>
      <c r="G63" s="742"/>
      <c r="H63" s="742"/>
    </row>
    <row r="64" spans="1:10" ht="6.75" customHeight="1"/>
    <row r="65" spans="2:7" ht="12.75" customHeight="1">
      <c r="B65" s="746"/>
      <c r="C65" s="747"/>
      <c r="D65" s="747"/>
      <c r="G65" s="746"/>
    </row>
    <row r="66" spans="2:7" ht="12.75" customHeight="1"/>
    <row r="67" spans="2:7" ht="12.75" customHeight="1"/>
    <row r="68" spans="2:7" ht="12.75" customHeight="1"/>
    <row r="69" spans="2:7" ht="12.75" customHeight="1"/>
    <row r="70" spans="2:7" ht="12.75" customHeight="1"/>
    <row r="71" spans="2:7" ht="12.75" customHeight="1"/>
    <row r="72" spans="2:7" ht="12.75" customHeight="1"/>
    <row r="73" spans="2:7" ht="12.75" customHeight="1"/>
    <row r="74" spans="2:7" ht="12.75" customHeight="1"/>
    <row r="75" spans="2:7" ht="12.75" customHeight="1"/>
    <row r="76" spans="2:7" ht="12.75" customHeight="1"/>
    <row r="77" spans="2:7" ht="12.75" customHeight="1"/>
    <row r="78" spans="2:7" ht="12.75" customHeight="1"/>
    <row r="79" spans="2:7" ht="12.75" customHeight="1"/>
    <row r="80" spans="2:7"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hnQ4iwLWQX6j0bwYpR6Hq3wZI3bv+eEu+BGCa4QloGVm/c/wbx+YXuOkAMEUoG+k3VFEExozjsCZrioFTwFkdA==" saltValue="zhnKGfm1pLJgGW74//GKAw==" spinCount="100000" sheet="1" objects="1" scenarios="1"/>
  <mergeCells count="23">
    <mergeCell ref="G1:I1"/>
    <mergeCell ref="G2:I2"/>
    <mergeCell ref="G3:I3"/>
    <mergeCell ref="G4:I4"/>
    <mergeCell ref="G5:I5"/>
    <mergeCell ref="A23:B23"/>
    <mergeCell ref="D36:F36"/>
    <mergeCell ref="D8:E8"/>
    <mergeCell ref="A10:B10"/>
    <mergeCell ref="E10:F10"/>
    <mergeCell ref="E11:F11"/>
    <mergeCell ref="A13:B13"/>
    <mergeCell ref="D13:E13"/>
    <mergeCell ref="G59:I59"/>
    <mergeCell ref="D14:F14"/>
    <mergeCell ref="C16:D16"/>
    <mergeCell ref="E18:F18"/>
    <mergeCell ref="E19:F19"/>
    <mergeCell ref="A38:B38"/>
    <mergeCell ref="A40:B40"/>
    <mergeCell ref="D53:F53"/>
    <mergeCell ref="E55:F55"/>
    <mergeCell ref="G58:I58"/>
  </mergeCells>
  <pageMargins left="0.7" right="0.7" top="0.75" bottom="0.75" header="0.3" footer="0.3"/>
  <pageSetup paperSize="9" scale="79" orientation="portrait" r:id="rId1"/>
  <rowBreaks count="1" manualBreakCount="1">
    <brk id="67" max="9" man="1"/>
  </rowBreaks>
  <colBreaks count="1" manualBreakCount="1">
    <brk id="10"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FC519-58AB-41CB-8DA3-3553A1597506}">
  <sheetPr codeName="Feuil4"/>
  <dimension ref="A1:K1000"/>
  <sheetViews>
    <sheetView showRowColHeaders="0" workbookViewId="0">
      <selection activeCell="E16" sqref="E16"/>
    </sheetView>
  </sheetViews>
  <sheetFormatPr baseColWidth="10" defaultColWidth="12.6328125" defaultRowHeight="15" customHeight="1"/>
  <cols>
    <col min="1" max="1" width="3.6328125" style="497" customWidth="1"/>
    <col min="2" max="6" width="11.08984375" style="497" customWidth="1"/>
    <col min="7" max="8" width="10.7265625" style="497" customWidth="1"/>
    <col min="9" max="9" width="4.26953125" style="497" customWidth="1"/>
    <col min="10" max="10" width="9" style="497" customWidth="1"/>
    <col min="11" max="11" width="3.7265625" style="497" customWidth="1"/>
    <col min="12" max="26" width="10" style="497" customWidth="1"/>
    <col min="27" max="16384" width="12.6328125" style="497"/>
  </cols>
  <sheetData>
    <row r="1" spans="1:11" ht="12.75" customHeight="1"/>
    <row r="2" spans="1:11" ht="15" customHeight="1">
      <c r="A2" s="692"/>
      <c r="B2" s="692"/>
      <c r="C2" s="692"/>
      <c r="D2" s="692"/>
      <c r="E2" s="692"/>
      <c r="G2" s="850" t="s">
        <v>271</v>
      </c>
      <c r="H2" s="673"/>
      <c r="I2" s="864"/>
      <c r="J2" s="689"/>
      <c r="K2" s="865"/>
    </row>
    <row r="3" spans="1:11" ht="15" customHeight="1">
      <c r="A3" s="692"/>
      <c r="B3" s="692"/>
      <c r="C3" s="692"/>
      <c r="D3" s="692"/>
      <c r="E3" s="692"/>
      <c r="G3" s="850" t="s">
        <v>272</v>
      </c>
      <c r="H3" s="1933"/>
      <c r="I3" s="1925"/>
      <c r="J3" s="1925"/>
      <c r="K3" s="1916"/>
    </row>
    <row r="4" spans="1:11" ht="15" customHeight="1">
      <c r="A4" s="692"/>
      <c r="B4" s="692"/>
      <c r="C4" s="692"/>
      <c r="D4" s="692"/>
      <c r="E4" s="692"/>
      <c r="G4" s="850" t="s">
        <v>39</v>
      </c>
      <c r="H4" s="1933"/>
      <c r="I4" s="1925"/>
      <c r="J4" s="1925"/>
      <c r="K4" s="1916"/>
    </row>
    <row r="5" spans="1:11" ht="15" customHeight="1">
      <c r="A5" s="692"/>
      <c r="B5" s="692"/>
      <c r="C5" s="692"/>
      <c r="D5" s="692"/>
      <c r="E5" s="692"/>
      <c r="G5" s="850" t="s">
        <v>273</v>
      </c>
      <c r="H5" s="1934"/>
      <c r="I5" s="1925"/>
      <c r="J5" s="1925"/>
      <c r="K5" s="1916"/>
    </row>
    <row r="6" spans="1:11" ht="15" customHeight="1">
      <c r="A6" s="854"/>
      <c r="B6" s="854"/>
      <c r="C6" s="854"/>
      <c r="D6" s="854"/>
      <c r="E6" s="700"/>
      <c r="G6" s="850" t="s">
        <v>37</v>
      </c>
      <c r="H6" s="1933" t="str">
        <f>+[3]ULL!I6</f>
        <v>KIRKUK C.O</v>
      </c>
      <c r="I6" s="1925"/>
      <c r="J6" s="1925"/>
      <c r="K6" s="1916"/>
    </row>
    <row r="7" spans="1:11" ht="12.75" customHeight="1"/>
    <row r="8" spans="1:11" ht="15.75" customHeight="1">
      <c r="D8" s="1935" t="s">
        <v>395</v>
      </c>
      <c r="E8" s="1898"/>
      <c r="F8" s="1898"/>
      <c r="G8" s="1898"/>
    </row>
    <row r="9" spans="1:11" ht="10.5" customHeight="1"/>
    <row r="10" spans="1:11" ht="13.5" customHeight="1">
      <c r="A10" s="866"/>
      <c r="B10" s="867" t="s">
        <v>396</v>
      </c>
      <c r="C10" s="868"/>
      <c r="D10" s="867" t="s">
        <v>397</v>
      </c>
      <c r="E10" s="868"/>
      <c r="F10" s="867" t="s">
        <v>398</v>
      </c>
      <c r="G10" s="869"/>
      <c r="H10" s="869"/>
      <c r="I10" s="869"/>
      <c r="J10" s="868"/>
      <c r="K10" s="870"/>
    </row>
    <row r="11" spans="1:11" ht="13.5" customHeight="1">
      <c r="A11" s="679"/>
      <c r="B11" s="871" t="s">
        <v>399</v>
      </c>
      <c r="C11" s="867"/>
      <c r="D11" s="867" t="s">
        <v>400</v>
      </c>
      <c r="E11" s="869"/>
      <c r="F11" s="869"/>
      <c r="G11" s="869"/>
      <c r="H11" s="869"/>
      <c r="I11" s="869"/>
      <c r="J11" s="868"/>
      <c r="K11" s="870"/>
    </row>
    <row r="12" spans="1:11" ht="13.5" customHeight="1">
      <c r="A12" s="679"/>
      <c r="B12" s="872"/>
      <c r="C12" s="869"/>
      <c r="D12" s="869"/>
      <c r="E12" s="869"/>
      <c r="F12" s="869"/>
      <c r="G12" s="869"/>
      <c r="H12" s="869"/>
      <c r="I12" s="869"/>
      <c r="J12" s="868"/>
      <c r="K12" s="870"/>
    </row>
    <row r="13" spans="1:11" ht="13.5" customHeight="1">
      <c r="A13" s="679"/>
      <c r="B13" s="871" t="s">
        <v>401</v>
      </c>
      <c r="C13" s="869"/>
      <c r="D13" s="869"/>
      <c r="E13" s="869"/>
      <c r="F13" s="867">
        <f>+H3</f>
        <v>0</v>
      </c>
      <c r="G13" s="869"/>
      <c r="H13" s="869"/>
      <c r="I13" s="869"/>
      <c r="J13" s="868"/>
      <c r="K13" s="870"/>
    </row>
    <row r="14" spans="1:11" ht="13.5" customHeight="1">
      <c r="A14" s="679"/>
      <c r="B14" s="873"/>
      <c r="C14" s="869"/>
      <c r="D14" s="869"/>
      <c r="E14" s="869"/>
      <c r="F14" s="869"/>
      <c r="G14" s="869"/>
      <c r="H14" s="869"/>
      <c r="I14" s="869"/>
      <c r="J14" s="868"/>
      <c r="K14" s="870"/>
    </row>
    <row r="15" spans="1:11" ht="13.5" customHeight="1">
      <c r="A15" s="679"/>
      <c r="B15" s="874" t="s">
        <v>402</v>
      </c>
      <c r="C15" s="869"/>
      <c r="D15" s="869"/>
      <c r="E15" s="869"/>
      <c r="F15" s="869"/>
      <c r="G15" s="869"/>
      <c r="H15" s="869"/>
      <c r="I15" s="869"/>
      <c r="J15" s="868"/>
      <c r="K15" s="870"/>
    </row>
    <row r="16" spans="1:11" ht="13.5" customHeight="1">
      <c r="A16" s="681"/>
      <c r="B16" s="874"/>
      <c r="C16" s="875"/>
      <c r="D16" s="875"/>
      <c r="E16" s="875"/>
      <c r="F16" s="875"/>
      <c r="G16" s="875"/>
      <c r="H16" s="875"/>
      <c r="I16" s="875"/>
      <c r="J16" s="868"/>
      <c r="K16" s="870"/>
    </row>
    <row r="17" spans="1:11" ht="13.5" customHeight="1">
      <c r="A17" s="681"/>
      <c r="B17" s="874" t="s">
        <v>523</v>
      </c>
      <c r="C17" s="875"/>
      <c r="D17" s="875"/>
      <c r="E17" s="875"/>
      <c r="F17" s="875"/>
      <c r="G17" s="875"/>
      <c r="H17" s="875"/>
      <c r="I17" s="875"/>
      <c r="J17" s="868"/>
      <c r="K17" s="870"/>
    </row>
    <row r="18" spans="1:11" ht="13.5" customHeight="1">
      <c r="A18" s="681"/>
      <c r="B18" s="874" t="s">
        <v>403</v>
      </c>
      <c r="C18" s="875"/>
      <c r="D18" s="875"/>
      <c r="E18" s="875"/>
      <c r="F18" s="875"/>
      <c r="G18" s="875"/>
      <c r="H18" s="875"/>
      <c r="I18" s="875"/>
      <c r="J18" s="868"/>
      <c r="K18" s="870"/>
    </row>
    <row r="19" spans="1:11" ht="13.5" customHeight="1">
      <c r="A19" s="681"/>
      <c r="B19" s="676"/>
      <c r="C19" s="676"/>
      <c r="D19" s="676"/>
      <c r="E19" s="676"/>
      <c r="F19" s="676"/>
      <c r="G19" s="676"/>
      <c r="H19" s="676"/>
      <c r="I19" s="676"/>
      <c r="J19" s="683"/>
      <c r="K19" s="678"/>
    </row>
    <row r="20" spans="1:11" ht="13.5" customHeight="1">
      <c r="A20" s="681"/>
      <c r="B20" s="680"/>
      <c r="C20" s="676"/>
      <c r="D20" s="676"/>
      <c r="E20" s="676"/>
      <c r="F20" s="676"/>
      <c r="G20" s="676"/>
      <c r="H20" s="676"/>
      <c r="I20" s="676"/>
      <c r="J20" s="683"/>
      <c r="K20" s="678"/>
    </row>
    <row r="21" spans="1:11" ht="13.5" customHeight="1">
      <c r="A21" s="674"/>
      <c r="B21" s="1930" t="s">
        <v>404</v>
      </c>
      <c r="C21" s="1925"/>
      <c r="D21" s="1925"/>
      <c r="E21" s="1925"/>
      <c r="F21" s="1925"/>
      <c r="G21" s="1925"/>
      <c r="H21" s="1925"/>
      <c r="I21" s="1925"/>
      <c r="J21" s="1925"/>
      <c r="K21" s="1916"/>
    </row>
    <row r="22" spans="1:11" ht="13.5" customHeight="1">
      <c r="A22" s="679"/>
      <c r="B22" s="680"/>
      <c r="C22" s="676"/>
      <c r="D22" s="676"/>
      <c r="E22" s="676"/>
      <c r="F22" s="676"/>
      <c r="G22" s="676"/>
      <c r="H22" s="676"/>
      <c r="I22" s="676"/>
      <c r="J22" s="683"/>
      <c r="K22" s="678"/>
    </row>
    <row r="23" spans="1:11" ht="13.5" customHeight="1">
      <c r="A23" s="679"/>
      <c r="B23" s="680"/>
      <c r="C23" s="676"/>
      <c r="D23" s="676"/>
      <c r="E23" s="1930"/>
      <c r="F23" s="1925"/>
      <c r="G23" s="676"/>
      <c r="H23" s="1931"/>
      <c r="I23" s="1925"/>
      <c r="J23" s="1925"/>
      <c r="K23" s="678"/>
    </row>
    <row r="24" spans="1:11" ht="13.5" customHeight="1">
      <c r="A24" s="679"/>
      <c r="B24" s="680"/>
      <c r="C24" s="676"/>
      <c r="D24" s="676"/>
      <c r="E24" s="676"/>
      <c r="F24" s="676"/>
      <c r="G24" s="676"/>
      <c r="H24" s="676"/>
      <c r="I24" s="676"/>
      <c r="J24" s="683"/>
      <c r="K24" s="678"/>
    </row>
    <row r="25" spans="1:11" ht="13.5" customHeight="1">
      <c r="A25" s="674"/>
      <c r="B25" s="676" t="s">
        <v>405</v>
      </c>
      <c r="C25" s="676"/>
      <c r="D25" s="1926">
        <v>951345</v>
      </c>
      <c r="E25" s="1925"/>
      <c r="F25" s="677" t="s">
        <v>406</v>
      </c>
      <c r="G25" s="676"/>
      <c r="H25" s="1932"/>
      <c r="I25" s="1925"/>
      <c r="J25" s="677"/>
      <c r="K25" s="678"/>
    </row>
    <row r="26" spans="1:11" ht="13.5" customHeight="1">
      <c r="A26" s="679"/>
      <c r="B26" s="680"/>
      <c r="C26" s="676"/>
      <c r="D26" s="876"/>
      <c r="E26" s="877"/>
      <c r="F26" s="878"/>
      <c r="G26" s="676"/>
      <c r="H26" s="688"/>
      <c r="I26" s="676"/>
      <c r="J26" s="878"/>
      <c r="K26" s="678"/>
    </row>
    <row r="27" spans="1:11" ht="13.5" customHeight="1">
      <c r="A27" s="679"/>
      <c r="B27" s="680" t="s">
        <v>407</v>
      </c>
      <c r="C27" s="675"/>
      <c r="D27" s="1924">
        <f>+[3]ULL!D47</f>
        <v>950438</v>
      </c>
      <c r="E27" s="1925"/>
      <c r="F27" s="677" t="s">
        <v>406</v>
      </c>
      <c r="G27" s="675"/>
      <c r="H27" s="1931"/>
      <c r="I27" s="1925"/>
      <c r="J27" s="677"/>
      <c r="K27" s="678"/>
    </row>
    <row r="28" spans="1:11" ht="13.5" customHeight="1">
      <c r="A28" s="681"/>
      <c r="B28" s="680"/>
      <c r="C28" s="676"/>
      <c r="D28" s="876"/>
      <c r="E28" s="877"/>
      <c r="F28" s="878"/>
      <c r="G28" s="677"/>
      <c r="H28" s="688"/>
      <c r="I28" s="676"/>
      <c r="J28" s="878"/>
      <c r="K28" s="678"/>
    </row>
    <row r="29" spans="1:11" ht="13.5" customHeight="1">
      <c r="A29" s="681"/>
      <c r="B29" s="676" t="s">
        <v>408</v>
      </c>
      <c r="C29" s="676"/>
      <c r="D29" s="1924">
        <f>+D27-D25</f>
        <v>-907</v>
      </c>
      <c r="E29" s="1925"/>
      <c r="F29" s="677" t="s">
        <v>406</v>
      </c>
      <c r="G29" s="675"/>
      <c r="H29" s="1926"/>
      <c r="I29" s="1925"/>
      <c r="J29" s="677"/>
      <c r="K29" s="678"/>
    </row>
    <row r="30" spans="1:11" ht="13.5" customHeight="1">
      <c r="A30" s="681"/>
      <c r="B30" s="680"/>
      <c r="C30" s="676"/>
      <c r="D30" s="676"/>
      <c r="E30" s="878"/>
      <c r="F30" s="878"/>
      <c r="G30" s="677"/>
      <c r="H30" s="676"/>
      <c r="I30" s="878"/>
      <c r="J30" s="689"/>
      <c r="K30" s="678"/>
    </row>
    <row r="31" spans="1:11" ht="13.5" customHeight="1">
      <c r="A31" s="681"/>
      <c r="B31" s="680" t="s">
        <v>409</v>
      </c>
      <c r="C31" s="676"/>
      <c r="D31" s="1926">
        <f>D29/D25*100</f>
        <v>-9.533870467601134E-2</v>
      </c>
      <c r="E31" s="1925"/>
      <c r="F31" s="682" t="s">
        <v>410</v>
      </c>
      <c r="G31" s="675"/>
      <c r="H31" s="1926"/>
      <c r="I31" s="1925"/>
      <c r="J31" s="683"/>
      <c r="K31" s="678"/>
    </row>
    <row r="32" spans="1:11" ht="13.5" customHeight="1">
      <c r="A32" s="681"/>
      <c r="B32" s="680"/>
      <c r="C32" s="676"/>
      <c r="D32" s="675"/>
      <c r="E32" s="675"/>
      <c r="F32" s="675"/>
      <c r="G32" s="684"/>
      <c r="H32" s="685"/>
      <c r="I32" s="676"/>
      <c r="J32" s="683"/>
      <c r="K32" s="678"/>
    </row>
    <row r="33" spans="1:11" ht="13.5" customHeight="1">
      <c r="A33" s="681"/>
      <c r="B33" s="680"/>
      <c r="C33" s="676"/>
      <c r="D33" s="676"/>
      <c r="E33" s="686"/>
      <c r="F33" s="676"/>
      <c r="G33" s="676"/>
      <c r="H33" s="676"/>
      <c r="I33" s="676"/>
      <c r="J33" s="683"/>
      <c r="K33" s="678"/>
    </row>
    <row r="34" spans="1:11" ht="13.5" customHeight="1">
      <c r="A34" s="687"/>
      <c r="B34" s="676"/>
      <c r="C34" s="676"/>
      <c r="D34" s="676"/>
      <c r="E34" s="675"/>
      <c r="F34" s="675"/>
      <c r="G34" s="676"/>
      <c r="H34" s="676"/>
      <c r="I34" s="676"/>
      <c r="J34" s="683"/>
      <c r="K34" s="678"/>
    </row>
    <row r="35" spans="1:11" ht="13.5" customHeight="1">
      <c r="A35" s="687"/>
      <c r="B35" s="676"/>
      <c r="C35" s="676"/>
      <c r="D35" s="676"/>
      <c r="E35" s="676"/>
      <c r="F35" s="676"/>
      <c r="G35" s="676"/>
      <c r="H35" s="676"/>
      <c r="I35" s="676"/>
      <c r="J35" s="683"/>
      <c r="K35" s="678"/>
    </row>
    <row r="36" spans="1:11" ht="13.5" customHeight="1">
      <c r="A36" s="674"/>
      <c r="B36" s="676"/>
      <c r="C36" s="676"/>
      <c r="D36" s="676"/>
      <c r="E36" s="676"/>
      <c r="F36" s="676"/>
      <c r="G36" s="676"/>
      <c r="H36" s="676"/>
      <c r="I36" s="676"/>
      <c r="J36" s="683"/>
      <c r="K36" s="678"/>
    </row>
    <row r="37" spans="1:11" ht="13.5" customHeight="1">
      <c r="A37" s="681"/>
      <c r="B37" s="680"/>
      <c r="C37" s="676"/>
      <c r="D37" s="676"/>
      <c r="E37" s="688"/>
      <c r="F37" s="676"/>
      <c r="G37" s="676"/>
      <c r="H37" s="676"/>
      <c r="I37" s="676"/>
      <c r="J37" s="683"/>
      <c r="K37" s="678"/>
    </row>
    <row r="38" spans="1:11" ht="13.5" customHeight="1">
      <c r="A38" s="681"/>
      <c r="B38" s="680"/>
      <c r="C38" s="676"/>
      <c r="D38" s="676"/>
      <c r="E38" s="688"/>
      <c r="F38" s="676"/>
      <c r="G38" s="676"/>
      <c r="H38" s="676"/>
      <c r="I38" s="676"/>
      <c r="J38" s="683"/>
      <c r="K38" s="678"/>
    </row>
    <row r="39" spans="1:11" ht="13.5" customHeight="1">
      <c r="A39" s="681"/>
      <c r="B39" s="680"/>
      <c r="C39" s="676"/>
      <c r="D39" s="676"/>
      <c r="E39" s="688"/>
      <c r="F39" s="676"/>
      <c r="G39" s="676"/>
      <c r="H39" s="676"/>
      <c r="I39" s="676"/>
      <c r="J39" s="683"/>
      <c r="K39" s="678"/>
    </row>
    <row r="40" spans="1:11" ht="13.5" customHeight="1">
      <c r="A40" s="681"/>
      <c r="B40" s="680"/>
      <c r="C40" s="676"/>
      <c r="D40" s="676"/>
      <c r="E40" s="688"/>
      <c r="F40" s="676"/>
      <c r="G40" s="676"/>
      <c r="H40" s="676"/>
      <c r="I40" s="676"/>
      <c r="J40" s="683"/>
      <c r="K40" s="678"/>
    </row>
    <row r="41" spans="1:11" ht="13.5" customHeight="1">
      <c r="A41" s="681"/>
      <c r="B41" s="680"/>
      <c r="C41" s="676"/>
      <c r="D41" s="676"/>
      <c r="E41" s="685"/>
      <c r="F41" s="689"/>
      <c r="G41" s="676"/>
      <c r="H41" s="676"/>
      <c r="I41" s="676"/>
      <c r="J41" s="683"/>
      <c r="K41" s="678"/>
    </row>
    <row r="42" spans="1:11" ht="13.5" customHeight="1">
      <c r="A42" s="687"/>
      <c r="B42" s="676"/>
      <c r="C42" s="676"/>
      <c r="D42" s="676"/>
      <c r="E42" s="676"/>
      <c r="F42" s="676"/>
      <c r="G42" s="676"/>
      <c r="H42" s="676"/>
      <c r="I42" s="676"/>
      <c r="J42" s="683"/>
      <c r="K42" s="678"/>
    </row>
    <row r="43" spans="1:11" ht="13.5" customHeight="1">
      <c r="A43" s="687"/>
      <c r="B43" s="676"/>
      <c r="C43" s="676"/>
      <c r="D43" s="676"/>
      <c r="E43" s="676"/>
      <c r="F43" s="676"/>
      <c r="G43" s="676"/>
      <c r="H43" s="676"/>
      <c r="I43" s="676"/>
      <c r="J43" s="683"/>
      <c r="K43" s="678"/>
    </row>
    <row r="44" spans="1:11" ht="13.5" customHeight="1">
      <c r="A44" s="687"/>
      <c r="B44" s="676"/>
      <c r="C44" s="676"/>
      <c r="D44" s="676"/>
      <c r="E44" s="676"/>
      <c r="F44" s="676"/>
      <c r="G44" s="676"/>
      <c r="H44" s="676"/>
      <c r="I44" s="676"/>
      <c r="J44" s="683"/>
      <c r="K44" s="678"/>
    </row>
    <row r="45" spans="1:11" ht="13.5" customHeight="1">
      <c r="A45" s="687"/>
      <c r="B45" s="676"/>
      <c r="C45" s="676"/>
      <c r="D45" s="676"/>
      <c r="E45" s="676"/>
      <c r="F45" s="676"/>
      <c r="G45" s="676"/>
      <c r="H45" s="676"/>
      <c r="I45" s="676"/>
      <c r="J45" s="683"/>
      <c r="K45" s="678"/>
    </row>
    <row r="46" spans="1:11" ht="13.5" customHeight="1">
      <c r="A46" s="687"/>
      <c r="B46" s="676"/>
      <c r="C46" s="676"/>
      <c r="D46" s="676"/>
      <c r="E46" s="676"/>
      <c r="F46" s="676"/>
      <c r="G46" s="676"/>
      <c r="H46" s="676"/>
      <c r="I46" s="676"/>
      <c r="J46" s="683"/>
      <c r="K46" s="678"/>
    </row>
    <row r="47" spans="1:11" ht="13.5" customHeight="1">
      <c r="A47" s="681"/>
      <c r="B47" s="676"/>
      <c r="C47" s="676"/>
      <c r="D47" s="676"/>
      <c r="E47" s="676"/>
      <c r="F47" s="676"/>
      <c r="G47" s="676"/>
      <c r="H47" s="676"/>
      <c r="I47" s="676"/>
      <c r="J47" s="683"/>
      <c r="K47" s="678"/>
    </row>
    <row r="48" spans="1:11" ht="13.5" customHeight="1">
      <c r="A48" s="687"/>
      <c r="B48" s="676"/>
      <c r="C48" s="676"/>
      <c r="D48" s="676"/>
      <c r="E48" s="676"/>
      <c r="F48" s="676"/>
      <c r="G48" s="676"/>
      <c r="H48" s="676"/>
      <c r="I48" s="676"/>
      <c r="J48" s="683"/>
      <c r="K48" s="678"/>
    </row>
    <row r="49" spans="1:11" ht="13.5" customHeight="1">
      <c r="A49" s="851"/>
      <c r="B49" s="858" t="s">
        <v>411</v>
      </c>
      <c r="C49" s="859"/>
      <c r="D49" s="859"/>
      <c r="E49" s="859"/>
      <c r="F49" s="859"/>
      <c r="G49" s="859"/>
      <c r="H49" s="859"/>
      <c r="I49" s="859"/>
      <c r="J49" s="856"/>
      <c r="K49" s="857"/>
    </row>
    <row r="50" spans="1:11" ht="13.5" customHeight="1">
      <c r="A50" s="851"/>
      <c r="B50" s="858" t="s">
        <v>412</v>
      </c>
      <c r="C50" s="859"/>
      <c r="D50" s="859"/>
      <c r="E50" s="859"/>
      <c r="F50" s="859"/>
      <c r="G50" s="859"/>
      <c r="H50" s="859"/>
      <c r="I50" s="859"/>
      <c r="J50" s="856"/>
      <c r="K50" s="857"/>
    </row>
    <row r="51" spans="1:11" ht="12.75" customHeight="1"/>
    <row r="52" spans="1:11" ht="12.75" customHeight="1"/>
    <row r="53" spans="1:11" ht="12.75" customHeight="1">
      <c r="B53" s="862" t="s">
        <v>413</v>
      </c>
      <c r="C53" s="1927"/>
      <c r="D53" s="1928"/>
      <c r="E53" s="1928"/>
      <c r="G53" s="862" t="s">
        <v>414</v>
      </c>
      <c r="H53" s="1929"/>
      <c r="I53" s="1898"/>
      <c r="J53" s="1898"/>
      <c r="K53" s="1898"/>
    </row>
    <row r="54" spans="1:11" ht="12.75" customHeight="1">
      <c r="B54" s="862" t="s">
        <v>333</v>
      </c>
      <c r="C54" s="1904"/>
      <c r="D54" s="1905"/>
      <c r="E54" s="1905"/>
      <c r="G54" s="862" t="s">
        <v>333</v>
      </c>
      <c r="H54" s="1922"/>
      <c r="I54" s="1905"/>
      <c r="J54" s="1905"/>
      <c r="K54" s="1905"/>
    </row>
    <row r="55" spans="1:11" ht="12.75" customHeight="1">
      <c r="B55" s="862" t="s">
        <v>334</v>
      </c>
      <c r="C55" s="1904"/>
      <c r="D55" s="1905"/>
      <c r="E55" s="1905"/>
      <c r="G55" s="862" t="s">
        <v>334</v>
      </c>
      <c r="H55" s="1922" t="s">
        <v>637</v>
      </c>
      <c r="I55" s="1905"/>
      <c r="J55" s="1905"/>
      <c r="K55" s="1905"/>
    </row>
    <row r="56" spans="1:11" ht="12.75" customHeight="1"/>
    <row r="57" spans="1:11" ht="12.75" customHeight="1">
      <c r="J57" s="742"/>
    </row>
    <row r="58" spans="1:11" ht="13.5" customHeight="1" thickBot="1">
      <c r="A58" s="743"/>
      <c r="B58" s="744"/>
      <c r="C58" s="744"/>
      <c r="D58" s="744"/>
      <c r="E58" s="744"/>
      <c r="F58" s="744"/>
      <c r="G58" s="744"/>
      <c r="H58" s="744"/>
      <c r="I58" s="744"/>
      <c r="J58" s="744"/>
      <c r="K58" s="744"/>
    </row>
    <row r="59" spans="1:11" ht="12.75" customHeight="1">
      <c r="A59" s="1923"/>
      <c r="B59" s="1898"/>
      <c r="C59" s="1898"/>
      <c r="D59" s="1898"/>
      <c r="E59" s="1898"/>
      <c r="F59" s="1898"/>
      <c r="G59" s="1898"/>
      <c r="H59" s="1898"/>
      <c r="I59" s="1898"/>
      <c r="J59" s="1898"/>
      <c r="K59" s="1898"/>
    </row>
    <row r="60" spans="1:11" ht="12.75" customHeight="1">
      <c r="B60" s="747"/>
      <c r="C60" s="863"/>
      <c r="D60" s="863"/>
      <c r="I60" s="742"/>
    </row>
    <row r="61" spans="1:11" ht="12.75" customHeight="1"/>
    <row r="62" spans="1:11" ht="12.75" customHeight="1"/>
    <row r="63" spans="1:11" ht="12.75" customHeight="1"/>
    <row r="64" spans="1:11"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RLS8tn0H9Z03b8o2FJHG6JWIOpimTnLeKZfmcAGZUN+koJpaasf0D4O4dvD8i8JbgOe2VsplL3TaTho8iOlnJA==" saltValue="augXYLZ6ipmTtrTeyv3/2A==" spinCount="100000" sheet="1" objects="1" scenarios="1"/>
  <mergeCells count="23">
    <mergeCell ref="B21:K21"/>
    <mergeCell ref="H3:K3"/>
    <mergeCell ref="H4:K4"/>
    <mergeCell ref="H5:K5"/>
    <mergeCell ref="H6:K6"/>
    <mergeCell ref="D8:G8"/>
    <mergeCell ref="E23:F23"/>
    <mergeCell ref="H23:J23"/>
    <mergeCell ref="D25:E25"/>
    <mergeCell ref="H25:I25"/>
    <mergeCell ref="D27:E27"/>
    <mergeCell ref="H27:I27"/>
    <mergeCell ref="D29:E29"/>
    <mergeCell ref="H29:I29"/>
    <mergeCell ref="D31:E31"/>
    <mergeCell ref="H31:I31"/>
    <mergeCell ref="C53:E53"/>
    <mergeCell ref="H53:K53"/>
    <mergeCell ref="C54:E54"/>
    <mergeCell ref="H54:K54"/>
    <mergeCell ref="C55:E55"/>
    <mergeCell ref="H55:K55"/>
    <mergeCell ref="A59:K59"/>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B7A2-21E2-49E5-BD33-B87E354483ED}">
  <sheetPr codeName="Feuil1"/>
  <dimension ref="A1:AC766"/>
  <sheetViews>
    <sheetView showRowColHeaders="0" zoomScale="115" zoomScaleNormal="115" workbookViewId="0">
      <selection activeCell="H12" sqref="H12"/>
    </sheetView>
  </sheetViews>
  <sheetFormatPr baseColWidth="10" defaultColWidth="12.6328125" defaultRowHeight="15" customHeight="1"/>
  <cols>
    <col min="1" max="1" width="5.7265625" style="497" customWidth="1"/>
    <col min="2" max="2" width="6.90625" style="497" customWidth="1"/>
    <col min="3" max="3" width="7.7265625" style="497" customWidth="1"/>
    <col min="4" max="4" width="9.08984375" style="497" customWidth="1"/>
    <col min="5" max="5" width="7" style="497" customWidth="1"/>
    <col min="6" max="6" width="6.90625" style="497" customWidth="1"/>
    <col min="7" max="7" width="8" style="497" customWidth="1"/>
    <col min="8" max="8" width="7.90625" style="497" customWidth="1"/>
    <col min="9" max="9" width="9.08984375" style="497" customWidth="1"/>
    <col min="10" max="10" width="7.26953125" style="497" customWidth="1"/>
    <col min="11" max="11" width="12.26953125" style="497" customWidth="1"/>
    <col min="12" max="12" width="4.26953125" style="497" customWidth="1"/>
    <col min="13" max="13" width="11.26953125" style="497" customWidth="1"/>
    <col min="14" max="14" width="6" style="497" customWidth="1"/>
    <col min="15" max="16" width="9.08984375" style="497" hidden="1" customWidth="1"/>
    <col min="17" max="17" width="11.6328125" style="497" hidden="1" customWidth="1"/>
    <col min="18" max="20" width="9.08984375" style="497" hidden="1" customWidth="1"/>
    <col min="21" max="21" width="10" style="497" hidden="1" customWidth="1"/>
    <col min="22" max="26" width="10" style="497" customWidth="1"/>
    <col min="27" max="16384" width="12.6328125" style="497"/>
  </cols>
  <sheetData>
    <row r="1" spans="1:29" ht="18.75" customHeight="1">
      <c r="A1" s="707"/>
      <c r="B1" s="707"/>
      <c r="C1" s="707"/>
      <c r="D1" s="707"/>
      <c r="E1" s="707"/>
      <c r="F1" s="707"/>
      <c r="G1" s="707"/>
      <c r="H1" s="707"/>
      <c r="I1" s="707"/>
      <c r="J1" s="707"/>
      <c r="K1" s="707"/>
      <c r="L1" s="879"/>
      <c r="M1" s="879"/>
      <c r="N1" s="879"/>
      <c r="O1" s="879"/>
      <c r="P1" s="879"/>
      <c r="Q1" s="879"/>
      <c r="R1" s="879"/>
      <c r="S1" s="879"/>
      <c r="T1" s="879"/>
      <c r="U1" s="879"/>
      <c r="V1" s="879"/>
      <c r="W1" s="879"/>
      <c r="X1" s="879"/>
      <c r="Y1" s="879"/>
      <c r="Z1" s="879"/>
      <c r="AA1" s="879"/>
      <c r="AB1" s="879"/>
      <c r="AC1" s="879"/>
    </row>
    <row r="2" spans="1:29" ht="12" customHeight="1">
      <c r="A2" s="692"/>
      <c r="B2" s="692"/>
      <c r="C2" s="692"/>
      <c r="D2" s="692"/>
      <c r="E2" s="692"/>
      <c r="F2" s="692"/>
      <c r="G2" s="692"/>
      <c r="H2" s="881" t="s">
        <v>271</v>
      </c>
      <c r="I2" s="1959" t="s">
        <v>642</v>
      </c>
      <c r="J2" s="1918"/>
      <c r="K2" s="1891"/>
      <c r="L2" s="879"/>
      <c r="M2" s="879"/>
      <c r="N2" s="879"/>
      <c r="O2" s="879"/>
      <c r="P2" s="879"/>
      <c r="Q2" s="879"/>
      <c r="R2" s="879"/>
      <c r="S2" s="879"/>
      <c r="T2" s="879"/>
      <c r="U2" s="879"/>
      <c r="V2" s="879"/>
      <c r="W2" s="879"/>
      <c r="X2" s="879"/>
      <c r="Y2" s="879"/>
      <c r="Z2" s="879"/>
      <c r="AA2" s="879"/>
      <c r="AB2" s="879"/>
      <c r="AC2" s="879"/>
    </row>
    <row r="3" spans="1:29" ht="12" customHeight="1">
      <c r="A3" s="692"/>
      <c r="B3" s="692"/>
      <c r="C3" s="692"/>
      <c r="D3" s="692"/>
      <c r="E3" s="692"/>
      <c r="F3" s="692"/>
      <c r="G3" s="692"/>
      <c r="H3" s="882" t="s">
        <v>272</v>
      </c>
      <c r="I3" s="1892" t="s">
        <v>639</v>
      </c>
      <c r="J3" s="1919"/>
      <c r="K3" s="1893"/>
      <c r="L3" s="879"/>
      <c r="M3" s="879"/>
      <c r="N3" s="879"/>
      <c r="O3" s="879"/>
      <c r="P3" s="879"/>
      <c r="Q3" s="879"/>
      <c r="R3" s="879"/>
      <c r="S3" s="879"/>
      <c r="T3" s="879"/>
      <c r="U3" s="879"/>
      <c r="V3" s="879"/>
      <c r="W3" s="879"/>
      <c r="X3" s="879"/>
      <c r="Y3" s="879"/>
      <c r="Z3" s="879"/>
      <c r="AA3" s="879"/>
      <c r="AB3" s="879"/>
      <c r="AC3" s="879"/>
    </row>
    <row r="4" spans="1:29" ht="12" customHeight="1">
      <c r="A4" s="692"/>
      <c r="B4" s="692"/>
      <c r="C4" s="692"/>
      <c r="D4" s="692"/>
      <c r="E4" s="692"/>
      <c r="F4" s="692"/>
      <c r="G4" s="692"/>
      <c r="H4" s="882" t="s">
        <v>39</v>
      </c>
      <c r="I4" s="1892"/>
      <c r="J4" s="1919"/>
      <c r="K4" s="1893"/>
      <c r="L4" s="879"/>
      <c r="M4" s="879"/>
      <c r="N4" s="879"/>
      <c r="O4" s="879"/>
      <c r="P4" s="879"/>
      <c r="Q4" s="879"/>
      <c r="R4" s="879"/>
      <c r="S4" s="879"/>
      <c r="T4" s="879"/>
      <c r="U4" s="879"/>
      <c r="V4" s="879"/>
      <c r="W4" s="879"/>
      <c r="X4" s="879"/>
      <c r="Y4" s="879"/>
      <c r="Z4" s="879"/>
      <c r="AA4" s="879"/>
      <c r="AB4" s="879"/>
      <c r="AC4" s="879"/>
    </row>
    <row r="5" spans="1:29" ht="12" customHeight="1">
      <c r="A5" s="692"/>
      <c r="B5" s="692"/>
      <c r="C5" s="692"/>
      <c r="D5" s="692"/>
      <c r="E5" s="692"/>
      <c r="F5" s="692"/>
      <c r="G5" s="692"/>
      <c r="H5" s="882" t="s">
        <v>273</v>
      </c>
      <c r="I5" s="1920"/>
      <c r="J5" s="1919"/>
      <c r="K5" s="1893"/>
      <c r="L5" s="879"/>
      <c r="M5" s="879"/>
      <c r="N5" s="879"/>
      <c r="O5" s="879"/>
      <c r="P5" s="879"/>
      <c r="Q5" s="879"/>
      <c r="R5" s="879"/>
      <c r="S5" s="879"/>
      <c r="T5" s="879"/>
      <c r="U5" s="879"/>
      <c r="V5" s="879"/>
      <c r="W5" s="879"/>
      <c r="X5" s="879"/>
      <c r="Y5" s="879"/>
      <c r="Z5" s="879"/>
      <c r="AA5" s="879"/>
      <c r="AB5" s="879"/>
      <c r="AC5" s="879"/>
    </row>
    <row r="6" spans="1:29" ht="12" customHeight="1">
      <c r="A6" s="854"/>
      <c r="B6" s="854"/>
      <c r="C6" s="854"/>
      <c r="D6" s="854"/>
      <c r="E6" s="700"/>
      <c r="F6" s="692"/>
      <c r="G6" s="692"/>
      <c r="H6" s="883" t="s">
        <v>37</v>
      </c>
      <c r="I6" s="1895" t="s">
        <v>516</v>
      </c>
      <c r="J6" s="1921"/>
      <c r="K6" s="1896"/>
      <c r="L6" s="879"/>
      <c r="M6" s="879"/>
      <c r="N6" s="879"/>
      <c r="O6" s="879"/>
      <c r="P6" s="879"/>
      <c r="Q6" s="879"/>
      <c r="R6" s="879"/>
      <c r="S6" s="879"/>
      <c r="T6" s="879"/>
      <c r="U6" s="879"/>
      <c r="V6" s="879"/>
      <c r="W6" s="879"/>
      <c r="X6" s="879"/>
      <c r="Y6" s="879"/>
      <c r="Z6" s="879"/>
      <c r="AA6" s="879"/>
      <c r="AB6" s="879"/>
      <c r="AC6" s="879"/>
    </row>
    <row r="7" spans="1:29" ht="12.75" customHeight="1">
      <c r="A7" s="854"/>
      <c r="B7" s="854"/>
      <c r="C7" s="854"/>
      <c r="D7" s="854"/>
      <c r="E7" s="700"/>
      <c r="F7" s="701"/>
      <c r="G7" s="705"/>
      <c r="H7" s="705"/>
      <c r="I7" s="692"/>
      <c r="J7" s="692"/>
      <c r="K7" s="692"/>
      <c r="L7" s="879"/>
      <c r="M7" s="879"/>
      <c r="N7" s="879"/>
      <c r="O7" s="879"/>
      <c r="P7" s="879"/>
      <c r="Q7" s="879"/>
      <c r="R7" s="879"/>
      <c r="S7" s="879"/>
      <c r="T7" s="879"/>
      <c r="U7" s="879"/>
      <c r="V7" s="879"/>
      <c r="W7" s="879"/>
      <c r="X7" s="879"/>
      <c r="Y7" s="879"/>
      <c r="Z7" s="879"/>
      <c r="AA7" s="879"/>
      <c r="AB7" s="879"/>
      <c r="AC7" s="879"/>
    </row>
    <row r="8" spans="1:29" ht="15.75" customHeight="1">
      <c r="A8" s="707"/>
      <c r="B8" s="884"/>
      <c r="C8" s="884"/>
      <c r="D8" s="884"/>
      <c r="E8" s="884"/>
      <c r="F8" s="696" t="s">
        <v>274</v>
      </c>
      <c r="G8" s="884"/>
      <c r="H8" s="884"/>
      <c r="I8" s="884"/>
      <c r="J8" s="884"/>
      <c r="K8" s="884"/>
      <c r="L8" s="879"/>
      <c r="M8" s="879"/>
      <c r="N8" s="879"/>
      <c r="O8" s="879"/>
      <c r="P8" s="879"/>
      <c r="Q8" s="879"/>
      <c r="R8" s="879"/>
      <c r="S8" s="879"/>
      <c r="T8" s="879"/>
      <c r="U8" s="879"/>
      <c r="V8" s="879"/>
      <c r="W8" s="879"/>
      <c r="X8" s="879"/>
      <c r="Y8" s="879"/>
      <c r="Z8" s="879"/>
      <c r="AA8" s="879"/>
      <c r="AB8" s="879"/>
      <c r="AC8" s="879"/>
    </row>
    <row r="9" spans="1:29" ht="12.75" customHeight="1">
      <c r="A9" s="692"/>
      <c r="B9" s="692"/>
      <c r="C9" s="692"/>
      <c r="D9" s="692"/>
      <c r="E9" s="692"/>
      <c r="F9" s="701"/>
      <c r="G9" s="705"/>
      <c r="H9" s="705"/>
      <c r="I9" s="692"/>
      <c r="J9" s="692"/>
      <c r="K9" s="692"/>
      <c r="L9" s="879"/>
      <c r="M9" s="879"/>
      <c r="N9" s="879"/>
      <c r="O9" s="879"/>
      <c r="P9" s="879"/>
      <c r="Q9" s="879"/>
      <c r="R9" s="879"/>
      <c r="S9" s="879"/>
      <c r="T9" s="879"/>
      <c r="U9" s="879"/>
      <c r="V9" s="879"/>
      <c r="W9" s="879"/>
      <c r="X9" s="879"/>
      <c r="Y9" s="879"/>
      <c r="Z9" s="879"/>
      <c r="AA9" s="879"/>
      <c r="AB9" s="879"/>
      <c r="AC9" s="879"/>
    </row>
    <row r="10" spans="1:29" ht="12.75" customHeight="1">
      <c r="A10" s="705" t="s">
        <v>275</v>
      </c>
      <c r="B10" s="705" t="s">
        <v>276</v>
      </c>
      <c r="C10" s="921">
        <v>15</v>
      </c>
      <c r="D10" s="885" t="s">
        <v>277</v>
      </c>
      <c r="E10" s="922" t="s">
        <v>278</v>
      </c>
      <c r="F10" s="707"/>
      <c r="G10" s="705" t="s">
        <v>279</v>
      </c>
      <c r="H10" s="704" t="s">
        <v>280</v>
      </c>
      <c r="I10" s="707"/>
      <c r="J10" s="705" t="s">
        <v>281</v>
      </c>
      <c r="K10" s="923">
        <v>0.8639</v>
      </c>
      <c r="L10" s="879"/>
      <c r="M10" s="879"/>
      <c r="N10" s="879"/>
      <c r="O10" s="879"/>
      <c r="P10" s="879"/>
      <c r="Q10" s="879"/>
      <c r="R10" s="879"/>
      <c r="S10" s="879"/>
      <c r="T10" s="879"/>
      <c r="U10" s="879"/>
      <c r="V10" s="879"/>
      <c r="W10" s="879"/>
      <c r="X10" s="879"/>
      <c r="Y10" s="879"/>
      <c r="Z10" s="879"/>
      <c r="AA10" s="879"/>
      <c r="AB10" s="879"/>
      <c r="AC10" s="879"/>
    </row>
    <row r="11" spans="1:29" ht="12.75" customHeight="1">
      <c r="A11" s="705"/>
      <c r="B11" s="705" t="s">
        <v>282</v>
      </c>
      <c r="C11" s="921">
        <v>17</v>
      </c>
      <c r="D11" s="707"/>
      <c r="E11" s="692"/>
      <c r="F11" s="886"/>
      <c r="G11" s="705" t="s">
        <v>283</v>
      </c>
      <c r="H11" s="704" t="s">
        <v>131</v>
      </c>
      <c r="I11" s="707"/>
      <c r="J11" s="705" t="s">
        <v>284</v>
      </c>
      <c r="K11" s="751">
        <v>32.200000000000003</v>
      </c>
      <c r="L11" s="879"/>
      <c r="M11" s="879"/>
      <c r="N11" s="879"/>
      <c r="O11" s="879"/>
      <c r="P11" s="879"/>
      <c r="Q11" s="879"/>
      <c r="R11" s="879"/>
      <c r="S11" s="879"/>
      <c r="T11" s="879"/>
      <c r="U11" s="879"/>
      <c r="V11" s="879"/>
      <c r="W11" s="879"/>
      <c r="X11" s="879"/>
      <c r="Y11" s="879"/>
      <c r="Z11" s="879"/>
      <c r="AA11" s="879"/>
      <c r="AB11" s="879"/>
      <c r="AC11" s="879"/>
    </row>
    <row r="12" spans="1:29" ht="12.75" customHeight="1">
      <c r="A12" s="705" t="s">
        <v>285</v>
      </c>
      <c r="B12" s="887"/>
      <c r="C12" s="921">
        <f>+C11-C10</f>
        <v>2</v>
      </c>
      <c r="D12" s="692"/>
      <c r="E12" s="692"/>
      <c r="F12" s="692"/>
      <c r="G12" s="705" t="s">
        <v>286</v>
      </c>
      <c r="H12" s="704">
        <v>4</v>
      </c>
      <c r="I12" s="707"/>
      <c r="J12" s="705" t="s">
        <v>287</v>
      </c>
      <c r="K12" s="751" t="s">
        <v>524</v>
      </c>
      <c r="L12" s="879"/>
      <c r="M12" s="879"/>
      <c r="N12" s="879"/>
      <c r="O12" s="879"/>
      <c r="P12" s="879"/>
      <c r="Q12" s="879"/>
      <c r="R12" s="879"/>
      <c r="S12" s="879"/>
      <c r="T12" s="879"/>
      <c r="U12" s="879"/>
      <c r="V12" s="879"/>
      <c r="W12" s="879"/>
      <c r="X12" s="879"/>
      <c r="Y12" s="879"/>
      <c r="Z12" s="879"/>
      <c r="AA12" s="879"/>
      <c r="AB12" s="879"/>
      <c r="AC12" s="879"/>
    </row>
    <row r="13" spans="1:29" ht="12.75" customHeight="1">
      <c r="A13" s="692"/>
      <c r="B13" s="692"/>
      <c r="C13" s="692"/>
      <c r="D13" s="705"/>
      <c r="E13" s="692"/>
      <c r="F13" s="692"/>
      <c r="G13" s="888"/>
      <c r="H13" s="707"/>
      <c r="I13" s="692"/>
      <c r="J13" s="707"/>
      <c r="K13" s="707"/>
      <c r="L13" s="879"/>
      <c r="M13" s="879"/>
      <c r="N13" s="879"/>
      <c r="O13" s="879"/>
      <c r="P13" s="879"/>
      <c r="Q13" s="879"/>
      <c r="R13" s="879"/>
      <c r="S13" s="879"/>
      <c r="T13" s="879"/>
      <c r="U13" s="879"/>
      <c r="V13" s="879"/>
      <c r="W13" s="879"/>
      <c r="X13" s="879"/>
      <c r="Y13" s="879"/>
      <c r="Z13" s="879"/>
      <c r="AA13" s="879"/>
      <c r="AB13" s="879"/>
      <c r="AC13" s="879"/>
    </row>
    <row r="14" spans="1:29" ht="12.75" customHeight="1">
      <c r="A14" s="1955" t="s">
        <v>288</v>
      </c>
      <c r="B14" s="1957" t="s">
        <v>289</v>
      </c>
      <c r="C14" s="1952"/>
      <c r="D14" s="1903"/>
      <c r="E14" s="1957" t="s">
        <v>290</v>
      </c>
      <c r="F14" s="1952"/>
      <c r="G14" s="1952"/>
      <c r="H14" s="1955" t="s">
        <v>291</v>
      </c>
      <c r="I14" s="889" t="s">
        <v>292</v>
      </c>
      <c r="J14" s="1958" t="s">
        <v>293</v>
      </c>
      <c r="K14" s="890" t="s">
        <v>294</v>
      </c>
      <c r="L14" s="879"/>
      <c r="M14" s="879"/>
      <c r="N14" s="879"/>
      <c r="O14" s="879"/>
      <c r="P14" s="879"/>
      <c r="Q14" s="879"/>
      <c r="R14" s="879"/>
      <c r="S14" s="879"/>
      <c r="T14" s="879"/>
      <c r="U14" s="879"/>
      <c r="V14" s="879"/>
      <c r="W14" s="879"/>
      <c r="X14" s="879"/>
      <c r="Y14" s="879"/>
      <c r="Z14" s="879"/>
      <c r="AA14" s="879"/>
      <c r="AB14" s="879"/>
      <c r="AC14" s="879"/>
    </row>
    <row r="15" spans="1:29" ht="11.25" customHeight="1">
      <c r="A15" s="1956"/>
      <c r="B15" s="889" t="s">
        <v>295</v>
      </c>
      <c r="C15" s="891" t="s">
        <v>296</v>
      </c>
      <c r="D15" s="1946" t="str">
        <f>"VOLUME"</f>
        <v>VOLUME</v>
      </c>
      <c r="E15" s="889" t="s">
        <v>295</v>
      </c>
      <c r="F15" s="891" t="s">
        <v>296</v>
      </c>
      <c r="G15" s="1948" t="str">
        <f>"VOLUME"</f>
        <v>VOLUME</v>
      </c>
      <c r="H15" s="1956"/>
      <c r="I15" s="892" t="s">
        <v>297</v>
      </c>
      <c r="J15" s="1908"/>
      <c r="K15" s="893" t="s">
        <v>298</v>
      </c>
      <c r="L15" s="879"/>
      <c r="M15" s="879"/>
      <c r="N15" s="879"/>
      <c r="O15" s="879"/>
      <c r="P15" s="879"/>
      <c r="Q15" s="879"/>
      <c r="R15" s="879"/>
      <c r="S15" s="879"/>
      <c r="T15" s="879"/>
      <c r="U15" s="879"/>
      <c r="V15" s="879"/>
      <c r="W15" s="879"/>
      <c r="X15" s="879"/>
      <c r="Y15" s="879"/>
      <c r="Z15" s="879"/>
      <c r="AA15" s="879"/>
      <c r="AB15" s="879"/>
      <c r="AC15" s="879"/>
    </row>
    <row r="16" spans="1:29" ht="11.25" customHeight="1">
      <c r="A16" s="1947"/>
      <c r="B16" s="894" t="s">
        <v>299</v>
      </c>
      <c r="C16" s="895" t="s">
        <v>300</v>
      </c>
      <c r="D16" s="1947"/>
      <c r="E16" s="894" t="s">
        <v>299</v>
      </c>
      <c r="F16" s="895" t="s">
        <v>300</v>
      </c>
      <c r="G16" s="1949"/>
      <c r="H16" s="896" t="s">
        <v>301</v>
      </c>
      <c r="I16" s="897"/>
      <c r="J16" s="1912"/>
      <c r="K16" s="898"/>
      <c r="L16" s="879"/>
      <c r="M16" s="879"/>
      <c r="N16" s="879"/>
      <c r="O16" s="879"/>
      <c r="P16" s="879"/>
      <c r="Q16" s="879"/>
      <c r="R16" s="879"/>
      <c r="S16" s="879"/>
      <c r="T16" s="879"/>
      <c r="U16" s="879"/>
      <c r="V16" s="879"/>
      <c r="W16" s="879"/>
      <c r="X16" s="879"/>
      <c r="Y16" s="879"/>
      <c r="Z16" s="879"/>
      <c r="AA16" s="879"/>
      <c r="AB16" s="879"/>
      <c r="AC16" s="879"/>
    </row>
    <row r="17" spans="1:29" ht="12.75" customHeight="1">
      <c r="A17" s="924"/>
      <c r="B17" s="925"/>
      <c r="C17" s="926"/>
      <c r="D17" s="927"/>
      <c r="E17" s="928"/>
      <c r="F17" s="946"/>
      <c r="G17" s="947"/>
      <c r="H17" s="755"/>
      <c r="I17" s="899"/>
      <c r="J17" s="1018" t="str">
        <f>IF(A17="","",[5]!T54A($K$10,S17))</f>
        <v/>
      </c>
      <c r="K17" s="1019" t="str">
        <f>IF(A17="","",ROUND(PRODUCT(I17:J17), ))</f>
        <v/>
      </c>
      <c r="L17" s="879"/>
      <c r="M17" s="879"/>
      <c r="N17" s="879"/>
      <c r="O17" s="1022" t="s">
        <v>302</v>
      </c>
      <c r="P17" s="1022" t="s">
        <v>303</v>
      </c>
      <c r="Q17" s="1022" t="s">
        <v>304</v>
      </c>
      <c r="R17" s="879"/>
      <c r="S17" s="1022" t="s">
        <v>305</v>
      </c>
      <c r="T17" s="1022" t="s">
        <v>306</v>
      </c>
      <c r="U17" s="879"/>
      <c r="V17" s="879"/>
      <c r="W17" s="879"/>
      <c r="X17" s="879"/>
      <c r="Y17" s="879"/>
      <c r="Z17" s="879"/>
      <c r="AA17" s="879"/>
      <c r="AB17" s="879"/>
      <c r="AC17" s="879"/>
    </row>
    <row r="18" spans="1:29" ht="12.75" customHeight="1">
      <c r="A18" s="768" t="s">
        <v>307</v>
      </c>
      <c r="B18" s="929">
        <v>304</v>
      </c>
      <c r="C18" s="930">
        <f t="shared" ref="C18:C31" si="0">+B18</f>
        <v>304</v>
      </c>
      <c r="D18" s="931">
        <v>65978</v>
      </c>
      <c r="E18" s="928" t="s">
        <v>308</v>
      </c>
      <c r="F18" s="928"/>
      <c r="G18" s="947">
        <v>0</v>
      </c>
      <c r="H18" s="948">
        <v>88</v>
      </c>
      <c r="I18" s="900">
        <f t="shared" ref="I18:I31" si="1">+D18-G18</f>
        <v>65978</v>
      </c>
      <c r="J18" s="1020">
        <f>IF(A18="","",[4]!T54A($K$10,H18))</f>
        <v>0.93900000000000006</v>
      </c>
      <c r="K18" s="1021">
        <f>IF(A18="","",ROUND(PRODUCT(I18:J18), ))</f>
        <v>61953</v>
      </c>
      <c r="L18" s="879"/>
      <c r="M18" s="879"/>
      <c r="N18" s="879"/>
      <c r="O18" s="1022" t="s">
        <v>307</v>
      </c>
      <c r="P18" s="1022">
        <v>10296.6</v>
      </c>
      <c r="Q18" s="1023">
        <f t="shared" ref="Q18:Q31" si="2">+P18*6.28981</f>
        <v>64763.657646000007</v>
      </c>
      <c r="R18" s="879"/>
      <c r="S18" s="1022">
        <v>29.9</v>
      </c>
      <c r="T18" s="1024">
        <f t="shared" ref="T18:T31" si="3">(S18*1.8)+32</f>
        <v>85.82</v>
      </c>
      <c r="U18" s="879"/>
      <c r="V18" s="879"/>
      <c r="W18" s="879"/>
      <c r="X18" s="879"/>
      <c r="Y18" s="879"/>
      <c r="Z18" s="879"/>
      <c r="AA18" s="879"/>
      <c r="AB18" s="879"/>
      <c r="AC18" s="879"/>
    </row>
    <row r="19" spans="1:29" ht="12.75" customHeight="1">
      <c r="A19" s="768" t="s">
        <v>309</v>
      </c>
      <c r="B19" s="929">
        <v>305</v>
      </c>
      <c r="C19" s="930">
        <f t="shared" si="0"/>
        <v>305</v>
      </c>
      <c r="D19" s="931">
        <f t="shared" ref="D19:D31" si="4">Q19</f>
        <v>64643.522275000003</v>
      </c>
      <c r="E19" s="928" t="s">
        <v>308</v>
      </c>
      <c r="F19" s="928"/>
      <c r="G19" s="947">
        <v>0</v>
      </c>
      <c r="H19" s="948">
        <f t="shared" ref="H19:H31" si="5">T19</f>
        <v>85.82</v>
      </c>
      <c r="I19" s="900">
        <f t="shared" si="1"/>
        <v>64643.522275000003</v>
      </c>
      <c r="J19" s="1020">
        <f>IF(A19="","",[4]!T54A($K$10,H19))</f>
        <v>0.94080000000000008</v>
      </c>
      <c r="K19" s="1021">
        <f t="shared" ref="K19:K38" si="6">IF(A19="","",ROUND(PRODUCT(I19:J19), ))</f>
        <v>60817</v>
      </c>
      <c r="L19" s="879"/>
      <c r="M19" s="879"/>
      <c r="N19" s="879"/>
      <c r="O19" s="1022" t="s">
        <v>309</v>
      </c>
      <c r="P19" s="1022">
        <v>10277.5</v>
      </c>
      <c r="Q19" s="1023">
        <f t="shared" si="2"/>
        <v>64643.522275000003</v>
      </c>
      <c r="R19" s="879"/>
      <c r="S19" s="1022">
        <v>29.9</v>
      </c>
      <c r="T19" s="1024">
        <f t="shared" si="3"/>
        <v>85.82</v>
      </c>
      <c r="U19" s="879"/>
      <c r="V19" s="879"/>
      <c r="W19" s="879"/>
      <c r="X19" s="879"/>
      <c r="Y19" s="879"/>
      <c r="Z19" s="879"/>
      <c r="AA19" s="879"/>
      <c r="AB19" s="879"/>
      <c r="AC19" s="879"/>
    </row>
    <row r="20" spans="1:29" ht="12.75" customHeight="1">
      <c r="A20" s="768" t="s">
        <v>310</v>
      </c>
      <c r="B20" s="929">
        <v>306</v>
      </c>
      <c r="C20" s="930">
        <f t="shared" si="0"/>
        <v>306</v>
      </c>
      <c r="D20" s="931">
        <f t="shared" si="4"/>
        <v>84096.017662000013</v>
      </c>
      <c r="E20" s="928" t="s">
        <v>308</v>
      </c>
      <c r="F20" s="928"/>
      <c r="G20" s="947">
        <v>0</v>
      </c>
      <c r="H20" s="948">
        <f t="shared" si="5"/>
        <v>86.36</v>
      </c>
      <c r="I20" s="900">
        <f t="shared" si="1"/>
        <v>84096.017662000013</v>
      </c>
      <c r="J20" s="1020">
        <f>IF(A20="","",[4]!T54A($K$10,H20))</f>
        <v>0.94040000000000001</v>
      </c>
      <c r="K20" s="1021">
        <f t="shared" si="6"/>
        <v>79084</v>
      </c>
      <c r="L20" s="879"/>
      <c r="M20" s="879"/>
      <c r="N20" s="879"/>
      <c r="O20" s="1022" t="s">
        <v>310</v>
      </c>
      <c r="P20" s="1022">
        <v>13370.2</v>
      </c>
      <c r="Q20" s="1023">
        <f t="shared" si="2"/>
        <v>84096.017662000013</v>
      </c>
      <c r="R20" s="879"/>
      <c r="S20" s="1022">
        <v>30.2</v>
      </c>
      <c r="T20" s="1024">
        <f t="shared" si="3"/>
        <v>86.36</v>
      </c>
      <c r="U20" s="879"/>
      <c r="V20" s="879"/>
      <c r="W20" s="879"/>
      <c r="X20" s="879"/>
      <c r="Y20" s="879"/>
      <c r="Z20" s="879"/>
      <c r="AA20" s="879"/>
      <c r="AB20" s="879"/>
      <c r="AC20" s="879"/>
    </row>
    <row r="21" spans="1:29" ht="12.75" customHeight="1">
      <c r="A21" s="768" t="s">
        <v>311</v>
      </c>
      <c r="B21" s="929">
        <v>305</v>
      </c>
      <c r="C21" s="930">
        <f t="shared" si="0"/>
        <v>305</v>
      </c>
      <c r="D21" s="931">
        <f t="shared" si="4"/>
        <v>84028.716694999996</v>
      </c>
      <c r="E21" s="928" t="s">
        <v>308</v>
      </c>
      <c r="F21" s="928"/>
      <c r="G21" s="947">
        <v>0</v>
      </c>
      <c r="H21" s="948">
        <f t="shared" si="5"/>
        <v>86.18</v>
      </c>
      <c r="I21" s="900">
        <f t="shared" si="1"/>
        <v>84028.716694999996</v>
      </c>
      <c r="J21" s="1020">
        <f>IF(A21="","",[4]!T54A($K$10,H21))</f>
        <v>0.9405</v>
      </c>
      <c r="K21" s="1021">
        <f t="shared" si="6"/>
        <v>79029</v>
      </c>
      <c r="L21" s="879"/>
      <c r="M21" s="879"/>
      <c r="N21" s="879"/>
      <c r="O21" s="1022" t="s">
        <v>311</v>
      </c>
      <c r="P21" s="1022">
        <v>13359.5</v>
      </c>
      <c r="Q21" s="1023">
        <f t="shared" si="2"/>
        <v>84028.716694999996</v>
      </c>
      <c r="R21" s="879"/>
      <c r="S21" s="1022">
        <v>30.1</v>
      </c>
      <c r="T21" s="1024">
        <f t="shared" si="3"/>
        <v>86.18</v>
      </c>
      <c r="U21" s="879"/>
      <c r="V21" s="879"/>
      <c r="W21" s="879"/>
      <c r="X21" s="879"/>
      <c r="Y21" s="879"/>
      <c r="Z21" s="879"/>
      <c r="AA21" s="879"/>
      <c r="AB21" s="879"/>
      <c r="AC21" s="879"/>
    </row>
    <row r="22" spans="1:29" ht="12.75" customHeight="1">
      <c r="A22" s="768" t="s">
        <v>312</v>
      </c>
      <c r="B22" s="929">
        <v>307</v>
      </c>
      <c r="C22" s="930">
        <f t="shared" si="0"/>
        <v>307</v>
      </c>
      <c r="D22" s="931">
        <f t="shared" si="4"/>
        <v>84521.837799000001</v>
      </c>
      <c r="E22" s="928" t="s">
        <v>308</v>
      </c>
      <c r="F22" s="928"/>
      <c r="G22" s="947">
        <v>0</v>
      </c>
      <c r="H22" s="948">
        <f t="shared" si="5"/>
        <v>86.36</v>
      </c>
      <c r="I22" s="900">
        <f t="shared" si="1"/>
        <v>84521.837799000001</v>
      </c>
      <c r="J22" s="1020">
        <f>IF(A22="","",[4]!T54A($K$10,H22))</f>
        <v>0.94040000000000001</v>
      </c>
      <c r="K22" s="1021">
        <f t="shared" si="6"/>
        <v>79484</v>
      </c>
      <c r="L22" s="879"/>
      <c r="M22" s="879"/>
      <c r="N22" s="879"/>
      <c r="O22" s="1022" t="s">
        <v>312</v>
      </c>
      <c r="P22" s="1022">
        <v>13437.9</v>
      </c>
      <c r="Q22" s="1023">
        <f t="shared" si="2"/>
        <v>84521.837799000001</v>
      </c>
      <c r="R22" s="879"/>
      <c r="S22" s="1022">
        <v>30.2</v>
      </c>
      <c r="T22" s="1024">
        <f t="shared" si="3"/>
        <v>86.36</v>
      </c>
      <c r="U22" s="879"/>
      <c r="V22" s="879"/>
      <c r="W22" s="879"/>
      <c r="X22" s="879"/>
      <c r="Y22" s="879"/>
      <c r="Z22" s="879"/>
      <c r="AA22" s="879"/>
      <c r="AB22" s="879"/>
      <c r="AC22" s="879"/>
    </row>
    <row r="23" spans="1:29" ht="12.75" customHeight="1">
      <c r="A23" s="768" t="s">
        <v>313</v>
      </c>
      <c r="B23" s="929">
        <v>308</v>
      </c>
      <c r="C23" s="930">
        <f t="shared" si="0"/>
        <v>308</v>
      </c>
      <c r="D23" s="931">
        <f t="shared" si="4"/>
        <v>84368.995416000005</v>
      </c>
      <c r="E23" s="928" t="s">
        <v>308</v>
      </c>
      <c r="F23" s="928"/>
      <c r="G23" s="947">
        <v>0</v>
      </c>
      <c r="H23" s="948">
        <f t="shared" si="5"/>
        <v>86.36</v>
      </c>
      <c r="I23" s="900">
        <f t="shared" si="1"/>
        <v>84368.995416000005</v>
      </c>
      <c r="J23" s="1020">
        <f>IF(A23="","",[4]!T54A($K$10,H23))</f>
        <v>0.94040000000000001</v>
      </c>
      <c r="K23" s="1021">
        <f t="shared" si="6"/>
        <v>79341</v>
      </c>
      <c r="L23" s="879"/>
      <c r="M23" s="879"/>
      <c r="N23" s="879"/>
      <c r="O23" s="1022" t="s">
        <v>313</v>
      </c>
      <c r="P23" s="1024">
        <v>13413.6</v>
      </c>
      <c r="Q23" s="1023">
        <f t="shared" si="2"/>
        <v>84368.995416000005</v>
      </c>
      <c r="R23" s="879"/>
      <c r="S23" s="1022">
        <v>30.2</v>
      </c>
      <c r="T23" s="1024">
        <f t="shared" si="3"/>
        <v>86.36</v>
      </c>
      <c r="U23" s="879"/>
      <c r="V23" s="879"/>
      <c r="W23" s="879"/>
      <c r="X23" s="879"/>
      <c r="Y23" s="879"/>
      <c r="Z23" s="879"/>
      <c r="AA23" s="879"/>
      <c r="AB23" s="879"/>
      <c r="AC23" s="879"/>
    </row>
    <row r="24" spans="1:29" ht="12.75" customHeight="1">
      <c r="A24" s="768" t="s">
        <v>314</v>
      </c>
      <c r="B24" s="929">
        <v>437</v>
      </c>
      <c r="C24" s="930">
        <f t="shared" si="0"/>
        <v>437</v>
      </c>
      <c r="D24" s="931">
        <f t="shared" si="4"/>
        <v>78540.228489000001</v>
      </c>
      <c r="E24" s="928" t="s">
        <v>308</v>
      </c>
      <c r="F24" s="928"/>
      <c r="G24" s="947">
        <v>0</v>
      </c>
      <c r="H24" s="948">
        <f t="shared" si="5"/>
        <v>86.36</v>
      </c>
      <c r="I24" s="900">
        <f t="shared" si="1"/>
        <v>78540.228489000001</v>
      </c>
      <c r="J24" s="1020">
        <f>IF(A24="","",[4]!T54A($K$10,H24))</f>
        <v>0.94040000000000001</v>
      </c>
      <c r="K24" s="1021">
        <f t="shared" si="6"/>
        <v>73859</v>
      </c>
      <c r="L24" s="879"/>
      <c r="M24" s="879"/>
      <c r="N24" s="879"/>
      <c r="O24" s="1022" t="s">
        <v>314</v>
      </c>
      <c r="P24" s="1022">
        <v>12486.9</v>
      </c>
      <c r="Q24" s="1023">
        <f t="shared" si="2"/>
        <v>78540.228489000001</v>
      </c>
      <c r="R24" s="879"/>
      <c r="S24" s="1022">
        <v>30.2</v>
      </c>
      <c r="T24" s="1024">
        <f t="shared" si="3"/>
        <v>86.36</v>
      </c>
      <c r="U24" s="879"/>
      <c r="V24" s="879"/>
      <c r="W24" s="879"/>
      <c r="X24" s="879"/>
      <c r="Y24" s="879"/>
      <c r="Z24" s="879"/>
      <c r="AA24" s="879"/>
      <c r="AB24" s="879"/>
      <c r="AC24" s="879"/>
    </row>
    <row r="25" spans="1:29" ht="12.75" customHeight="1">
      <c r="A25" s="768" t="s">
        <v>315</v>
      </c>
      <c r="B25" s="929">
        <v>328</v>
      </c>
      <c r="C25" s="930">
        <f t="shared" si="0"/>
        <v>328</v>
      </c>
      <c r="D25" s="931">
        <f t="shared" si="4"/>
        <v>83450.683155999999</v>
      </c>
      <c r="E25" s="928" t="s">
        <v>308</v>
      </c>
      <c r="F25" s="928"/>
      <c r="G25" s="947">
        <v>0</v>
      </c>
      <c r="H25" s="948">
        <f t="shared" si="5"/>
        <v>86.36</v>
      </c>
      <c r="I25" s="900">
        <f t="shared" si="1"/>
        <v>83450.683155999999</v>
      </c>
      <c r="J25" s="1020">
        <f>IF(A25="","",[4]!T54A($K$10,H25))</f>
        <v>0.94040000000000001</v>
      </c>
      <c r="K25" s="1021">
        <f t="shared" si="6"/>
        <v>78477</v>
      </c>
      <c r="L25" s="879"/>
      <c r="M25" s="879"/>
      <c r="N25" s="879"/>
      <c r="O25" s="1022" t="s">
        <v>315</v>
      </c>
      <c r="P25" s="1024">
        <v>13267.6</v>
      </c>
      <c r="Q25" s="1023">
        <f t="shared" si="2"/>
        <v>83450.683155999999</v>
      </c>
      <c r="R25" s="879"/>
      <c r="S25" s="1022">
        <v>30.2</v>
      </c>
      <c r="T25" s="1024">
        <f t="shared" si="3"/>
        <v>86.36</v>
      </c>
      <c r="U25" s="879"/>
      <c r="V25" s="879"/>
      <c r="W25" s="879"/>
      <c r="X25" s="879"/>
      <c r="Y25" s="879"/>
      <c r="Z25" s="879"/>
      <c r="AA25" s="879"/>
      <c r="AB25" s="879"/>
      <c r="AC25" s="879"/>
    </row>
    <row r="26" spans="1:29" ht="12.75" customHeight="1">
      <c r="A26" s="768" t="s">
        <v>316</v>
      </c>
      <c r="B26" s="929">
        <v>346</v>
      </c>
      <c r="C26" s="930">
        <f t="shared" si="0"/>
        <v>346</v>
      </c>
      <c r="D26" s="931">
        <f t="shared" si="4"/>
        <v>82718.549272000004</v>
      </c>
      <c r="E26" s="928" t="s">
        <v>308</v>
      </c>
      <c r="F26" s="928"/>
      <c r="G26" s="947">
        <v>0</v>
      </c>
      <c r="H26" s="948">
        <f t="shared" si="5"/>
        <v>86.539999999999992</v>
      </c>
      <c r="I26" s="900">
        <f t="shared" si="1"/>
        <v>82718.549272000004</v>
      </c>
      <c r="J26" s="1020">
        <f>IF(A26="","",[4]!T54A($K$10,H26))</f>
        <v>0.94020000000000004</v>
      </c>
      <c r="K26" s="1021">
        <f t="shared" si="6"/>
        <v>77772</v>
      </c>
      <c r="L26" s="879"/>
      <c r="M26" s="879"/>
      <c r="N26" s="879"/>
      <c r="O26" s="1022" t="s">
        <v>316</v>
      </c>
      <c r="P26" s="1022">
        <v>13151.2</v>
      </c>
      <c r="Q26" s="1023">
        <f t="shared" si="2"/>
        <v>82718.549272000004</v>
      </c>
      <c r="R26" s="879"/>
      <c r="S26" s="1022">
        <v>30.3</v>
      </c>
      <c r="T26" s="1024">
        <f t="shared" si="3"/>
        <v>86.539999999999992</v>
      </c>
      <c r="U26" s="879"/>
      <c r="V26" s="879"/>
      <c r="W26" s="879"/>
      <c r="X26" s="879"/>
      <c r="Y26" s="879"/>
      <c r="Z26" s="879"/>
      <c r="AA26" s="879"/>
      <c r="AB26" s="879"/>
      <c r="AC26" s="879"/>
    </row>
    <row r="27" spans="1:29" ht="12.75" customHeight="1">
      <c r="A27" s="768" t="s">
        <v>317</v>
      </c>
      <c r="B27" s="929">
        <v>347</v>
      </c>
      <c r="C27" s="930">
        <f t="shared" si="0"/>
        <v>347</v>
      </c>
      <c r="D27" s="931">
        <f t="shared" si="4"/>
        <v>82609.735558999993</v>
      </c>
      <c r="E27" s="928" t="s">
        <v>308</v>
      </c>
      <c r="F27" s="928"/>
      <c r="G27" s="947">
        <v>0</v>
      </c>
      <c r="H27" s="948">
        <f t="shared" si="5"/>
        <v>86.36</v>
      </c>
      <c r="I27" s="900">
        <f t="shared" si="1"/>
        <v>82609.735558999993</v>
      </c>
      <c r="J27" s="1020">
        <f>IF(A27="","",[4]!T54A($K$10,H27))</f>
        <v>0.94040000000000001</v>
      </c>
      <c r="K27" s="1021">
        <f t="shared" si="6"/>
        <v>77686</v>
      </c>
      <c r="L27" s="879"/>
      <c r="M27" s="879"/>
      <c r="N27" s="879"/>
      <c r="O27" s="1022" t="s">
        <v>317</v>
      </c>
      <c r="P27" s="1022">
        <v>13133.9</v>
      </c>
      <c r="Q27" s="1023">
        <f t="shared" si="2"/>
        <v>82609.735558999993</v>
      </c>
      <c r="R27" s="879"/>
      <c r="S27" s="1022">
        <v>30.2</v>
      </c>
      <c r="T27" s="1024">
        <f t="shared" si="3"/>
        <v>86.36</v>
      </c>
      <c r="U27" s="879"/>
      <c r="V27" s="879"/>
      <c r="W27" s="879"/>
      <c r="X27" s="879"/>
      <c r="Y27" s="879"/>
      <c r="Z27" s="879"/>
      <c r="AA27" s="879"/>
      <c r="AB27" s="879"/>
      <c r="AC27" s="879"/>
    </row>
    <row r="28" spans="1:29" ht="12.75" customHeight="1">
      <c r="A28" s="768" t="s">
        <v>318</v>
      </c>
      <c r="B28" s="929">
        <v>344</v>
      </c>
      <c r="C28" s="930">
        <f t="shared" si="0"/>
        <v>344</v>
      </c>
      <c r="D28" s="931">
        <f t="shared" si="4"/>
        <v>77082.879512</v>
      </c>
      <c r="E28" s="928" t="s">
        <v>308</v>
      </c>
      <c r="F28" s="928"/>
      <c r="G28" s="947">
        <v>0</v>
      </c>
      <c r="H28" s="948">
        <f t="shared" si="5"/>
        <v>87.080000000000013</v>
      </c>
      <c r="I28" s="900">
        <f t="shared" si="1"/>
        <v>77082.879512</v>
      </c>
      <c r="J28" s="1020">
        <f>IF(A28="","",[4]!T54A($K$10,H28))</f>
        <v>0.93980000000000008</v>
      </c>
      <c r="K28" s="1021">
        <f t="shared" si="6"/>
        <v>72442</v>
      </c>
      <c r="L28" s="879"/>
      <c r="M28" s="879"/>
      <c r="N28" s="879"/>
      <c r="O28" s="1022" t="s">
        <v>318</v>
      </c>
      <c r="P28" s="1022">
        <v>12255.2</v>
      </c>
      <c r="Q28" s="1023">
        <f t="shared" si="2"/>
        <v>77082.879512</v>
      </c>
      <c r="R28" s="879"/>
      <c r="S28" s="1022">
        <v>30.6</v>
      </c>
      <c r="T28" s="1024">
        <f t="shared" si="3"/>
        <v>87.080000000000013</v>
      </c>
      <c r="U28" s="879"/>
      <c r="V28" s="879"/>
      <c r="W28" s="879"/>
      <c r="X28" s="879"/>
      <c r="Y28" s="879"/>
      <c r="Z28" s="879"/>
      <c r="AA28" s="879"/>
      <c r="AB28" s="879"/>
      <c r="AC28" s="879"/>
    </row>
    <row r="29" spans="1:29" ht="12.75" customHeight="1">
      <c r="A29" s="768" t="s">
        <v>320</v>
      </c>
      <c r="B29" s="929">
        <v>344</v>
      </c>
      <c r="C29" s="930">
        <f t="shared" si="0"/>
        <v>344</v>
      </c>
      <c r="D29" s="931">
        <f t="shared" si="4"/>
        <v>76994.822172</v>
      </c>
      <c r="E29" s="928" t="s">
        <v>308</v>
      </c>
      <c r="F29" s="928"/>
      <c r="G29" s="947">
        <v>0</v>
      </c>
      <c r="H29" s="948">
        <f t="shared" si="5"/>
        <v>87.080000000000013</v>
      </c>
      <c r="I29" s="900">
        <f t="shared" si="1"/>
        <v>76994.822172</v>
      </c>
      <c r="J29" s="1020">
        <f>IF(A29="","",[4]!T54A($K$10,H29))</f>
        <v>0.93980000000000008</v>
      </c>
      <c r="K29" s="1021">
        <f t="shared" si="6"/>
        <v>72360</v>
      </c>
      <c r="L29" s="879"/>
      <c r="M29" s="879"/>
      <c r="N29" s="879"/>
      <c r="O29" s="1022" t="s">
        <v>320</v>
      </c>
      <c r="P29" s="1022">
        <v>12241.2</v>
      </c>
      <c r="Q29" s="1023">
        <f t="shared" si="2"/>
        <v>76994.822172</v>
      </c>
      <c r="R29" s="879"/>
      <c r="S29" s="1022">
        <v>30.6</v>
      </c>
      <c r="T29" s="1024">
        <f t="shared" si="3"/>
        <v>87.080000000000013</v>
      </c>
      <c r="U29" s="879"/>
      <c r="V29" s="879"/>
      <c r="W29" s="879"/>
      <c r="X29" s="879"/>
      <c r="Y29" s="879"/>
      <c r="Z29" s="879"/>
      <c r="AA29" s="879"/>
      <c r="AB29" s="879"/>
      <c r="AC29" s="879"/>
    </row>
    <row r="30" spans="1:29" ht="12.75" customHeight="1">
      <c r="A30" s="768" t="s">
        <v>321</v>
      </c>
      <c r="B30" s="929">
        <v>499</v>
      </c>
      <c r="C30" s="930">
        <f t="shared" si="0"/>
        <v>499</v>
      </c>
      <c r="D30" s="931">
        <f t="shared" si="4"/>
        <v>7101.6986747999999</v>
      </c>
      <c r="E30" s="928" t="s">
        <v>308</v>
      </c>
      <c r="F30" s="928"/>
      <c r="G30" s="947">
        <v>0</v>
      </c>
      <c r="H30" s="948">
        <f t="shared" si="5"/>
        <v>90.139999999999986</v>
      </c>
      <c r="I30" s="900">
        <f t="shared" si="1"/>
        <v>7101.6986747999999</v>
      </c>
      <c r="J30" s="1020">
        <f>IF(A30="","",[4]!T54A($K$10,H30))</f>
        <v>0.93720000000000003</v>
      </c>
      <c r="K30" s="1021">
        <f t="shared" si="6"/>
        <v>6656</v>
      </c>
      <c r="L30" s="879"/>
      <c r="M30" s="879"/>
      <c r="N30" s="879"/>
      <c r="O30" s="1022" t="s">
        <v>321</v>
      </c>
      <c r="P30" s="1022">
        <v>1129.08</v>
      </c>
      <c r="Q30" s="1023">
        <f t="shared" si="2"/>
        <v>7101.6986747999999</v>
      </c>
      <c r="R30" s="879"/>
      <c r="S30" s="1022">
        <v>32.299999999999997</v>
      </c>
      <c r="T30" s="1024">
        <f t="shared" si="3"/>
        <v>90.139999999999986</v>
      </c>
      <c r="U30" s="879"/>
      <c r="V30" s="879"/>
      <c r="W30" s="879"/>
      <c r="X30" s="879"/>
      <c r="Y30" s="879"/>
      <c r="Z30" s="879"/>
      <c r="AA30" s="879"/>
      <c r="AB30" s="879"/>
      <c r="AC30" s="879"/>
    </row>
    <row r="31" spans="1:29" ht="12.75" customHeight="1">
      <c r="A31" s="768" t="s">
        <v>322</v>
      </c>
      <c r="B31" s="929">
        <v>485</v>
      </c>
      <c r="C31" s="930">
        <f t="shared" si="0"/>
        <v>485</v>
      </c>
      <c r="D31" s="931">
        <f t="shared" si="4"/>
        <v>7178.8746434999994</v>
      </c>
      <c r="E31" s="928" t="s">
        <v>323</v>
      </c>
      <c r="F31" s="928"/>
      <c r="G31" s="947">
        <v>0</v>
      </c>
      <c r="H31" s="948">
        <f t="shared" si="5"/>
        <v>88.16</v>
      </c>
      <c r="I31" s="900">
        <f t="shared" si="1"/>
        <v>7178.8746434999994</v>
      </c>
      <c r="J31" s="1020">
        <f>IF(A31="","",[4]!T54A($K$10,H31))</f>
        <v>0.93890000000000007</v>
      </c>
      <c r="K31" s="1021">
        <f t="shared" si="6"/>
        <v>6740</v>
      </c>
      <c r="L31" s="879"/>
      <c r="M31" s="879"/>
      <c r="N31" s="879"/>
      <c r="O31" s="1022" t="s">
        <v>322</v>
      </c>
      <c r="P31" s="1022">
        <v>1141.3499999999999</v>
      </c>
      <c r="Q31" s="1023">
        <f t="shared" si="2"/>
        <v>7178.8746434999994</v>
      </c>
      <c r="R31" s="879"/>
      <c r="S31" s="1022">
        <v>31.2</v>
      </c>
      <c r="T31" s="1024">
        <f t="shared" si="3"/>
        <v>88.16</v>
      </c>
      <c r="U31" s="879"/>
      <c r="V31" s="879"/>
      <c r="W31" s="879"/>
      <c r="X31" s="879"/>
      <c r="Y31" s="879"/>
      <c r="Z31" s="879"/>
      <c r="AA31" s="879"/>
      <c r="AB31" s="879"/>
      <c r="AC31" s="879"/>
    </row>
    <row r="32" spans="1:29" ht="12.75" customHeight="1">
      <c r="A32" s="768"/>
      <c r="B32" s="929"/>
      <c r="C32" s="930"/>
      <c r="D32" s="932"/>
      <c r="E32" s="928"/>
      <c r="F32" s="928"/>
      <c r="G32" s="947"/>
      <c r="H32" s="948"/>
      <c r="I32" s="900"/>
      <c r="J32" s="1020" t="str">
        <f>IF(A32="","",[4]!T54A($K$10,H32))</f>
        <v/>
      </c>
      <c r="K32" s="1021" t="str">
        <f t="shared" si="6"/>
        <v/>
      </c>
      <c r="L32" s="879"/>
      <c r="M32" s="879"/>
      <c r="N32" s="879"/>
      <c r="O32" s="879"/>
      <c r="P32" s="879"/>
      <c r="Q32" s="879"/>
      <c r="R32" s="879"/>
      <c r="S32" s="879"/>
      <c r="T32" s="879"/>
      <c r="U32" s="879"/>
      <c r="V32" s="879"/>
      <c r="W32" s="879"/>
      <c r="X32" s="879"/>
      <c r="Y32" s="879"/>
      <c r="Z32" s="879"/>
      <c r="AA32" s="879"/>
      <c r="AB32" s="879"/>
      <c r="AC32" s="879"/>
    </row>
    <row r="33" spans="1:29" ht="12.75" customHeight="1">
      <c r="A33" s="933"/>
      <c r="B33" s="934"/>
      <c r="C33" s="935"/>
      <c r="D33" s="936"/>
      <c r="E33" s="937"/>
      <c r="F33" s="949"/>
      <c r="G33" s="950"/>
      <c r="H33" s="951"/>
      <c r="I33" s="900"/>
      <c r="J33" s="1020" t="str">
        <f>IF(A33="","",[4]!T54A($K$10,H33))</f>
        <v/>
      </c>
      <c r="K33" s="1021" t="str">
        <f t="shared" si="6"/>
        <v/>
      </c>
      <c r="L33" s="879"/>
      <c r="M33" s="879"/>
      <c r="N33" s="879"/>
      <c r="O33" s="879"/>
      <c r="P33" s="879"/>
      <c r="Q33" s="879"/>
      <c r="R33" s="879"/>
      <c r="S33" s="879"/>
      <c r="T33" s="879"/>
      <c r="U33" s="879"/>
      <c r="V33" s="879"/>
      <c r="W33" s="879"/>
      <c r="X33" s="879"/>
      <c r="Y33" s="879"/>
      <c r="Z33" s="879"/>
      <c r="AA33" s="879"/>
      <c r="AB33" s="879"/>
      <c r="AC33" s="879"/>
    </row>
    <row r="34" spans="1:29" ht="12.75" customHeight="1">
      <c r="A34" s="933"/>
      <c r="B34" s="934"/>
      <c r="C34" s="935"/>
      <c r="D34" s="936"/>
      <c r="E34" s="937"/>
      <c r="F34" s="949"/>
      <c r="G34" s="950"/>
      <c r="H34" s="951"/>
      <c r="I34" s="901"/>
      <c r="J34" s="1020" t="str">
        <f>IF(A34="","",[4]!T54A($K$10,H34))</f>
        <v/>
      </c>
      <c r="K34" s="1021" t="str">
        <f t="shared" si="6"/>
        <v/>
      </c>
      <c r="L34" s="879"/>
      <c r="M34" s="879"/>
      <c r="N34" s="879"/>
      <c r="O34" s="879"/>
      <c r="P34" s="879"/>
      <c r="Q34" s="879"/>
      <c r="R34" s="879"/>
      <c r="S34" s="879"/>
      <c r="T34" s="879"/>
      <c r="U34" s="879"/>
      <c r="V34" s="879"/>
      <c r="W34" s="879"/>
      <c r="X34" s="879"/>
      <c r="Y34" s="879"/>
      <c r="Z34" s="879"/>
      <c r="AA34" s="879"/>
      <c r="AB34" s="879"/>
      <c r="AC34" s="879"/>
    </row>
    <row r="35" spans="1:29" ht="12.75" customHeight="1">
      <c r="A35" s="933"/>
      <c r="B35" s="938"/>
      <c r="C35" s="939"/>
      <c r="D35" s="940"/>
      <c r="E35" s="937"/>
      <c r="F35" s="933"/>
      <c r="G35" s="950"/>
      <c r="H35" s="951"/>
      <c r="I35" s="901"/>
      <c r="J35" s="1020" t="str">
        <f>IF(A35="","",[4]!T54A($K$10,H35))</f>
        <v/>
      </c>
      <c r="K35" s="1021" t="str">
        <f t="shared" si="6"/>
        <v/>
      </c>
      <c r="L35" s="879"/>
      <c r="M35" s="879"/>
      <c r="N35" s="879"/>
      <c r="O35" s="879"/>
      <c r="P35" s="879"/>
      <c r="Q35" s="879"/>
      <c r="R35" s="879"/>
      <c r="S35" s="879"/>
      <c r="T35" s="879"/>
      <c r="U35" s="879"/>
      <c r="V35" s="879"/>
      <c r="W35" s="879"/>
      <c r="X35" s="879"/>
      <c r="Y35" s="879"/>
      <c r="Z35" s="879"/>
      <c r="AA35" s="879"/>
      <c r="AB35" s="879"/>
      <c r="AC35" s="879"/>
    </row>
    <row r="36" spans="1:29" ht="12.75" customHeight="1">
      <c r="A36" s="933"/>
      <c r="B36" s="938"/>
      <c r="C36" s="939"/>
      <c r="D36" s="940"/>
      <c r="E36" s="937"/>
      <c r="F36" s="933"/>
      <c r="G36" s="950"/>
      <c r="H36" s="951"/>
      <c r="I36" s="901"/>
      <c r="J36" s="1020" t="str">
        <f>IF(A36="","",[4]!T54A($K$10,H36))</f>
        <v/>
      </c>
      <c r="K36" s="1021" t="str">
        <f t="shared" si="6"/>
        <v/>
      </c>
      <c r="L36" s="879"/>
      <c r="M36" s="879"/>
      <c r="N36" s="879"/>
      <c r="O36" s="879"/>
      <c r="P36" s="879"/>
      <c r="Q36" s="879"/>
      <c r="R36" s="879"/>
      <c r="S36" s="879"/>
      <c r="T36" s="879"/>
      <c r="U36" s="879"/>
      <c r="V36" s="879"/>
      <c r="W36" s="879"/>
      <c r="X36" s="879"/>
      <c r="Y36" s="879"/>
      <c r="Z36" s="879"/>
      <c r="AA36" s="879"/>
      <c r="AB36" s="879"/>
      <c r="AC36" s="879"/>
    </row>
    <row r="37" spans="1:29" ht="12.75" customHeight="1">
      <c r="A37" s="933"/>
      <c r="B37" s="938"/>
      <c r="C37" s="939"/>
      <c r="D37" s="940"/>
      <c r="E37" s="937"/>
      <c r="F37" s="933"/>
      <c r="G37" s="950"/>
      <c r="H37" s="951"/>
      <c r="I37" s="901"/>
      <c r="J37" s="1020" t="str">
        <f>IF(A37="","",[4]!T54A($K$10,H37))</f>
        <v/>
      </c>
      <c r="K37" s="1021" t="str">
        <f t="shared" si="6"/>
        <v/>
      </c>
      <c r="L37" s="879"/>
      <c r="M37" s="879"/>
      <c r="N37" s="879"/>
      <c r="O37" s="879"/>
      <c r="P37" s="879"/>
      <c r="Q37" s="879"/>
      <c r="R37" s="879"/>
      <c r="S37" s="879"/>
      <c r="T37" s="879"/>
      <c r="U37" s="879"/>
      <c r="V37" s="879"/>
      <c r="W37" s="879"/>
      <c r="X37" s="879"/>
      <c r="Y37" s="879"/>
      <c r="Z37" s="879"/>
      <c r="AA37" s="879"/>
      <c r="AB37" s="879"/>
      <c r="AC37" s="879"/>
    </row>
    <row r="38" spans="1:29" ht="12.75" customHeight="1">
      <c r="A38" s="941"/>
      <c r="B38" s="942"/>
      <c r="C38" s="943"/>
      <c r="D38" s="944"/>
      <c r="E38" s="945"/>
      <c r="F38" s="941"/>
      <c r="G38" s="952"/>
      <c r="H38" s="953"/>
      <c r="I38" s="902"/>
      <c r="J38" s="1020" t="str">
        <f>IF(A38="","",[4]!T54A($K$10,H38))</f>
        <v/>
      </c>
      <c r="K38" s="1021" t="str">
        <f t="shared" si="6"/>
        <v/>
      </c>
      <c r="L38" s="879"/>
      <c r="M38" s="879"/>
      <c r="N38" s="879"/>
      <c r="O38" s="879"/>
      <c r="P38" s="879"/>
      <c r="Q38" s="879"/>
      <c r="R38" s="879"/>
      <c r="S38" s="879"/>
      <c r="T38" s="879"/>
      <c r="U38" s="879"/>
      <c r="V38" s="879"/>
      <c r="W38" s="879"/>
      <c r="X38" s="879"/>
      <c r="Y38" s="879"/>
      <c r="Z38" s="879"/>
      <c r="AA38" s="879"/>
      <c r="AB38" s="879"/>
      <c r="AC38" s="879"/>
    </row>
    <row r="39" spans="1:29" ht="12.75" customHeight="1">
      <c r="A39" s="1951" t="s">
        <v>324</v>
      </c>
      <c r="B39" s="1952"/>
      <c r="C39" s="1903"/>
      <c r="D39" s="903">
        <f>SUM(D17:D38)</f>
        <v>963314.5613252999</v>
      </c>
      <c r="E39" s="860"/>
      <c r="F39" s="861"/>
      <c r="G39" s="904">
        <f>SUM(G18:G38)</f>
        <v>0</v>
      </c>
      <c r="H39" s="905"/>
      <c r="I39" s="906">
        <f>SUM(I17:I38)</f>
        <v>963314.5613252999</v>
      </c>
      <c r="J39" s="907"/>
      <c r="K39" s="903">
        <f>SUM(K17:K38)</f>
        <v>905700</v>
      </c>
      <c r="L39" s="879"/>
      <c r="M39" s="1025"/>
      <c r="N39" s="879"/>
      <c r="O39" s="879"/>
      <c r="P39" s="879"/>
      <c r="Q39" s="879"/>
      <c r="R39" s="879"/>
      <c r="S39" s="879"/>
      <c r="T39" s="879"/>
      <c r="U39" s="879"/>
      <c r="V39" s="879"/>
      <c r="W39" s="879"/>
      <c r="X39" s="879"/>
      <c r="Y39" s="879"/>
      <c r="Z39" s="879"/>
      <c r="AA39" s="879"/>
      <c r="AB39" s="879"/>
      <c r="AC39" s="879"/>
    </row>
    <row r="40" spans="1:29" ht="12.75" customHeight="1">
      <c r="A40" s="692"/>
      <c r="B40" s="700"/>
      <c r="C40" s="700"/>
      <c r="D40" s="737"/>
      <c r="E40" s="737"/>
      <c r="F40" s="737"/>
      <c r="G40" s="692"/>
      <c r="H40" s="692"/>
      <c r="I40" s="692"/>
      <c r="J40" s="908"/>
      <c r="K40" s="908"/>
      <c r="L40" s="879"/>
      <c r="M40" s="879"/>
      <c r="N40" s="879"/>
      <c r="O40" s="879"/>
      <c r="P40" s="879"/>
      <c r="Q40" s="879"/>
      <c r="R40" s="879"/>
      <c r="S40" s="879"/>
      <c r="T40" s="879"/>
      <c r="U40" s="879"/>
      <c r="V40" s="879"/>
      <c r="W40" s="879"/>
      <c r="X40" s="879"/>
      <c r="Y40" s="879"/>
      <c r="Z40" s="879"/>
      <c r="AA40" s="879"/>
      <c r="AB40" s="879"/>
      <c r="AC40" s="879"/>
    </row>
    <row r="41" spans="1:29" ht="12.75" customHeight="1">
      <c r="A41" s="692"/>
      <c r="B41" s="692"/>
      <c r="C41" s="1953"/>
      <c r="D41" s="1950"/>
      <c r="E41" s="1940"/>
      <c r="F41" s="737"/>
      <c r="G41" s="1954"/>
      <c r="H41" s="1898"/>
      <c r="I41" s="1950"/>
      <c r="J41" s="1940"/>
      <c r="K41" s="692"/>
      <c r="L41" s="879"/>
      <c r="M41" s="879"/>
      <c r="N41" s="879"/>
      <c r="O41" s="879"/>
      <c r="P41" s="879"/>
      <c r="Q41" s="879"/>
      <c r="R41" s="879"/>
      <c r="S41" s="879"/>
      <c r="T41" s="879"/>
      <c r="U41" s="879"/>
      <c r="V41" s="879"/>
      <c r="W41" s="879"/>
      <c r="X41" s="879"/>
      <c r="Y41" s="879"/>
      <c r="Z41" s="879"/>
      <c r="AA41" s="879"/>
      <c r="AB41" s="879"/>
      <c r="AC41" s="879"/>
    </row>
    <row r="42" spans="1:29" ht="12.75" customHeight="1">
      <c r="A42" s="909"/>
      <c r="B42" s="692"/>
      <c r="C42" s="1898"/>
      <c r="D42" s="1898"/>
      <c r="E42" s="1898"/>
      <c r="F42" s="910"/>
      <c r="G42" s="1898"/>
      <c r="H42" s="1898"/>
      <c r="I42" s="1898"/>
      <c r="J42" s="1898"/>
      <c r="K42" s="692"/>
      <c r="L42" s="879"/>
      <c r="M42" s="879"/>
      <c r="N42" s="879"/>
      <c r="O42" s="879"/>
      <c r="P42" s="879"/>
      <c r="Q42" s="879"/>
      <c r="R42" s="879"/>
      <c r="S42" s="879"/>
      <c r="T42" s="879"/>
      <c r="U42" s="879"/>
      <c r="V42" s="879"/>
      <c r="W42" s="879"/>
      <c r="X42" s="879"/>
      <c r="Y42" s="879"/>
      <c r="Z42" s="879"/>
      <c r="AA42" s="879"/>
      <c r="AB42" s="879"/>
      <c r="AC42" s="879"/>
    </row>
    <row r="43" spans="1:29" ht="12.75" customHeight="1">
      <c r="A43" s="707"/>
      <c r="B43" s="707"/>
      <c r="C43" s="707"/>
      <c r="D43" s="707"/>
      <c r="E43" s="707"/>
      <c r="F43" s="707"/>
      <c r="G43" s="707"/>
      <c r="H43" s="707"/>
      <c r="I43" s="707"/>
      <c r="J43" s="707"/>
      <c r="K43" s="707"/>
      <c r="L43" s="879"/>
      <c r="M43" s="879"/>
      <c r="N43" s="879"/>
      <c r="O43" s="879"/>
      <c r="P43" s="879"/>
      <c r="Q43" s="879"/>
      <c r="R43" s="879"/>
      <c r="S43" s="879"/>
      <c r="T43" s="879"/>
      <c r="U43" s="879"/>
      <c r="V43" s="879"/>
      <c r="W43" s="879"/>
      <c r="X43" s="879"/>
      <c r="Y43" s="879"/>
      <c r="Z43" s="879"/>
      <c r="AA43" s="879"/>
      <c r="AB43" s="879"/>
      <c r="AC43" s="879"/>
    </row>
    <row r="44" spans="1:29" ht="12.75" customHeight="1">
      <c r="A44" s="707"/>
      <c r="B44" s="707"/>
      <c r="C44" s="707"/>
      <c r="D44" s="707"/>
      <c r="E44" s="707"/>
      <c r="F44" s="707"/>
      <c r="G44" s="707"/>
      <c r="H44" s="707"/>
      <c r="I44" s="707"/>
      <c r="J44" s="707"/>
      <c r="K44" s="707"/>
      <c r="L44" s="879"/>
      <c r="M44" s="879"/>
      <c r="N44" s="879"/>
      <c r="O44" s="879"/>
      <c r="P44" s="879"/>
      <c r="Q44" s="879"/>
      <c r="R44" s="879"/>
      <c r="S44" s="879"/>
      <c r="T44" s="879"/>
      <c r="U44" s="879"/>
      <c r="V44" s="879"/>
      <c r="W44" s="879"/>
      <c r="X44" s="879"/>
      <c r="Y44" s="879"/>
      <c r="Z44" s="879"/>
      <c r="AA44" s="879"/>
      <c r="AB44" s="879"/>
      <c r="AC44" s="879"/>
    </row>
    <row r="45" spans="1:29" ht="12.75" customHeight="1">
      <c r="A45" s="707"/>
      <c r="B45" s="707"/>
      <c r="C45" s="707"/>
      <c r="D45" s="707"/>
      <c r="E45" s="742" t="s">
        <v>325</v>
      </c>
      <c r="F45" s="707"/>
      <c r="G45" s="707"/>
      <c r="H45" s="707"/>
      <c r="I45" s="707"/>
      <c r="J45" s="707"/>
      <c r="K45" s="707"/>
      <c r="L45" s="879"/>
      <c r="M45" s="879"/>
      <c r="N45" s="879"/>
      <c r="O45" s="879"/>
      <c r="P45" s="879"/>
      <c r="Q45" s="879"/>
      <c r="R45" s="879"/>
      <c r="S45" s="879"/>
      <c r="T45" s="879"/>
      <c r="U45" s="879"/>
      <c r="V45" s="879"/>
      <c r="W45" s="879"/>
      <c r="X45" s="879"/>
      <c r="Y45" s="879"/>
      <c r="Z45" s="879"/>
      <c r="AA45" s="879"/>
      <c r="AB45" s="879"/>
      <c r="AC45" s="879"/>
    </row>
    <row r="46" spans="1:29" ht="12.75" customHeight="1">
      <c r="A46" s="855"/>
      <c r="B46" s="852"/>
      <c r="C46" s="853"/>
      <c r="D46" s="1941" t="s">
        <v>326</v>
      </c>
      <c r="E46" s="1903"/>
      <c r="F46" s="1942" t="s">
        <v>327</v>
      </c>
      <c r="G46" s="1903"/>
      <c r="H46" s="1941" t="s">
        <v>328</v>
      </c>
      <c r="I46" s="1903"/>
      <c r="J46" s="911"/>
      <c r="K46" s="912"/>
      <c r="L46" s="879"/>
      <c r="M46" s="1026"/>
      <c r="N46" s="879"/>
      <c r="O46" s="879"/>
      <c r="P46" s="879"/>
      <c r="Q46" s="879"/>
      <c r="R46" s="879"/>
      <c r="S46" s="879"/>
      <c r="T46" s="879"/>
      <c r="U46" s="879"/>
      <c r="V46" s="879"/>
      <c r="W46" s="879"/>
      <c r="X46" s="879"/>
      <c r="Y46" s="879"/>
      <c r="Z46" s="879"/>
      <c r="AA46" s="879"/>
      <c r="AB46" s="879"/>
      <c r="AC46" s="879"/>
    </row>
    <row r="47" spans="1:29" ht="12.75" customHeight="1">
      <c r="A47" s="913" t="s">
        <v>280</v>
      </c>
      <c r="B47" s="856"/>
      <c r="C47" s="857"/>
      <c r="D47" s="1943">
        <f>+H47+F47</f>
        <v>905700</v>
      </c>
      <c r="E47" s="1903"/>
      <c r="F47" s="1944">
        <f>+G39</f>
        <v>0</v>
      </c>
      <c r="G47" s="1903"/>
      <c r="H47" s="1945">
        <f>ROUND(+K39,0)</f>
        <v>905700</v>
      </c>
      <c r="I47" s="1903"/>
      <c r="J47" s="914"/>
      <c r="K47" s="915"/>
      <c r="L47" s="879"/>
      <c r="M47" s="879"/>
      <c r="N47" s="879"/>
      <c r="O47" s="879"/>
      <c r="P47" s="879"/>
      <c r="Q47" s="879"/>
      <c r="R47" s="879"/>
      <c r="S47" s="879"/>
      <c r="T47" s="879"/>
      <c r="U47" s="879"/>
      <c r="V47" s="879"/>
      <c r="W47" s="879"/>
      <c r="X47" s="879"/>
      <c r="Y47" s="879"/>
      <c r="Z47" s="879"/>
      <c r="AA47" s="879"/>
      <c r="AB47" s="879"/>
      <c r="AC47" s="879"/>
    </row>
    <row r="48" spans="1:29" ht="12.75" customHeight="1">
      <c r="A48" s="913" t="s">
        <v>303</v>
      </c>
      <c r="B48" s="856"/>
      <c r="C48" s="857"/>
      <c r="D48" s="1936">
        <f t="shared" ref="D48:D51" si="7">H48+F48</f>
        <v>143933.84400000001</v>
      </c>
      <c r="E48" s="1903"/>
      <c r="F48" s="1939">
        <f>+F47*0.158987</f>
        <v>0</v>
      </c>
      <c r="G48" s="1903"/>
      <c r="H48" s="1938">
        <f>+H47*0.15892</f>
        <v>143933.84400000001</v>
      </c>
      <c r="I48" s="1903"/>
      <c r="J48" s="914"/>
      <c r="K48" s="916"/>
      <c r="L48" s="879"/>
      <c r="M48" s="879"/>
      <c r="N48" s="879"/>
      <c r="O48" s="879"/>
      <c r="P48" s="879"/>
      <c r="Q48" s="879"/>
      <c r="R48" s="879"/>
      <c r="S48" s="879"/>
      <c r="T48" s="879"/>
      <c r="U48" s="879"/>
      <c r="V48" s="879"/>
      <c r="W48" s="879"/>
      <c r="X48" s="879"/>
      <c r="Y48" s="879"/>
      <c r="Z48" s="879"/>
      <c r="AA48" s="879"/>
      <c r="AB48" s="879"/>
      <c r="AC48" s="879"/>
    </row>
    <row r="49" spans="1:29" ht="12.75" customHeight="1">
      <c r="A49" s="913" t="s">
        <v>329</v>
      </c>
      <c r="B49" s="856"/>
      <c r="C49" s="857"/>
      <c r="D49" s="1936">
        <f t="shared" si="7"/>
        <v>124186.12060320002</v>
      </c>
      <c r="E49" s="1903"/>
      <c r="F49" s="1937">
        <f>+F48*(1-0.0011)</f>
        <v>0</v>
      </c>
      <c r="G49" s="1903"/>
      <c r="H49" s="1938">
        <f>+H48*(K10-0.0011)</f>
        <v>124186.12060320002</v>
      </c>
      <c r="I49" s="1903"/>
      <c r="J49" s="914"/>
      <c r="K49" s="916"/>
      <c r="L49" s="917"/>
      <c r="M49" s="879"/>
      <c r="N49" s="879"/>
      <c r="O49" s="879"/>
      <c r="P49" s="879"/>
      <c r="Q49" s="879"/>
      <c r="R49" s="879"/>
      <c r="S49" s="879"/>
      <c r="T49" s="879"/>
      <c r="U49" s="879"/>
      <c r="V49" s="879"/>
      <c r="W49" s="879"/>
      <c r="X49" s="879"/>
      <c r="Y49" s="879"/>
      <c r="Z49" s="879"/>
      <c r="AA49" s="879"/>
      <c r="AB49" s="879"/>
      <c r="AC49" s="879"/>
    </row>
    <row r="50" spans="1:29" ht="12.75" customHeight="1">
      <c r="A50" s="913" t="s">
        <v>330</v>
      </c>
      <c r="B50" s="856"/>
      <c r="C50" s="857"/>
      <c r="D50" s="1936">
        <f t="shared" si="7"/>
        <v>122224.72501439309</v>
      </c>
      <c r="E50" s="1903"/>
      <c r="F50" s="1939">
        <f>+F49*0.984206</f>
        <v>0</v>
      </c>
      <c r="G50" s="1903"/>
      <c r="H50" s="1936">
        <f>+H49*0.984206</f>
        <v>122224.72501439309</v>
      </c>
      <c r="I50" s="1903"/>
      <c r="J50" s="914"/>
      <c r="K50" s="916"/>
      <c r="L50" s="917"/>
      <c r="M50" s="879"/>
      <c r="N50" s="879"/>
      <c r="O50" s="879"/>
      <c r="P50" s="879"/>
      <c r="Q50" s="879"/>
      <c r="R50" s="879"/>
      <c r="S50" s="879"/>
      <c r="T50" s="879"/>
      <c r="U50" s="879"/>
      <c r="V50" s="879"/>
      <c r="W50" s="879"/>
      <c r="X50" s="879"/>
      <c r="Y50" s="879"/>
      <c r="Z50" s="879"/>
      <c r="AA50" s="879"/>
      <c r="AB50" s="879"/>
      <c r="AC50" s="879"/>
    </row>
    <row r="51" spans="1:29" ht="12.75" customHeight="1">
      <c r="A51" s="913" t="s">
        <v>331</v>
      </c>
      <c r="B51" s="856"/>
      <c r="C51" s="857"/>
      <c r="D51" s="1936">
        <f t="shared" si="7"/>
        <v>124344.44783160002</v>
      </c>
      <c r="E51" s="1903"/>
      <c r="F51" s="1937">
        <f>+F48*1</f>
        <v>0</v>
      </c>
      <c r="G51" s="1903"/>
      <c r="H51" s="1938">
        <f>H48*K10</f>
        <v>124344.44783160002</v>
      </c>
      <c r="I51" s="1903"/>
      <c r="J51" s="914"/>
      <c r="K51" s="916"/>
      <c r="L51" s="917"/>
      <c r="M51" s="879"/>
      <c r="N51" s="879"/>
      <c r="O51" s="879"/>
      <c r="P51" s="879"/>
      <c r="Q51" s="879"/>
      <c r="R51" s="879"/>
      <c r="S51" s="879"/>
      <c r="T51" s="879"/>
      <c r="U51" s="879"/>
      <c r="V51" s="879"/>
      <c r="W51" s="879"/>
      <c r="X51" s="879"/>
      <c r="Y51" s="879"/>
      <c r="Z51" s="879"/>
      <c r="AA51" s="879"/>
      <c r="AB51" s="879"/>
      <c r="AC51" s="879"/>
    </row>
    <row r="52" spans="1:29" ht="12.75" customHeight="1">
      <c r="A52" s="742"/>
      <c r="B52" s="742"/>
      <c r="C52" s="742"/>
      <c r="D52" s="918"/>
      <c r="E52" s="918"/>
      <c r="F52" s="707"/>
      <c r="G52" s="707"/>
      <c r="H52" s="707"/>
      <c r="I52" s="919"/>
      <c r="J52" s="707"/>
      <c r="K52" s="707"/>
      <c r="L52" s="879"/>
      <c r="M52" s="879"/>
      <c r="N52" s="879"/>
      <c r="O52" s="879"/>
      <c r="P52" s="879"/>
      <c r="Q52" s="879"/>
      <c r="R52" s="879"/>
      <c r="S52" s="879"/>
      <c r="T52" s="879"/>
      <c r="U52" s="879"/>
      <c r="V52" s="879"/>
      <c r="W52" s="879"/>
      <c r="X52" s="879"/>
      <c r="Y52" s="879"/>
      <c r="Z52" s="879"/>
      <c r="AA52" s="879"/>
      <c r="AB52" s="879"/>
      <c r="AC52" s="879"/>
    </row>
    <row r="53" spans="1:29" ht="12.75" customHeight="1">
      <c r="A53" s="742"/>
      <c r="B53" s="742"/>
      <c r="C53" s="742"/>
      <c r="D53" s="918"/>
      <c r="E53" s="918"/>
      <c r="F53" s="707"/>
      <c r="G53" s="707"/>
      <c r="H53" s="707"/>
      <c r="I53" s="919"/>
      <c r="J53" s="707"/>
      <c r="K53" s="707"/>
      <c r="L53" s="879"/>
      <c r="M53" s="879"/>
      <c r="N53" s="879"/>
      <c r="O53" s="879"/>
      <c r="P53" s="879"/>
      <c r="Q53" s="879"/>
      <c r="R53" s="879"/>
      <c r="S53" s="879"/>
      <c r="T53" s="879"/>
      <c r="U53" s="879"/>
      <c r="V53" s="879"/>
      <c r="W53" s="879"/>
      <c r="X53" s="879"/>
      <c r="Y53" s="879"/>
      <c r="Z53" s="879"/>
      <c r="AA53" s="879"/>
      <c r="AB53" s="879"/>
      <c r="AC53" s="879"/>
    </row>
    <row r="54" spans="1:29" ht="12.75" customHeight="1">
      <c r="A54" s="707"/>
      <c r="B54" s="707"/>
      <c r="C54" s="707"/>
      <c r="D54" s="707"/>
      <c r="E54" s="707"/>
      <c r="F54" s="707"/>
      <c r="G54" s="707"/>
      <c r="H54" s="707"/>
      <c r="I54" s="707"/>
      <c r="J54" s="707"/>
      <c r="K54" s="707"/>
      <c r="L54" s="879"/>
      <c r="M54" s="879"/>
      <c r="N54" s="879"/>
      <c r="O54" s="879"/>
      <c r="P54" s="879"/>
      <c r="Q54" s="879"/>
      <c r="R54" s="879"/>
      <c r="S54" s="879"/>
      <c r="T54" s="879"/>
      <c r="U54" s="879"/>
      <c r="V54" s="879"/>
      <c r="W54" s="879"/>
      <c r="X54" s="879"/>
      <c r="Y54" s="879"/>
      <c r="Z54" s="879"/>
      <c r="AA54" s="879"/>
      <c r="AB54" s="879"/>
      <c r="AC54" s="879"/>
    </row>
    <row r="55" spans="1:29" ht="12.75" customHeight="1">
      <c r="A55" s="740" t="s">
        <v>332</v>
      </c>
      <c r="B55" s="707"/>
      <c r="C55" s="707"/>
      <c r="D55" s="707"/>
      <c r="E55" s="707"/>
      <c r="F55" s="707"/>
      <c r="G55" s="707"/>
      <c r="H55" s="740" t="s">
        <v>332</v>
      </c>
      <c r="I55" s="707"/>
      <c r="J55" s="707"/>
      <c r="K55" s="707"/>
      <c r="L55" s="879"/>
      <c r="M55" s="879"/>
      <c r="N55" s="879"/>
      <c r="O55" s="879"/>
      <c r="P55" s="879"/>
      <c r="Q55" s="879"/>
      <c r="R55" s="879"/>
      <c r="S55" s="879"/>
      <c r="T55" s="879"/>
      <c r="U55" s="879"/>
      <c r="V55" s="879"/>
      <c r="W55" s="879"/>
      <c r="X55" s="879"/>
      <c r="Y55" s="879"/>
      <c r="Z55" s="879"/>
      <c r="AA55" s="879"/>
      <c r="AB55" s="879"/>
      <c r="AC55" s="879"/>
    </row>
    <row r="56" spans="1:29" ht="12.75" customHeight="1">
      <c r="A56" s="740" t="s">
        <v>333</v>
      </c>
      <c r="B56" s="741"/>
      <c r="C56" s="741"/>
      <c r="D56" s="741"/>
      <c r="E56" s="741"/>
      <c r="F56" s="707"/>
      <c r="G56" s="707"/>
      <c r="H56" s="740" t="s">
        <v>333</v>
      </c>
      <c r="I56" s="1904"/>
      <c r="J56" s="1905"/>
      <c r="K56" s="1905"/>
      <c r="L56" s="879"/>
      <c r="M56" s="879"/>
      <c r="N56" s="879"/>
      <c r="O56" s="879"/>
      <c r="P56" s="879"/>
      <c r="Q56" s="879"/>
      <c r="R56" s="879"/>
      <c r="S56" s="879"/>
      <c r="T56" s="879"/>
      <c r="U56" s="879"/>
      <c r="V56" s="879"/>
      <c r="W56" s="879"/>
      <c r="X56" s="879"/>
      <c r="Y56" s="879"/>
      <c r="Z56" s="879"/>
      <c r="AA56" s="879"/>
      <c r="AB56" s="879"/>
      <c r="AC56" s="879"/>
    </row>
    <row r="57" spans="1:29" ht="11.25" customHeight="1">
      <c r="A57" s="742" t="s">
        <v>334</v>
      </c>
      <c r="B57" s="741"/>
      <c r="C57" s="741"/>
      <c r="D57" s="741"/>
      <c r="E57" s="741"/>
      <c r="F57" s="707"/>
      <c r="G57" s="707"/>
      <c r="H57" s="742" t="s">
        <v>334</v>
      </c>
      <c r="I57" s="1906" t="s">
        <v>638</v>
      </c>
      <c r="J57" s="1905"/>
      <c r="K57" s="1905"/>
      <c r="L57" s="879"/>
      <c r="M57" s="879"/>
      <c r="N57" s="879"/>
      <c r="O57" s="879"/>
      <c r="P57" s="879"/>
      <c r="Q57" s="879"/>
      <c r="R57" s="879"/>
      <c r="S57" s="879"/>
      <c r="T57" s="879"/>
      <c r="U57" s="879"/>
      <c r="V57" s="879"/>
      <c r="W57" s="879"/>
      <c r="X57" s="879"/>
      <c r="Y57" s="879"/>
      <c r="Z57" s="879"/>
      <c r="AA57" s="879"/>
      <c r="AB57" s="879"/>
      <c r="AC57" s="879"/>
    </row>
    <row r="58" spans="1:29" ht="11.25" customHeight="1">
      <c r="A58" s="742"/>
      <c r="B58" s="707"/>
      <c r="C58" s="707"/>
      <c r="D58" s="707"/>
      <c r="E58" s="707"/>
      <c r="F58" s="707"/>
      <c r="G58" s="707"/>
      <c r="H58" s="742"/>
      <c r="I58" s="707"/>
      <c r="J58" s="707"/>
      <c r="K58" s="707"/>
      <c r="L58" s="879"/>
      <c r="M58" s="879"/>
      <c r="N58" s="879"/>
      <c r="O58" s="879"/>
      <c r="P58" s="879"/>
      <c r="Q58" s="879"/>
      <c r="R58" s="879"/>
      <c r="S58" s="879"/>
      <c r="T58" s="879"/>
      <c r="U58" s="879"/>
      <c r="V58" s="879"/>
      <c r="W58" s="879"/>
      <c r="X58" s="879"/>
      <c r="Y58" s="879"/>
      <c r="Z58" s="879"/>
      <c r="AA58" s="879"/>
      <c r="AB58" s="879"/>
      <c r="AC58" s="879"/>
    </row>
    <row r="59" spans="1:29" ht="11.25" customHeight="1">
      <c r="A59" s="742"/>
      <c r="B59" s="707"/>
      <c r="C59" s="707"/>
      <c r="D59" s="707"/>
      <c r="E59" s="707"/>
      <c r="F59" s="707"/>
      <c r="G59" s="707"/>
      <c r="H59" s="742"/>
      <c r="I59" s="707"/>
      <c r="J59" s="707"/>
      <c r="K59" s="707"/>
      <c r="L59" s="879"/>
      <c r="M59" s="879"/>
      <c r="N59" s="879"/>
      <c r="O59" s="879"/>
      <c r="P59" s="879"/>
      <c r="Q59" s="879"/>
      <c r="R59" s="879"/>
      <c r="S59" s="879"/>
      <c r="T59" s="879"/>
      <c r="U59" s="879"/>
      <c r="V59" s="879"/>
      <c r="W59" s="879"/>
      <c r="X59" s="879"/>
      <c r="Y59" s="879"/>
      <c r="Z59" s="879"/>
      <c r="AA59" s="879"/>
      <c r="AB59" s="879"/>
      <c r="AC59" s="879"/>
    </row>
    <row r="60" spans="1:29" ht="11.25" customHeight="1">
      <c r="A60" s="742"/>
      <c r="B60" s="707"/>
      <c r="C60" s="707"/>
      <c r="D60" s="707"/>
      <c r="E60" s="707"/>
      <c r="F60" s="707"/>
      <c r="G60" s="707"/>
      <c r="H60" s="742"/>
      <c r="I60" s="707"/>
      <c r="J60" s="707"/>
      <c r="K60" s="707"/>
      <c r="L60" s="879"/>
      <c r="M60" s="879"/>
      <c r="N60" s="879"/>
      <c r="O60" s="879"/>
      <c r="P60" s="879"/>
      <c r="Q60" s="879"/>
      <c r="R60" s="879"/>
      <c r="S60" s="879"/>
      <c r="T60" s="879"/>
      <c r="U60" s="879"/>
      <c r="V60" s="879"/>
      <c r="W60" s="879"/>
      <c r="X60" s="879"/>
      <c r="Y60" s="879"/>
      <c r="Z60" s="879"/>
      <c r="AA60" s="879"/>
      <c r="AB60" s="879"/>
      <c r="AC60" s="879"/>
    </row>
    <row r="61" spans="1:29" ht="11.25" customHeight="1">
      <c r="A61" s="742"/>
      <c r="B61" s="707"/>
      <c r="C61" s="707"/>
      <c r="D61" s="707"/>
      <c r="E61" s="707"/>
      <c r="F61" s="707"/>
      <c r="G61" s="707"/>
      <c r="H61" s="742"/>
      <c r="I61" s="707"/>
      <c r="J61" s="707"/>
      <c r="K61" s="707"/>
      <c r="L61" s="879"/>
      <c r="M61" s="879"/>
      <c r="N61" s="879"/>
      <c r="O61" s="879"/>
      <c r="P61" s="879"/>
      <c r="Q61" s="879"/>
      <c r="R61" s="879"/>
      <c r="S61" s="879"/>
      <c r="T61" s="879"/>
      <c r="U61" s="879"/>
      <c r="V61" s="879"/>
      <c r="W61" s="879"/>
      <c r="X61" s="879"/>
      <c r="Y61" s="879"/>
      <c r="Z61" s="879"/>
      <c r="AA61" s="879"/>
      <c r="AB61" s="879"/>
      <c r="AC61" s="879"/>
    </row>
    <row r="62" spans="1:29" ht="14.25" customHeight="1">
      <c r="A62" s="863"/>
      <c r="B62" s="707"/>
      <c r="C62" s="707"/>
      <c r="D62" s="707"/>
      <c r="E62" s="707"/>
      <c r="F62" s="707"/>
      <c r="G62" s="707"/>
      <c r="H62" s="707"/>
      <c r="I62" s="707"/>
      <c r="J62" s="707"/>
      <c r="K62" s="707"/>
      <c r="L62" s="879"/>
      <c r="M62" s="879"/>
      <c r="N62" s="879"/>
      <c r="O62" s="879"/>
      <c r="P62" s="879"/>
      <c r="Q62" s="879"/>
      <c r="R62" s="879"/>
      <c r="S62" s="879"/>
      <c r="T62" s="879"/>
      <c r="U62" s="879"/>
      <c r="V62" s="879"/>
      <c r="W62" s="879"/>
      <c r="X62" s="879"/>
      <c r="Y62" s="879"/>
      <c r="Z62" s="879"/>
      <c r="AA62" s="879"/>
      <c r="AB62" s="879"/>
      <c r="AC62" s="879"/>
    </row>
    <row r="63" spans="1:29" ht="15" customHeight="1">
      <c r="A63" s="707"/>
      <c r="B63" s="707"/>
      <c r="C63" s="745"/>
      <c r="D63" s="742"/>
      <c r="E63" s="742"/>
      <c r="F63" s="742"/>
      <c r="G63" s="742"/>
      <c r="H63" s="742"/>
      <c r="I63" s="742"/>
      <c r="J63" s="742"/>
      <c r="K63" s="707"/>
      <c r="L63" s="879"/>
      <c r="M63" s="879"/>
      <c r="N63" s="879"/>
      <c r="O63" s="879"/>
      <c r="P63" s="879"/>
      <c r="Q63" s="879"/>
      <c r="R63" s="879"/>
      <c r="S63" s="879"/>
      <c r="T63" s="879"/>
      <c r="U63" s="879"/>
      <c r="V63" s="879"/>
      <c r="W63" s="879"/>
      <c r="X63" s="879"/>
      <c r="Y63" s="879"/>
      <c r="Z63" s="879"/>
      <c r="AA63" s="879"/>
      <c r="AB63" s="879"/>
      <c r="AC63" s="879"/>
    </row>
    <row r="64" spans="1:29" ht="3" customHeight="1">
      <c r="A64" s="707"/>
      <c r="B64" s="707"/>
      <c r="C64" s="707"/>
      <c r="D64" s="707"/>
      <c r="E64" s="707"/>
      <c r="F64" s="707"/>
      <c r="G64" s="707"/>
      <c r="H64" s="707"/>
      <c r="I64" s="707"/>
      <c r="J64" s="707"/>
      <c r="K64" s="707"/>
      <c r="L64" s="879"/>
      <c r="M64" s="879"/>
      <c r="N64" s="879"/>
      <c r="O64" s="879"/>
      <c r="P64" s="879"/>
      <c r="Q64" s="879"/>
      <c r="R64" s="879"/>
      <c r="S64" s="879"/>
      <c r="T64" s="879"/>
      <c r="U64" s="879"/>
      <c r="V64" s="879"/>
      <c r="W64" s="879"/>
      <c r="X64" s="879"/>
      <c r="Y64" s="879"/>
      <c r="Z64" s="879"/>
      <c r="AA64" s="879"/>
      <c r="AB64" s="879"/>
      <c r="AC64" s="879"/>
    </row>
    <row r="65" spans="1:29" ht="10.5" customHeight="1">
      <c r="A65" s="707"/>
      <c r="B65" s="747"/>
      <c r="C65" s="747"/>
      <c r="D65" s="747"/>
      <c r="E65" s="707"/>
      <c r="F65" s="707"/>
      <c r="G65" s="707"/>
      <c r="H65" s="707"/>
      <c r="I65" s="920"/>
      <c r="J65" s="707"/>
      <c r="K65" s="707"/>
      <c r="L65" s="879"/>
      <c r="M65" s="879"/>
      <c r="N65" s="879"/>
      <c r="O65" s="879"/>
      <c r="P65" s="879"/>
      <c r="Q65" s="879"/>
      <c r="R65" s="879"/>
      <c r="S65" s="879"/>
      <c r="T65" s="879"/>
      <c r="U65" s="879"/>
      <c r="V65" s="879"/>
      <c r="W65" s="879"/>
      <c r="X65" s="879"/>
      <c r="Y65" s="879"/>
      <c r="Z65" s="879"/>
      <c r="AA65" s="879"/>
      <c r="AB65" s="879"/>
      <c r="AC65" s="879"/>
    </row>
    <row r="66" spans="1:29" ht="12.75" customHeight="1">
      <c r="A66" s="879"/>
      <c r="B66" s="879"/>
      <c r="C66" s="879"/>
      <c r="D66" s="879"/>
      <c r="E66" s="879"/>
      <c r="F66" s="879"/>
      <c r="G66" s="879"/>
      <c r="H66" s="879"/>
      <c r="I66" s="879"/>
      <c r="J66" s="879"/>
      <c r="K66" s="879"/>
      <c r="L66" s="879"/>
      <c r="M66" s="879"/>
      <c r="N66" s="879"/>
      <c r="O66" s="879"/>
      <c r="P66" s="879"/>
      <c r="Q66" s="879"/>
      <c r="R66" s="879"/>
      <c r="S66" s="879"/>
      <c r="T66" s="879"/>
      <c r="U66" s="879"/>
      <c r="V66" s="879"/>
      <c r="W66" s="879"/>
      <c r="X66" s="879"/>
      <c r="Y66" s="879"/>
      <c r="Z66" s="879"/>
      <c r="AA66" s="879"/>
      <c r="AB66" s="879"/>
      <c r="AC66" s="879"/>
    </row>
    <row r="67" spans="1:29" ht="12.75" customHeight="1">
      <c r="A67" s="879"/>
      <c r="B67" s="879"/>
      <c r="C67" s="879"/>
      <c r="D67" s="879"/>
      <c r="E67" s="879"/>
      <c r="F67" s="879"/>
      <c r="G67" s="879"/>
      <c r="H67" s="879"/>
      <c r="I67" s="879"/>
      <c r="J67" s="879"/>
      <c r="K67" s="879"/>
      <c r="L67" s="879"/>
      <c r="M67" s="879"/>
      <c r="N67" s="879"/>
      <c r="O67" s="879"/>
      <c r="P67" s="879"/>
      <c r="Q67" s="879"/>
      <c r="R67" s="879"/>
      <c r="S67" s="879"/>
      <c r="T67" s="879"/>
      <c r="U67" s="879"/>
      <c r="V67" s="879"/>
      <c r="W67" s="879"/>
      <c r="X67" s="879"/>
      <c r="Y67" s="879"/>
      <c r="Z67" s="879"/>
      <c r="AA67" s="879"/>
      <c r="AB67" s="879"/>
      <c r="AC67" s="879"/>
    </row>
    <row r="68" spans="1:29" ht="12.75" customHeight="1">
      <c r="A68" s="879"/>
      <c r="B68" s="879"/>
      <c r="C68" s="879"/>
      <c r="D68" s="879"/>
      <c r="E68" s="879"/>
      <c r="F68" s="879"/>
      <c r="G68" s="879"/>
      <c r="H68" s="879"/>
      <c r="I68" s="879"/>
      <c r="J68" s="879"/>
      <c r="K68" s="879"/>
      <c r="L68" s="879"/>
      <c r="M68" s="879"/>
      <c r="N68" s="879"/>
      <c r="O68" s="879"/>
      <c r="P68" s="879"/>
      <c r="Q68" s="879"/>
      <c r="R68" s="879"/>
      <c r="S68" s="879"/>
      <c r="T68" s="879"/>
      <c r="U68" s="879"/>
      <c r="V68" s="879"/>
      <c r="W68" s="879"/>
      <c r="X68" s="879"/>
      <c r="Y68" s="879"/>
      <c r="Z68" s="879"/>
      <c r="AA68" s="879"/>
      <c r="AB68" s="879"/>
      <c r="AC68" s="879"/>
    </row>
    <row r="69" spans="1:29" ht="12.75" customHeight="1">
      <c r="A69" s="879"/>
      <c r="B69" s="879"/>
      <c r="C69" s="879"/>
      <c r="D69" s="879"/>
      <c r="E69" s="879"/>
      <c r="F69" s="879"/>
      <c r="G69" s="879"/>
      <c r="H69" s="879"/>
      <c r="I69" s="879"/>
      <c r="J69" s="879"/>
      <c r="K69" s="879"/>
      <c r="L69" s="879"/>
      <c r="M69" s="879"/>
      <c r="N69" s="879"/>
      <c r="O69" s="879"/>
      <c r="P69" s="879"/>
      <c r="Q69" s="879"/>
      <c r="R69" s="879"/>
      <c r="S69" s="879"/>
      <c r="T69" s="879"/>
      <c r="U69" s="879"/>
      <c r="V69" s="879"/>
      <c r="W69" s="879"/>
      <c r="X69" s="879"/>
      <c r="Y69" s="879"/>
      <c r="Z69" s="879"/>
      <c r="AA69" s="879"/>
      <c r="AB69" s="879"/>
      <c r="AC69" s="879"/>
    </row>
    <row r="70" spans="1:29" ht="12.75" customHeight="1">
      <c r="A70" s="879"/>
      <c r="B70" s="879"/>
      <c r="C70" s="879"/>
      <c r="D70" s="879"/>
      <c r="E70" s="879"/>
      <c r="F70" s="879"/>
      <c r="G70" s="879"/>
      <c r="H70" s="879"/>
      <c r="I70" s="879"/>
      <c r="J70" s="879"/>
      <c r="K70" s="879"/>
      <c r="L70" s="879"/>
      <c r="M70" s="879"/>
      <c r="N70" s="879"/>
      <c r="O70" s="879"/>
      <c r="P70" s="879"/>
      <c r="Q70" s="879"/>
      <c r="R70" s="879"/>
      <c r="S70" s="879"/>
      <c r="T70" s="879"/>
      <c r="U70" s="879"/>
      <c r="V70" s="879"/>
      <c r="W70" s="879"/>
      <c r="X70" s="879"/>
      <c r="Y70" s="879"/>
      <c r="Z70" s="879"/>
      <c r="AA70" s="879"/>
      <c r="AB70" s="879"/>
      <c r="AC70" s="879"/>
    </row>
    <row r="71" spans="1:29" ht="12.75" customHeight="1">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c r="AA71" s="879"/>
      <c r="AB71" s="879"/>
      <c r="AC71" s="879"/>
    </row>
    <row r="72" spans="1:29" ht="12.75" customHeight="1">
      <c r="A72" s="879"/>
      <c r="B72" s="879"/>
      <c r="C72" s="879"/>
      <c r="D72" s="879"/>
      <c r="E72" s="879"/>
      <c r="F72" s="879"/>
      <c r="G72" s="879"/>
      <c r="H72" s="879"/>
      <c r="I72" s="879"/>
      <c r="J72" s="879"/>
      <c r="K72" s="879"/>
      <c r="L72" s="879"/>
      <c r="M72" s="879"/>
      <c r="N72" s="879"/>
      <c r="O72" s="879"/>
      <c r="P72" s="879"/>
      <c r="Q72" s="879"/>
      <c r="R72" s="879"/>
      <c r="S72" s="879"/>
      <c r="T72" s="879"/>
      <c r="U72" s="879"/>
      <c r="V72" s="879"/>
      <c r="W72" s="879"/>
      <c r="X72" s="879"/>
      <c r="Y72" s="879"/>
      <c r="Z72" s="879"/>
      <c r="AA72" s="879"/>
      <c r="AB72" s="879"/>
      <c r="AC72" s="879"/>
    </row>
    <row r="73" spans="1:29" ht="12.75" customHeight="1">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c r="AA73" s="879"/>
      <c r="AB73" s="879"/>
      <c r="AC73" s="879"/>
    </row>
    <row r="74" spans="1:29" ht="12.75" customHeight="1">
      <c r="A74" s="879"/>
      <c r="B74" s="879"/>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c r="AA74" s="879"/>
      <c r="AB74" s="879"/>
      <c r="AC74" s="879"/>
    </row>
    <row r="75" spans="1:29" ht="12.75" customHeight="1">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c r="AA75" s="879"/>
      <c r="AB75" s="879"/>
      <c r="AC75" s="879"/>
    </row>
    <row r="76" spans="1:29" ht="12.75" customHeight="1">
      <c r="A76" s="879"/>
      <c r="B76" s="879"/>
      <c r="C76" s="879"/>
      <c r="D76" s="879"/>
      <c r="E76" s="879"/>
      <c r="F76" s="879"/>
      <c r="G76" s="879"/>
      <c r="H76" s="879"/>
      <c r="I76" s="879"/>
      <c r="J76" s="879"/>
      <c r="K76" s="879"/>
      <c r="L76" s="879"/>
      <c r="M76" s="879"/>
      <c r="N76" s="879"/>
      <c r="O76" s="879"/>
      <c r="P76" s="879"/>
      <c r="Q76" s="879"/>
      <c r="R76" s="879"/>
      <c r="S76" s="879"/>
      <c r="T76" s="879"/>
      <c r="U76" s="879"/>
      <c r="V76" s="879"/>
      <c r="W76" s="879"/>
      <c r="X76" s="879"/>
      <c r="Y76" s="879"/>
      <c r="Z76" s="879"/>
      <c r="AA76" s="879"/>
      <c r="AB76" s="879"/>
      <c r="AC76" s="879"/>
    </row>
    <row r="77" spans="1:29" ht="12.75" customHeight="1">
      <c r="A77" s="879"/>
      <c r="B77" s="879"/>
      <c r="C77" s="879"/>
      <c r="D77" s="879"/>
      <c r="E77" s="879"/>
      <c r="F77" s="879"/>
      <c r="G77" s="879"/>
      <c r="H77" s="879"/>
      <c r="I77" s="879"/>
      <c r="J77" s="879"/>
      <c r="K77" s="879"/>
      <c r="L77" s="879"/>
      <c r="M77" s="879"/>
      <c r="N77" s="879"/>
      <c r="O77" s="879"/>
      <c r="P77" s="879"/>
      <c r="Q77" s="879"/>
      <c r="R77" s="879"/>
      <c r="S77" s="879"/>
      <c r="T77" s="879"/>
      <c r="U77" s="879"/>
      <c r="V77" s="879"/>
      <c r="W77" s="879"/>
      <c r="X77" s="879"/>
      <c r="Y77" s="879"/>
      <c r="Z77" s="879"/>
      <c r="AA77" s="879"/>
      <c r="AB77" s="879"/>
      <c r="AC77" s="879"/>
    </row>
    <row r="78" spans="1:29" ht="12.75" customHeight="1">
      <c r="A78" s="879"/>
      <c r="B78" s="879"/>
      <c r="C78" s="879"/>
      <c r="D78" s="879"/>
      <c r="E78" s="879"/>
      <c r="F78" s="879"/>
      <c r="G78" s="879"/>
      <c r="H78" s="879"/>
      <c r="I78" s="879"/>
      <c r="J78" s="879"/>
      <c r="K78" s="879"/>
      <c r="L78" s="879"/>
      <c r="M78" s="879"/>
      <c r="N78" s="879"/>
      <c r="O78" s="879"/>
      <c r="P78" s="879"/>
      <c r="Q78" s="879"/>
      <c r="R78" s="879"/>
      <c r="S78" s="879"/>
      <c r="T78" s="879"/>
      <c r="U78" s="879"/>
      <c r="V78" s="879"/>
      <c r="W78" s="879"/>
      <c r="X78" s="879"/>
      <c r="Y78" s="879"/>
      <c r="Z78" s="879"/>
      <c r="AA78" s="879"/>
      <c r="AB78" s="879"/>
      <c r="AC78" s="879"/>
    </row>
    <row r="79" spans="1:29" ht="12.75" customHeight="1">
      <c r="A79" s="879"/>
      <c r="B79" s="879"/>
      <c r="C79" s="879"/>
      <c r="D79" s="879"/>
      <c r="E79" s="879"/>
      <c r="F79" s="879"/>
      <c r="G79" s="879"/>
      <c r="H79" s="879"/>
      <c r="I79" s="879"/>
      <c r="J79" s="879"/>
      <c r="K79" s="879"/>
      <c r="L79" s="879"/>
      <c r="M79" s="879"/>
      <c r="N79" s="879"/>
      <c r="O79" s="879"/>
      <c r="P79" s="879"/>
      <c r="Q79" s="879"/>
      <c r="R79" s="879"/>
      <c r="S79" s="879"/>
      <c r="T79" s="879"/>
      <c r="U79" s="879"/>
      <c r="V79" s="879"/>
      <c r="W79" s="879"/>
      <c r="X79" s="879"/>
      <c r="Y79" s="879"/>
      <c r="Z79" s="879"/>
      <c r="AA79" s="879"/>
      <c r="AB79" s="879"/>
      <c r="AC79" s="879"/>
    </row>
    <row r="80" spans="1:29" ht="12.75" customHeight="1">
      <c r="A80" s="879"/>
      <c r="B80" s="879"/>
      <c r="C80" s="879"/>
      <c r="D80" s="879"/>
      <c r="E80" s="879"/>
      <c r="F80" s="879"/>
      <c r="G80" s="879"/>
      <c r="H80" s="879"/>
      <c r="I80" s="879"/>
      <c r="J80" s="879"/>
      <c r="K80" s="879"/>
      <c r="L80" s="879"/>
      <c r="M80" s="879"/>
      <c r="N80" s="879"/>
      <c r="O80" s="879"/>
      <c r="P80" s="879"/>
      <c r="Q80" s="879"/>
      <c r="R80" s="879"/>
      <c r="S80" s="879"/>
      <c r="T80" s="879"/>
      <c r="U80" s="879"/>
      <c r="V80" s="879"/>
      <c r="W80" s="879"/>
      <c r="X80" s="879"/>
      <c r="Y80" s="879"/>
      <c r="Z80" s="879"/>
      <c r="AA80" s="879"/>
      <c r="AB80" s="879"/>
      <c r="AC80" s="879"/>
    </row>
    <row r="81" spans="1:29" ht="12.75" customHeight="1">
      <c r="A81" s="879"/>
      <c r="B81" s="879"/>
      <c r="C81" s="879"/>
      <c r="D81" s="879"/>
      <c r="E81" s="879"/>
      <c r="F81" s="879"/>
      <c r="G81" s="879"/>
      <c r="H81" s="879"/>
      <c r="I81" s="879"/>
      <c r="J81" s="879"/>
      <c r="K81" s="879"/>
      <c r="L81" s="879"/>
      <c r="M81" s="879"/>
      <c r="N81" s="879"/>
      <c r="O81" s="879"/>
      <c r="P81" s="879"/>
      <c r="Q81" s="879"/>
      <c r="R81" s="879"/>
      <c r="S81" s="879"/>
      <c r="T81" s="879"/>
      <c r="U81" s="879"/>
      <c r="V81" s="879"/>
      <c r="W81" s="879"/>
      <c r="X81" s="879"/>
      <c r="Y81" s="879"/>
      <c r="Z81" s="879"/>
      <c r="AA81" s="879"/>
      <c r="AB81" s="879"/>
      <c r="AC81" s="879"/>
    </row>
    <row r="82" spans="1:29" ht="12.75" customHeight="1">
      <c r="A82" s="879"/>
      <c r="B82" s="879"/>
      <c r="C82" s="879"/>
      <c r="D82" s="879"/>
      <c r="E82" s="879"/>
      <c r="F82" s="879"/>
      <c r="G82" s="879"/>
      <c r="H82" s="879"/>
      <c r="I82" s="879"/>
      <c r="J82" s="879"/>
      <c r="K82" s="879"/>
      <c r="L82" s="879"/>
      <c r="M82" s="879"/>
      <c r="N82" s="879"/>
      <c r="O82" s="879"/>
      <c r="P82" s="879"/>
      <c r="Q82" s="879"/>
      <c r="R82" s="879"/>
      <c r="S82" s="879"/>
      <c r="T82" s="879"/>
      <c r="U82" s="879"/>
      <c r="V82" s="879"/>
      <c r="W82" s="879"/>
      <c r="X82" s="879"/>
      <c r="Y82" s="879"/>
      <c r="Z82" s="879"/>
      <c r="AA82" s="879"/>
      <c r="AB82" s="879"/>
      <c r="AC82" s="879"/>
    </row>
    <row r="83" spans="1:29" ht="12.75" customHeight="1">
      <c r="A83" s="879"/>
      <c r="B83" s="879"/>
      <c r="C83" s="879"/>
      <c r="D83" s="879"/>
      <c r="E83" s="879"/>
      <c r="F83" s="879"/>
      <c r="G83" s="879"/>
      <c r="H83" s="879"/>
      <c r="I83" s="879"/>
      <c r="J83" s="879"/>
      <c r="K83" s="879"/>
      <c r="L83" s="879"/>
      <c r="M83" s="879"/>
      <c r="N83" s="879"/>
      <c r="O83" s="879"/>
      <c r="P83" s="879"/>
      <c r="Q83" s="879"/>
      <c r="R83" s="879"/>
      <c r="S83" s="879"/>
      <c r="T83" s="879"/>
      <c r="U83" s="879"/>
      <c r="V83" s="879"/>
      <c r="W83" s="879"/>
      <c r="X83" s="879"/>
      <c r="Y83" s="879"/>
      <c r="Z83" s="879"/>
      <c r="AA83" s="879"/>
      <c r="AB83" s="879"/>
      <c r="AC83" s="879"/>
    </row>
    <row r="84" spans="1:29" ht="12.75" customHeight="1">
      <c r="A84" s="879"/>
      <c r="B84" s="879"/>
      <c r="C84" s="879"/>
      <c r="D84" s="879"/>
      <c r="E84" s="879"/>
      <c r="F84" s="879"/>
      <c r="G84" s="879"/>
      <c r="H84" s="879"/>
      <c r="I84" s="879"/>
      <c r="J84" s="879"/>
      <c r="K84" s="879"/>
      <c r="L84" s="879"/>
      <c r="M84" s="879"/>
      <c r="N84" s="879"/>
      <c r="O84" s="879"/>
      <c r="P84" s="879"/>
      <c r="Q84" s="879"/>
      <c r="R84" s="879"/>
      <c r="S84" s="879"/>
      <c r="T84" s="879"/>
      <c r="U84" s="879"/>
      <c r="V84" s="879"/>
      <c r="W84" s="879"/>
      <c r="X84" s="879"/>
      <c r="Y84" s="879"/>
      <c r="Z84" s="879"/>
      <c r="AA84" s="879"/>
      <c r="AB84" s="879"/>
      <c r="AC84" s="879"/>
    </row>
    <row r="85" spans="1:29" ht="12.75" customHeight="1">
      <c r="A85" s="879"/>
      <c r="B85" s="879"/>
      <c r="C85" s="879"/>
      <c r="D85" s="879"/>
      <c r="E85" s="879"/>
      <c r="F85" s="879"/>
      <c r="G85" s="879"/>
      <c r="H85" s="879"/>
      <c r="I85" s="879"/>
      <c r="J85" s="879"/>
      <c r="K85" s="879"/>
      <c r="L85" s="879"/>
      <c r="M85" s="879"/>
      <c r="N85" s="879"/>
      <c r="O85" s="879"/>
      <c r="P85" s="879"/>
      <c r="Q85" s="879"/>
      <c r="R85" s="879"/>
      <c r="S85" s="879"/>
      <c r="T85" s="879"/>
      <c r="U85" s="879"/>
      <c r="V85" s="879"/>
      <c r="W85" s="879"/>
      <c r="X85" s="879"/>
      <c r="Y85" s="879"/>
      <c r="Z85" s="879"/>
    </row>
    <row r="86" spans="1:29" ht="12.75" customHeight="1">
      <c r="A86" s="879"/>
      <c r="B86" s="879"/>
      <c r="C86" s="879"/>
      <c r="D86" s="879"/>
      <c r="E86" s="879"/>
      <c r="F86" s="879"/>
      <c r="G86" s="879"/>
      <c r="H86" s="879"/>
      <c r="I86" s="879"/>
      <c r="J86" s="879"/>
      <c r="K86" s="879"/>
      <c r="L86" s="879"/>
      <c r="M86" s="879"/>
      <c r="N86" s="879"/>
      <c r="O86" s="879"/>
      <c r="P86" s="879"/>
      <c r="Q86" s="879"/>
      <c r="R86" s="879"/>
      <c r="S86" s="879"/>
      <c r="T86" s="879"/>
      <c r="U86" s="879"/>
      <c r="V86" s="879"/>
      <c r="W86" s="879"/>
      <c r="X86" s="879"/>
      <c r="Y86" s="879"/>
      <c r="Z86" s="879"/>
    </row>
    <row r="87" spans="1:29" ht="12.75" customHeight="1">
      <c r="A87" s="879"/>
      <c r="B87" s="879"/>
      <c r="C87" s="879"/>
      <c r="D87" s="879"/>
      <c r="E87" s="879"/>
      <c r="F87" s="879"/>
      <c r="G87" s="879"/>
      <c r="H87" s="879"/>
      <c r="I87" s="879"/>
      <c r="J87" s="879"/>
      <c r="K87" s="879"/>
      <c r="L87" s="879"/>
      <c r="M87" s="879"/>
      <c r="N87" s="879"/>
      <c r="O87" s="879"/>
      <c r="P87" s="879"/>
      <c r="Q87" s="879"/>
      <c r="R87" s="879"/>
      <c r="S87" s="879"/>
      <c r="T87" s="879"/>
      <c r="U87" s="879"/>
      <c r="V87" s="879"/>
      <c r="W87" s="879"/>
      <c r="X87" s="879"/>
      <c r="Y87" s="879"/>
      <c r="Z87" s="879"/>
    </row>
    <row r="88" spans="1:29" ht="12.75" customHeight="1">
      <c r="A88" s="879"/>
      <c r="B88" s="879"/>
      <c r="C88" s="879"/>
      <c r="D88" s="879"/>
      <c r="E88" s="879"/>
      <c r="F88" s="879"/>
      <c r="G88" s="879"/>
      <c r="H88" s="879"/>
      <c r="I88" s="879"/>
      <c r="J88" s="879"/>
      <c r="K88" s="879"/>
      <c r="L88" s="879"/>
      <c r="M88" s="879"/>
      <c r="N88" s="879"/>
      <c r="O88" s="879"/>
      <c r="P88" s="879"/>
      <c r="Q88" s="879"/>
      <c r="R88" s="879"/>
      <c r="S88" s="879"/>
      <c r="T88" s="879"/>
      <c r="U88" s="879"/>
      <c r="V88" s="879"/>
      <c r="W88" s="879"/>
      <c r="X88" s="879"/>
      <c r="Y88" s="879"/>
      <c r="Z88" s="879"/>
    </row>
    <row r="89" spans="1:29" ht="12.75" customHeight="1">
      <c r="A89" s="879"/>
      <c r="B89" s="879"/>
      <c r="C89" s="879"/>
      <c r="D89" s="879"/>
      <c r="E89" s="879"/>
      <c r="F89" s="879"/>
      <c r="G89" s="879"/>
      <c r="H89" s="879"/>
      <c r="I89" s="879"/>
      <c r="J89" s="879"/>
      <c r="K89" s="879"/>
      <c r="L89" s="879"/>
      <c r="M89" s="879"/>
      <c r="N89" s="879"/>
      <c r="O89" s="879"/>
      <c r="P89" s="879"/>
      <c r="Q89" s="879"/>
      <c r="R89" s="879"/>
      <c r="S89" s="879"/>
      <c r="T89" s="879"/>
      <c r="U89" s="879"/>
      <c r="V89" s="879"/>
      <c r="W89" s="879"/>
      <c r="X89" s="879"/>
      <c r="Y89" s="879"/>
      <c r="Z89" s="879"/>
    </row>
    <row r="90" spans="1:29" ht="12.75" customHeight="1">
      <c r="A90" s="879"/>
      <c r="B90" s="879"/>
      <c r="C90" s="879"/>
      <c r="D90" s="879"/>
      <c r="E90" s="879"/>
      <c r="F90" s="879"/>
      <c r="G90" s="879"/>
      <c r="H90" s="879"/>
      <c r="I90" s="879"/>
      <c r="J90" s="879"/>
      <c r="K90" s="879"/>
      <c r="L90" s="879"/>
      <c r="M90" s="879"/>
      <c r="N90" s="879"/>
      <c r="O90" s="879"/>
      <c r="P90" s="879"/>
      <c r="Q90" s="879"/>
      <c r="R90" s="879"/>
      <c r="S90" s="879"/>
      <c r="T90" s="879"/>
      <c r="U90" s="879"/>
      <c r="V90" s="879"/>
      <c r="W90" s="879"/>
      <c r="X90" s="879"/>
      <c r="Y90" s="879"/>
      <c r="Z90" s="879"/>
    </row>
    <row r="91" spans="1:29" ht="12.75" customHeight="1">
      <c r="A91" s="879"/>
      <c r="B91" s="879"/>
      <c r="C91" s="879"/>
      <c r="D91" s="879"/>
      <c r="E91" s="879"/>
      <c r="F91" s="879"/>
      <c r="G91" s="879"/>
      <c r="H91" s="879"/>
      <c r="I91" s="879"/>
      <c r="J91" s="879"/>
      <c r="K91" s="879"/>
      <c r="L91" s="879"/>
      <c r="M91" s="879"/>
      <c r="N91" s="879"/>
      <c r="O91" s="879"/>
      <c r="P91" s="879"/>
      <c r="Q91" s="879"/>
      <c r="R91" s="879"/>
      <c r="S91" s="879"/>
      <c r="T91" s="879"/>
      <c r="U91" s="879"/>
      <c r="V91" s="879"/>
      <c r="W91" s="879"/>
      <c r="X91" s="879"/>
      <c r="Y91" s="879"/>
      <c r="Z91" s="879"/>
    </row>
    <row r="92" spans="1:29" ht="12.75" customHeight="1">
      <c r="A92" s="879"/>
      <c r="B92" s="879"/>
      <c r="C92" s="879"/>
      <c r="D92" s="879"/>
      <c r="E92" s="879"/>
      <c r="F92" s="879"/>
      <c r="G92" s="879"/>
      <c r="H92" s="879"/>
      <c r="I92" s="879"/>
      <c r="J92" s="879"/>
      <c r="K92" s="879"/>
      <c r="L92" s="879"/>
      <c r="M92" s="879"/>
      <c r="N92" s="879"/>
      <c r="O92" s="879"/>
      <c r="P92" s="879"/>
      <c r="Q92" s="879"/>
      <c r="R92" s="879"/>
      <c r="S92" s="879"/>
      <c r="T92" s="879"/>
      <c r="U92" s="879"/>
      <c r="V92" s="879"/>
      <c r="W92" s="879"/>
      <c r="X92" s="879"/>
      <c r="Y92" s="879"/>
      <c r="Z92" s="879"/>
    </row>
    <row r="93" spans="1:29" ht="12.75" customHeight="1">
      <c r="A93" s="879"/>
      <c r="B93" s="879"/>
      <c r="C93" s="879"/>
      <c r="D93" s="879"/>
      <c r="E93" s="879"/>
      <c r="F93" s="879"/>
      <c r="G93" s="879"/>
      <c r="H93" s="879"/>
      <c r="I93" s="879"/>
      <c r="J93" s="879"/>
      <c r="K93" s="879"/>
      <c r="L93" s="879"/>
      <c r="M93" s="879"/>
      <c r="N93" s="879"/>
      <c r="O93" s="879"/>
      <c r="P93" s="879"/>
      <c r="Q93" s="879"/>
      <c r="R93" s="879"/>
      <c r="S93" s="879"/>
      <c r="T93" s="879"/>
      <c r="U93" s="879"/>
      <c r="V93" s="879"/>
      <c r="W93" s="879"/>
      <c r="X93" s="879"/>
      <c r="Y93" s="879"/>
      <c r="Z93" s="879"/>
    </row>
    <row r="94" spans="1:29" ht="12.75" customHeight="1">
      <c r="A94" s="879"/>
      <c r="B94" s="879"/>
      <c r="C94" s="879"/>
      <c r="D94" s="879"/>
      <c r="E94" s="879"/>
      <c r="F94" s="879"/>
      <c r="G94" s="879"/>
      <c r="H94" s="879"/>
      <c r="I94" s="879"/>
      <c r="J94" s="879"/>
      <c r="K94" s="879"/>
      <c r="L94" s="879"/>
      <c r="M94" s="879"/>
      <c r="N94" s="879"/>
      <c r="O94" s="879"/>
      <c r="P94" s="879"/>
      <c r="Q94" s="879"/>
      <c r="R94" s="879"/>
      <c r="S94" s="879"/>
      <c r="T94" s="879"/>
      <c r="U94" s="879"/>
      <c r="V94" s="879"/>
      <c r="W94" s="879"/>
      <c r="X94" s="879"/>
      <c r="Y94" s="879"/>
      <c r="Z94" s="879"/>
    </row>
    <row r="95" spans="1:29" ht="12.75" customHeight="1">
      <c r="A95" s="879"/>
      <c r="B95" s="879"/>
      <c r="C95" s="879"/>
      <c r="D95" s="879"/>
      <c r="E95" s="879"/>
      <c r="F95" s="879"/>
      <c r="G95" s="879"/>
      <c r="H95" s="879"/>
      <c r="I95" s="879"/>
      <c r="J95" s="879"/>
      <c r="K95" s="879"/>
      <c r="L95" s="879"/>
      <c r="M95" s="879"/>
      <c r="N95" s="879"/>
      <c r="O95" s="879"/>
      <c r="P95" s="879"/>
      <c r="Q95" s="879"/>
      <c r="R95" s="879"/>
      <c r="S95" s="879"/>
      <c r="T95" s="879"/>
      <c r="U95" s="879"/>
      <c r="V95" s="879"/>
      <c r="W95" s="879"/>
      <c r="X95" s="879"/>
      <c r="Y95" s="879"/>
      <c r="Z95" s="879"/>
    </row>
    <row r="96" spans="1:29" ht="12.75" customHeight="1">
      <c r="A96" s="879"/>
      <c r="B96" s="879"/>
      <c r="C96" s="879"/>
      <c r="D96" s="879"/>
      <c r="E96" s="879"/>
      <c r="F96" s="879"/>
      <c r="G96" s="879"/>
      <c r="H96" s="879"/>
      <c r="I96" s="879"/>
      <c r="J96" s="879"/>
      <c r="K96" s="879"/>
      <c r="L96" s="879"/>
      <c r="M96" s="879"/>
      <c r="N96" s="879"/>
      <c r="O96" s="879"/>
      <c r="P96" s="879"/>
      <c r="Q96" s="879"/>
      <c r="R96" s="879"/>
      <c r="S96" s="879"/>
      <c r="T96" s="879"/>
      <c r="U96" s="879"/>
      <c r="V96" s="879"/>
      <c r="W96" s="879"/>
      <c r="X96" s="879"/>
      <c r="Y96" s="879"/>
      <c r="Z96" s="879"/>
    </row>
    <row r="97" spans="1:26" ht="12.75" customHeight="1">
      <c r="A97" s="879"/>
      <c r="B97" s="879"/>
      <c r="C97" s="879"/>
      <c r="D97" s="879"/>
      <c r="E97" s="879"/>
      <c r="F97" s="879"/>
      <c r="G97" s="879"/>
      <c r="H97" s="879"/>
      <c r="I97" s="879"/>
      <c r="J97" s="879"/>
      <c r="K97" s="879"/>
      <c r="L97" s="879"/>
      <c r="M97" s="879"/>
      <c r="N97" s="879"/>
      <c r="O97" s="879"/>
      <c r="P97" s="879"/>
      <c r="Q97" s="879"/>
      <c r="R97" s="879"/>
      <c r="S97" s="879"/>
      <c r="T97" s="879"/>
      <c r="U97" s="879"/>
      <c r="V97" s="879"/>
      <c r="W97" s="879"/>
      <c r="X97" s="879"/>
      <c r="Y97" s="879"/>
      <c r="Z97" s="879"/>
    </row>
    <row r="98" spans="1:26" ht="12.75" customHeight="1">
      <c r="A98" s="879"/>
      <c r="B98" s="879"/>
      <c r="C98" s="879"/>
      <c r="D98" s="879"/>
      <c r="E98" s="879"/>
      <c r="F98" s="879"/>
      <c r="G98" s="879"/>
      <c r="H98" s="879"/>
      <c r="I98" s="879"/>
      <c r="J98" s="879"/>
      <c r="K98" s="879"/>
      <c r="L98" s="879"/>
      <c r="M98" s="879"/>
      <c r="N98" s="879"/>
      <c r="O98" s="879"/>
      <c r="P98" s="879"/>
      <c r="Q98" s="879"/>
      <c r="R98" s="879"/>
      <c r="S98" s="879"/>
      <c r="T98" s="879"/>
      <c r="U98" s="879"/>
      <c r="V98" s="879"/>
      <c r="W98" s="879"/>
      <c r="X98" s="879"/>
      <c r="Y98" s="879"/>
      <c r="Z98" s="879"/>
    </row>
    <row r="99" spans="1:26" ht="12.75" customHeight="1">
      <c r="A99" s="879"/>
      <c r="B99" s="879"/>
      <c r="C99" s="879"/>
      <c r="D99" s="879"/>
      <c r="E99" s="879"/>
      <c r="F99" s="879"/>
      <c r="G99" s="879"/>
      <c r="H99" s="879"/>
      <c r="I99" s="879"/>
      <c r="J99" s="879"/>
      <c r="K99" s="879"/>
      <c r="L99" s="879"/>
      <c r="M99" s="879"/>
      <c r="N99" s="879"/>
      <c r="O99" s="879"/>
      <c r="P99" s="879"/>
      <c r="Q99" s="879"/>
      <c r="R99" s="879"/>
      <c r="S99" s="879"/>
      <c r="T99" s="879"/>
      <c r="U99" s="879"/>
      <c r="V99" s="879"/>
      <c r="W99" s="879"/>
      <c r="X99" s="879"/>
      <c r="Y99" s="879"/>
      <c r="Z99" s="879"/>
    </row>
    <row r="100" spans="1:26" ht="12.75" customHeight="1">
      <c r="A100" s="879"/>
      <c r="B100" s="879"/>
      <c r="C100" s="879"/>
      <c r="D100" s="879"/>
      <c r="E100" s="879"/>
      <c r="F100" s="879"/>
      <c r="G100" s="879"/>
      <c r="H100" s="879"/>
      <c r="I100" s="879"/>
      <c r="J100" s="879"/>
      <c r="K100" s="879"/>
      <c r="L100" s="879"/>
      <c r="M100" s="879"/>
      <c r="N100" s="879"/>
      <c r="O100" s="879"/>
      <c r="P100" s="879"/>
      <c r="Q100" s="879"/>
      <c r="R100" s="879"/>
      <c r="S100" s="879"/>
      <c r="T100" s="879"/>
      <c r="U100" s="879"/>
      <c r="V100" s="879"/>
      <c r="W100" s="879"/>
      <c r="X100" s="879"/>
      <c r="Y100" s="879"/>
      <c r="Z100" s="879"/>
    </row>
    <row r="101" spans="1:26" ht="12.75" customHeight="1">
      <c r="A101" s="879"/>
      <c r="B101" s="879"/>
      <c r="C101" s="879"/>
      <c r="D101" s="879"/>
      <c r="E101" s="879"/>
      <c r="F101" s="879"/>
      <c r="G101" s="879"/>
      <c r="H101" s="879"/>
      <c r="I101" s="879"/>
      <c r="J101" s="879"/>
      <c r="K101" s="879"/>
      <c r="L101" s="879"/>
      <c r="M101" s="879"/>
      <c r="N101" s="879"/>
      <c r="O101" s="879"/>
      <c r="P101" s="879"/>
      <c r="Q101" s="879"/>
      <c r="R101" s="879"/>
      <c r="S101" s="879"/>
      <c r="T101" s="879"/>
      <c r="U101" s="879"/>
      <c r="V101" s="879"/>
      <c r="W101" s="879"/>
      <c r="X101" s="879"/>
      <c r="Y101" s="879"/>
      <c r="Z101" s="879"/>
    </row>
    <row r="102" spans="1:26" ht="12.75" customHeight="1">
      <c r="A102" s="879"/>
      <c r="B102" s="879"/>
      <c r="C102" s="879"/>
      <c r="D102" s="879"/>
      <c r="E102" s="879"/>
      <c r="F102" s="879"/>
      <c r="G102" s="879"/>
      <c r="H102" s="879"/>
      <c r="I102" s="879"/>
      <c r="J102" s="879"/>
      <c r="K102" s="879"/>
      <c r="L102" s="879"/>
      <c r="M102" s="879"/>
      <c r="N102" s="879"/>
      <c r="O102" s="879"/>
      <c r="P102" s="879"/>
      <c r="Q102" s="879"/>
      <c r="R102" s="879"/>
      <c r="S102" s="879"/>
      <c r="T102" s="879"/>
      <c r="U102" s="879"/>
      <c r="V102" s="879"/>
      <c r="W102" s="879"/>
      <c r="X102" s="879"/>
      <c r="Y102" s="879"/>
      <c r="Z102" s="879"/>
    </row>
    <row r="103" spans="1:26" ht="12.75" customHeight="1">
      <c r="A103" s="879"/>
      <c r="B103" s="879"/>
      <c r="C103" s="879"/>
      <c r="D103" s="879"/>
      <c r="E103" s="879"/>
      <c r="F103" s="879"/>
      <c r="G103" s="879"/>
      <c r="H103" s="879"/>
      <c r="I103" s="879"/>
      <c r="J103" s="879"/>
      <c r="K103" s="879"/>
      <c r="L103" s="879"/>
      <c r="M103" s="879"/>
      <c r="N103" s="879"/>
      <c r="O103" s="879"/>
      <c r="P103" s="879"/>
      <c r="Q103" s="879"/>
      <c r="R103" s="879"/>
      <c r="S103" s="879"/>
      <c r="T103" s="879"/>
      <c r="U103" s="879"/>
      <c r="V103" s="879"/>
      <c r="W103" s="879"/>
      <c r="X103" s="879"/>
      <c r="Y103" s="879"/>
      <c r="Z103" s="879"/>
    </row>
    <row r="104" spans="1:26" ht="12.75" customHeight="1">
      <c r="A104" s="879"/>
      <c r="B104" s="879"/>
      <c r="C104" s="879"/>
      <c r="D104" s="879"/>
      <c r="E104" s="879"/>
      <c r="F104" s="879"/>
      <c r="G104" s="879"/>
      <c r="H104" s="879"/>
      <c r="I104" s="879"/>
      <c r="J104" s="879"/>
      <c r="K104" s="879"/>
      <c r="L104" s="879"/>
      <c r="M104" s="879"/>
      <c r="N104" s="879"/>
      <c r="O104" s="879"/>
      <c r="P104" s="879"/>
      <c r="Q104" s="879"/>
      <c r="R104" s="879"/>
      <c r="S104" s="879"/>
      <c r="T104" s="879"/>
      <c r="U104" s="879"/>
      <c r="V104" s="879"/>
      <c r="W104" s="879"/>
      <c r="X104" s="879"/>
      <c r="Y104" s="879"/>
      <c r="Z104" s="879"/>
    </row>
    <row r="105" spans="1:26" ht="12.75" customHeight="1">
      <c r="A105" s="879"/>
      <c r="B105" s="879"/>
      <c r="C105" s="879"/>
      <c r="D105" s="879"/>
      <c r="E105" s="879"/>
      <c r="F105" s="879"/>
      <c r="G105" s="879"/>
      <c r="H105" s="879"/>
      <c r="I105" s="879"/>
      <c r="J105" s="879"/>
      <c r="K105" s="879"/>
      <c r="L105" s="879"/>
      <c r="M105" s="879"/>
      <c r="N105" s="879"/>
      <c r="O105" s="879"/>
      <c r="P105" s="879"/>
      <c r="Q105" s="879"/>
      <c r="R105" s="879"/>
      <c r="S105" s="879"/>
      <c r="T105" s="879"/>
      <c r="U105" s="879"/>
      <c r="V105" s="879"/>
      <c r="W105" s="879"/>
      <c r="X105" s="879"/>
      <c r="Y105" s="879"/>
      <c r="Z105" s="879"/>
    </row>
    <row r="106" spans="1:26" ht="12.75" customHeight="1">
      <c r="A106" s="879"/>
      <c r="B106" s="879"/>
      <c r="C106" s="879"/>
      <c r="D106" s="879"/>
      <c r="E106" s="879"/>
      <c r="F106" s="879"/>
      <c r="G106" s="879"/>
      <c r="H106" s="879"/>
      <c r="I106" s="879"/>
      <c r="J106" s="879"/>
      <c r="K106" s="879"/>
      <c r="L106" s="879"/>
      <c r="M106" s="879"/>
      <c r="N106" s="879"/>
      <c r="O106" s="879"/>
      <c r="P106" s="879"/>
      <c r="Q106" s="879"/>
      <c r="R106" s="879"/>
      <c r="S106" s="879"/>
      <c r="T106" s="879"/>
      <c r="U106" s="879"/>
      <c r="V106" s="879"/>
      <c r="W106" s="879"/>
      <c r="X106" s="879"/>
      <c r="Y106" s="879"/>
      <c r="Z106" s="879"/>
    </row>
    <row r="107" spans="1:26" ht="12.75" customHeight="1">
      <c r="A107" s="879"/>
      <c r="B107" s="879"/>
      <c r="C107" s="879"/>
      <c r="D107" s="879"/>
      <c r="E107" s="879"/>
      <c r="F107" s="879"/>
      <c r="G107" s="879"/>
      <c r="H107" s="879"/>
      <c r="I107" s="879"/>
      <c r="J107" s="879"/>
      <c r="K107" s="879"/>
      <c r="L107" s="879"/>
      <c r="M107" s="879"/>
      <c r="N107" s="879"/>
      <c r="O107" s="879"/>
      <c r="P107" s="879"/>
      <c r="Q107" s="879"/>
      <c r="R107" s="879"/>
      <c r="S107" s="879"/>
      <c r="T107" s="879"/>
      <c r="U107" s="879"/>
      <c r="V107" s="879"/>
      <c r="W107" s="879"/>
      <c r="X107" s="879"/>
      <c r="Y107" s="879"/>
      <c r="Z107" s="879"/>
    </row>
    <row r="108" spans="1:26" ht="12.75" customHeight="1">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c r="X108" s="879"/>
      <c r="Y108" s="879"/>
      <c r="Z108" s="879"/>
    </row>
    <row r="109" spans="1:26" ht="12.75" customHeight="1">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c r="X109" s="879"/>
      <c r="Y109" s="879"/>
      <c r="Z109" s="879"/>
    </row>
    <row r="110" spans="1:26" ht="12.75" customHeight="1">
      <c r="A110" s="879"/>
      <c r="B110" s="879"/>
      <c r="C110" s="879"/>
      <c r="D110" s="879"/>
      <c r="E110" s="879"/>
      <c r="F110" s="879"/>
      <c r="G110" s="879"/>
      <c r="H110" s="879"/>
      <c r="I110" s="879"/>
      <c r="J110" s="879"/>
      <c r="K110" s="879"/>
      <c r="L110" s="879"/>
      <c r="M110" s="879"/>
      <c r="N110" s="879"/>
      <c r="O110" s="879"/>
      <c r="P110" s="879"/>
      <c r="Q110" s="879"/>
      <c r="R110" s="879"/>
      <c r="S110" s="879"/>
      <c r="T110" s="879"/>
      <c r="U110" s="879"/>
      <c r="V110" s="879"/>
      <c r="W110" s="879"/>
      <c r="X110" s="879"/>
      <c r="Y110" s="879"/>
      <c r="Z110" s="879"/>
    </row>
    <row r="111" spans="1:26" ht="12.75" customHeight="1">
      <c r="A111" s="879"/>
      <c r="B111" s="879"/>
      <c r="C111" s="879"/>
      <c r="D111" s="879"/>
      <c r="E111" s="879"/>
      <c r="F111" s="879"/>
      <c r="G111" s="879"/>
      <c r="H111" s="879"/>
      <c r="I111" s="879"/>
      <c r="J111" s="879"/>
      <c r="K111" s="879"/>
      <c r="L111" s="879"/>
      <c r="M111" s="879"/>
      <c r="N111" s="879"/>
      <c r="O111" s="879"/>
      <c r="P111" s="879"/>
      <c r="Q111" s="879"/>
      <c r="R111" s="879"/>
      <c r="S111" s="879"/>
      <c r="T111" s="879"/>
      <c r="U111" s="879"/>
      <c r="V111" s="879"/>
      <c r="W111" s="879"/>
      <c r="X111" s="879"/>
      <c r="Y111" s="879"/>
      <c r="Z111" s="879"/>
    </row>
    <row r="112" spans="1:26" ht="12.75" customHeight="1">
      <c r="A112" s="879"/>
      <c r="B112" s="879"/>
      <c r="C112" s="879"/>
      <c r="D112" s="879"/>
      <c r="E112" s="879"/>
      <c r="F112" s="879"/>
      <c r="G112" s="879"/>
      <c r="H112" s="879"/>
      <c r="I112" s="879"/>
      <c r="J112" s="879"/>
      <c r="K112" s="879"/>
      <c r="L112" s="879"/>
      <c r="M112" s="879"/>
      <c r="N112" s="879"/>
      <c r="O112" s="879"/>
      <c r="P112" s="879"/>
      <c r="Q112" s="879"/>
      <c r="R112" s="879"/>
      <c r="S112" s="879"/>
      <c r="T112" s="879"/>
      <c r="U112" s="879"/>
      <c r="V112" s="879"/>
      <c r="W112" s="879"/>
      <c r="X112" s="879"/>
      <c r="Y112" s="879"/>
      <c r="Z112" s="879"/>
    </row>
    <row r="113" spans="1:26" ht="12.75" customHeight="1">
      <c r="A113" s="879"/>
      <c r="B113" s="879"/>
      <c r="C113" s="879"/>
      <c r="D113" s="879"/>
      <c r="E113" s="879"/>
      <c r="F113" s="879"/>
      <c r="G113" s="879"/>
      <c r="H113" s="879"/>
      <c r="I113" s="879"/>
      <c r="J113" s="879"/>
      <c r="K113" s="879"/>
      <c r="L113" s="879"/>
      <c r="M113" s="879"/>
      <c r="N113" s="879"/>
      <c r="O113" s="879"/>
      <c r="P113" s="879"/>
      <c r="Q113" s="879"/>
      <c r="R113" s="879"/>
      <c r="S113" s="879"/>
      <c r="T113" s="879"/>
      <c r="U113" s="879"/>
      <c r="V113" s="879"/>
      <c r="W113" s="879"/>
      <c r="X113" s="879"/>
      <c r="Y113" s="879"/>
      <c r="Z113" s="879"/>
    </row>
    <row r="114" spans="1:26" ht="12.75" customHeight="1">
      <c r="A114" s="879"/>
      <c r="B114" s="879"/>
      <c r="C114" s="879"/>
      <c r="D114" s="879"/>
      <c r="E114" s="879"/>
      <c r="F114" s="879"/>
      <c r="G114" s="879"/>
      <c r="H114" s="879"/>
      <c r="I114" s="879"/>
      <c r="J114" s="879"/>
      <c r="K114" s="879"/>
      <c r="L114" s="879"/>
      <c r="M114" s="879"/>
      <c r="N114" s="879"/>
      <c r="O114" s="879"/>
      <c r="P114" s="879"/>
      <c r="Q114" s="879"/>
      <c r="R114" s="879"/>
      <c r="S114" s="879"/>
      <c r="T114" s="879"/>
      <c r="U114" s="879"/>
      <c r="V114" s="879"/>
      <c r="W114" s="879"/>
      <c r="X114" s="879"/>
      <c r="Y114" s="879"/>
      <c r="Z114" s="879"/>
    </row>
    <row r="115" spans="1:26" ht="12.75" customHeight="1">
      <c r="A115" s="879"/>
      <c r="B115" s="879"/>
      <c r="C115" s="879"/>
      <c r="D115" s="879"/>
      <c r="E115" s="879"/>
      <c r="F115" s="879"/>
      <c r="G115" s="879"/>
      <c r="H115" s="879"/>
      <c r="I115" s="879"/>
      <c r="J115" s="879"/>
      <c r="K115" s="879"/>
      <c r="L115" s="879"/>
      <c r="M115" s="879"/>
      <c r="N115" s="879"/>
      <c r="O115" s="879"/>
      <c r="P115" s="879"/>
      <c r="Q115" s="879"/>
      <c r="R115" s="879"/>
      <c r="S115" s="879"/>
      <c r="T115" s="879"/>
      <c r="U115" s="879"/>
      <c r="V115" s="879"/>
      <c r="W115" s="879"/>
      <c r="X115" s="879"/>
      <c r="Y115" s="879"/>
      <c r="Z115" s="879"/>
    </row>
    <row r="116" spans="1:26" ht="12.75" customHeight="1">
      <c r="A116" s="879"/>
      <c r="B116" s="879"/>
      <c r="C116" s="879"/>
      <c r="D116" s="879"/>
      <c r="E116" s="879"/>
      <c r="F116" s="879"/>
      <c r="G116" s="879"/>
      <c r="H116" s="879"/>
      <c r="I116" s="879"/>
      <c r="J116" s="879"/>
      <c r="K116" s="879"/>
      <c r="L116" s="879"/>
      <c r="M116" s="879"/>
      <c r="N116" s="879"/>
      <c r="O116" s="879"/>
      <c r="P116" s="879"/>
      <c r="Q116" s="879"/>
      <c r="R116" s="879"/>
      <c r="S116" s="879"/>
      <c r="T116" s="879"/>
      <c r="U116" s="879"/>
      <c r="V116" s="879"/>
      <c r="W116" s="879"/>
      <c r="X116" s="879"/>
      <c r="Y116" s="879"/>
      <c r="Z116" s="879"/>
    </row>
    <row r="117" spans="1:26" ht="12.75" customHeight="1">
      <c r="A117" s="879"/>
      <c r="B117" s="879"/>
      <c r="C117" s="879"/>
      <c r="D117" s="879"/>
      <c r="E117" s="879"/>
      <c r="F117" s="879"/>
      <c r="G117" s="879"/>
      <c r="H117" s="879"/>
      <c r="I117" s="879"/>
      <c r="J117" s="879"/>
      <c r="K117" s="879"/>
      <c r="L117" s="879"/>
      <c r="M117" s="879"/>
      <c r="N117" s="879"/>
      <c r="O117" s="879"/>
      <c r="P117" s="879"/>
      <c r="Q117" s="879"/>
      <c r="R117" s="879"/>
      <c r="S117" s="879"/>
      <c r="T117" s="879"/>
      <c r="U117" s="879"/>
      <c r="V117" s="879"/>
      <c r="W117" s="879"/>
      <c r="X117" s="879"/>
      <c r="Y117" s="879"/>
      <c r="Z117" s="879"/>
    </row>
    <row r="118" spans="1:26" ht="12.75" customHeight="1">
      <c r="A118" s="879"/>
      <c r="B118" s="879"/>
      <c r="C118" s="879"/>
      <c r="D118" s="879"/>
      <c r="E118" s="879"/>
      <c r="F118" s="879"/>
      <c r="G118" s="879"/>
      <c r="H118" s="879"/>
      <c r="I118" s="879"/>
      <c r="J118" s="879"/>
      <c r="K118" s="879"/>
      <c r="L118" s="879"/>
      <c r="M118" s="879"/>
      <c r="N118" s="879"/>
      <c r="O118" s="879"/>
      <c r="P118" s="879"/>
      <c r="Q118" s="879"/>
      <c r="R118" s="879"/>
      <c r="S118" s="879"/>
      <c r="T118" s="879"/>
      <c r="U118" s="879"/>
      <c r="V118" s="879"/>
      <c r="W118" s="879"/>
      <c r="X118" s="879"/>
      <c r="Y118" s="879"/>
      <c r="Z118" s="879"/>
    </row>
    <row r="119" spans="1:26" ht="12.75" customHeight="1">
      <c r="A119" s="879"/>
      <c r="B119" s="879"/>
      <c r="C119" s="879"/>
      <c r="D119" s="879"/>
      <c r="E119" s="879"/>
      <c r="F119" s="879"/>
      <c r="G119" s="879"/>
      <c r="H119" s="879"/>
      <c r="I119" s="879"/>
      <c r="J119" s="879"/>
      <c r="K119" s="879"/>
      <c r="L119" s="879"/>
      <c r="M119" s="879"/>
      <c r="N119" s="879"/>
      <c r="O119" s="879"/>
      <c r="P119" s="879"/>
      <c r="Q119" s="879"/>
      <c r="R119" s="879"/>
      <c r="S119" s="879"/>
      <c r="T119" s="879"/>
      <c r="U119" s="879"/>
      <c r="V119" s="879"/>
      <c r="W119" s="879"/>
      <c r="X119" s="879"/>
      <c r="Y119" s="879"/>
      <c r="Z119" s="879"/>
    </row>
    <row r="120" spans="1:26" ht="12.75" customHeight="1">
      <c r="A120" s="879"/>
      <c r="B120" s="879"/>
      <c r="C120" s="879"/>
      <c r="D120" s="879"/>
      <c r="E120" s="879"/>
      <c r="F120" s="879"/>
      <c r="G120" s="879"/>
      <c r="H120" s="879"/>
      <c r="I120" s="879"/>
      <c r="J120" s="879"/>
      <c r="K120" s="879"/>
      <c r="L120" s="879"/>
      <c r="M120" s="879"/>
      <c r="N120" s="879"/>
      <c r="O120" s="879"/>
      <c r="P120" s="879"/>
      <c r="Q120" s="879"/>
      <c r="R120" s="879"/>
      <c r="S120" s="879"/>
      <c r="T120" s="879"/>
      <c r="U120" s="879"/>
      <c r="V120" s="879"/>
      <c r="W120" s="879"/>
      <c r="X120" s="879"/>
      <c r="Y120" s="879"/>
      <c r="Z120" s="879"/>
    </row>
    <row r="121" spans="1:26" ht="12.75" customHeight="1">
      <c r="A121" s="879"/>
      <c r="B121" s="879"/>
      <c r="C121" s="879"/>
      <c r="D121" s="879"/>
      <c r="E121" s="879"/>
      <c r="F121" s="879"/>
      <c r="G121" s="879"/>
      <c r="H121" s="879"/>
      <c r="I121" s="879"/>
      <c r="J121" s="879"/>
      <c r="K121" s="879"/>
      <c r="L121" s="879"/>
      <c r="M121" s="879"/>
      <c r="N121" s="879"/>
      <c r="O121" s="879"/>
      <c r="P121" s="879"/>
      <c r="Q121" s="879"/>
      <c r="R121" s="879"/>
      <c r="S121" s="879"/>
      <c r="T121" s="879"/>
      <c r="U121" s="879"/>
      <c r="V121" s="879"/>
      <c r="W121" s="879"/>
      <c r="X121" s="879"/>
      <c r="Y121" s="879"/>
      <c r="Z121" s="879"/>
    </row>
    <row r="122" spans="1:26" ht="12.75" customHeight="1">
      <c r="A122" s="879"/>
      <c r="B122" s="879"/>
      <c r="C122" s="879"/>
      <c r="D122" s="879"/>
      <c r="E122" s="879"/>
      <c r="F122" s="879"/>
      <c r="G122" s="879"/>
      <c r="H122" s="879"/>
      <c r="I122" s="879"/>
      <c r="J122" s="879"/>
      <c r="K122" s="879"/>
      <c r="L122" s="879"/>
      <c r="M122" s="879"/>
      <c r="N122" s="879"/>
      <c r="O122" s="879"/>
      <c r="P122" s="879"/>
      <c r="Q122" s="879"/>
      <c r="R122" s="879"/>
      <c r="S122" s="879"/>
      <c r="T122" s="879"/>
      <c r="U122" s="879"/>
      <c r="V122" s="879"/>
      <c r="W122" s="879"/>
      <c r="X122" s="879"/>
      <c r="Y122" s="879"/>
      <c r="Z122" s="879"/>
    </row>
    <row r="123" spans="1:26" ht="12.75" customHeight="1">
      <c r="A123" s="879"/>
      <c r="B123" s="879"/>
      <c r="C123" s="879"/>
      <c r="D123" s="879"/>
      <c r="E123" s="879"/>
      <c r="F123" s="879"/>
      <c r="G123" s="879"/>
      <c r="H123" s="879"/>
      <c r="I123" s="879"/>
      <c r="J123" s="879"/>
      <c r="K123" s="879"/>
      <c r="L123" s="879"/>
      <c r="M123" s="879"/>
      <c r="N123" s="879"/>
      <c r="O123" s="879"/>
      <c r="P123" s="879"/>
      <c r="Q123" s="879"/>
      <c r="R123" s="879"/>
      <c r="S123" s="879"/>
      <c r="T123" s="879"/>
      <c r="U123" s="879"/>
      <c r="V123" s="879"/>
      <c r="W123" s="879"/>
      <c r="X123" s="879"/>
      <c r="Y123" s="879"/>
      <c r="Z123" s="879"/>
    </row>
    <row r="124" spans="1:26" ht="12.75" customHeight="1">
      <c r="A124" s="879"/>
      <c r="B124" s="879"/>
      <c r="C124" s="879"/>
      <c r="D124" s="879"/>
      <c r="E124" s="879"/>
      <c r="F124" s="879"/>
      <c r="G124" s="879"/>
      <c r="H124" s="879"/>
      <c r="I124" s="879"/>
      <c r="J124" s="879"/>
      <c r="K124" s="879"/>
      <c r="L124" s="879"/>
      <c r="M124" s="879"/>
      <c r="N124" s="879"/>
      <c r="O124" s="879"/>
      <c r="P124" s="879"/>
      <c r="Q124" s="879"/>
      <c r="R124" s="879"/>
      <c r="S124" s="879"/>
      <c r="T124" s="879"/>
      <c r="U124" s="879"/>
      <c r="V124" s="879"/>
      <c r="W124" s="879"/>
      <c r="X124" s="879"/>
      <c r="Y124" s="879"/>
      <c r="Z124" s="879"/>
    </row>
    <row r="125" spans="1:26" ht="12.75" customHeight="1">
      <c r="A125" s="879"/>
      <c r="B125" s="879"/>
      <c r="C125" s="879"/>
      <c r="D125" s="879"/>
      <c r="E125" s="879"/>
      <c r="F125" s="879"/>
      <c r="G125" s="879"/>
      <c r="H125" s="879"/>
      <c r="I125" s="879"/>
      <c r="J125" s="879"/>
      <c r="K125" s="879"/>
      <c r="L125" s="879"/>
      <c r="M125" s="879"/>
      <c r="N125" s="879"/>
      <c r="O125" s="879"/>
      <c r="P125" s="879"/>
      <c r="Q125" s="879"/>
      <c r="R125" s="879"/>
      <c r="S125" s="879"/>
      <c r="T125" s="879"/>
      <c r="U125" s="879"/>
      <c r="V125" s="879"/>
      <c r="W125" s="879"/>
      <c r="X125" s="879"/>
      <c r="Y125" s="879"/>
      <c r="Z125" s="879"/>
    </row>
    <row r="126" spans="1:26" ht="12.75" customHeight="1">
      <c r="A126" s="879"/>
      <c r="B126" s="879"/>
      <c r="C126" s="879"/>
      <c r="D126" s="879"/>
      <c r="E126" s="879"/>
      <c r="F126" s="879"/>
      <c r="G126" s="879"/>
      <c r="H126" s="879"/>
      <c r="I126" s="879"/>
      <c r="J126" s="879"/>
      <c r="K126" s="879"/>
      <c r="L126" s="879"/>
      <c r="M126" s="879"/>
      <c r="N126" s="879"/>
      <c r="O126" s="879"/>
      <c r="P126" s="879"/>
      <c r="Q126" s="879"/>
      <c r="R126" s="879"/>
      <c r="S126" s="879"/>
      <c r="T126" s="879"/>
      <c r="U126" s="879"/>
      <c r="V126" s="879"/>
      <c r="W126" s="879"/>
      <c r="X126" s="879"/>
      <c r="Y126" s="879"/>
      <c r="Z126" s="879"/>
    </row>
    <row r="127" spans="1:26" ht="12.75" customHeight="1">
      <c r="A127" s="879"/>
      <c r="B127" s="879"/>
      <c r="C127" s="879"/>
      <c r="D127" s="879"/>
      <c r="E127" s="879"/>
      <c r="F127" s="879"/>
      <c r="G127" s="879"/>
      <c r="H127" s="879"/>
      <c r="I127" s="879"/>
      <c r="J127" s="879"/>
      <c r="K127" s="879"/>
      <c r="L127" s="879"/>
      <c r="M127" s="879"/>
      <c r="N127" s="879"/>
      <c r="O127" s="879"/>
      <c r="P127" s="879"/>
      <c r="Q127" s="879"/>
      <c r="R127" s="879"/>
      <c r="S127" s="879"/>
      <c r="T127" s="879"/>
      <c r="U127" s="879"/>
      <c r="V127" s="879"/>
      <c r="W127" s="879"/>
      <c r="X127" s="879"/>
      <c r="Y127" s="879"/>
      <c r="Z127" s="879"/>
    </row>
    <row r="128" spans="1:26" ht="12.75" customHeight="1">
      <c r="A128" s="879"/>
      <c r="B128" s="879"/>
      <c r="C128" s="879"/>
      <c r="D128" s="879"/>
      <c r="E128" s="879"/>
      <c r="F128" s="879"/>
      <c r="G128" s="879"/>
      <c r="H128" s="879"/>
      <c r="I128" s="879"/>
      <c r="J128" s="879"/>
      <c r="K128" s="879"/>
      <c r="L128" s="879"/>
      <c r="M128" s="879"/>
      <c r="N128" s="879"/>
      <c r="O128" s="879"/>
      <c r="P128" s="879"/>
      <c r="Q128" s="879"/>
      <c r="R128" s="879"/>
      <c r="S128" s="879"/>
      <c r="T128" s="879"/>
      <c r="U128" s="879"/>
      <c r="V128" s="879"/>
      <c r="W128" s="879"/>
      <c r="X128" s="879"/>
      <c r="Y128" s="879"/>
      <c r="Z128" s="879"/>
    </row>
    <row r="129" spans="1:26" ht="12.75" customHeight="1">
      <c r="A129" s="879"/>
      <c r="B129" s="879"/>
      <c r="C129" s="879"/>
      <c r="D129" s="879"/>
      <c r="E129" s="879"/>
      <c r="F129" s="879"/>
      <c r="G129" s="879"/>
      <c r="H129" s="879"/>
      <c r="I129" s="879"/>
      <c r="J129" s="879"/>
      <c r="K129" s="879"/>
      <c r="L129" s="879"/>
      <c r="M129" s="879"/>
      <c r="N129" s="879"/>
      <c r="O129" s="879"/>
      <c r="P129" s="879"/>
      <c r="Q129" s="879"/>
      <c r="R129" s="879"/>
      <c r="S129" s="879"/>
      <c r="T129" s="879"/>
      <c r="U129" s="879"/>
      <c r="V129" s="879"/>
      <c r="W129" s="879"/>
      <c r="X129" s="879"/>
      <c r="Y129" s="879"/>
      <c r="Z129" s="879"/>
    </row>
    <row r="130" spans="1:26" ht="12.75" customHeight="1">
      <c r="A130" s="879"/>
      <c r="B130" s="879"/>
      <c r="C130" s="879"/>
      <c r="D130" s="879"/>
      <c r="E130" s="879"/>
      <c r="F130" s="879"/>
      <c r="G130" s="879"/>
      <c r="H130" s="879"/>
      <c r="I130" s="879"/>
      <c r="J130" s="879"/>
      <c r="K130" s="879"/>
      <c r="L130" s="879"/>
      <c r="M130" s="879"/>
      <c r="N130" s="879"/>
      <c r="O130" s="879"/>
      <c r="P130" s="879"/>
      <c r="Q130" s="879"/>
      <c r="R130" s="879"/>
      <c r="S130" s="879"/>
      <c r="T130" s="879"/>
      <c r="U130" s="879"/>
      <c r="V130" s="879"/>
      <c r="W130" s="879"/>
      <c r="X130" s="879"/>
      <c r="Y130" s="879"/>
      <c r="Z130" s="879"/>
    </row>
    <row r="131" spans="1:26" ht="12.75" customHeight="1">
      <c r="A131" s="879"/>
      <c r="B131" s="879"/>
      <c r="C131" s="879"/>
      <c r="D131" s="879"/>
      <c r="E131" s="879"/>
      <c r="F131" s="879"/>
      <c r="G131" s="879"/>
      <c r="H131" s="879"/>
      <c r="I131" s="879"/>
      <c r="J131" s="879"/>
      <c r="K131" s="879"/>
      <c r="L131" s="879"/>
      <c r="M131" s="879"/>
      <c r="N131" s="879"/>
      <c r="O131" s="879"/>
      <c r="P131" s="879"/>
      <c r="Q131" s="879"/>
      <c r="R131" s="879"/>
      <c r="S131" s="879"/>
      <c r="T131" s="879"/>
      <c r="U131" s="879"/>
      <c r="V131" s="879"/>
      <c r="W131" s="879"/>
      <c r="X131" s="879"/>
      <c r="Y131" s="879"/>
      <c r="Z131" s="879"/>
    </row>
    <row r="132" spans="1:26" ht="12.75" customHeight="1">
      <c r="A132" s="879"/>
      <c r="B132" s="879"/>
      <c r="C132" s="879"/>
      <c r="D132" s="879"/>
      <c r="E132" s="879"/>
      <c r="F132" s="879"/>
      <c r="G132" s="879"/>
      <c r="H132" s="879"/>
      <c r="I132" s="879"/>
      <c r="J132" s="879"/>
      <c r="K132" s="879"/>
      <c r="L132" s="879"/>
      <c r="M132" s="879"/>
      <c r="N132" s="879"/>
      <c r="O132" s="879"/>
      <c r="P132" s="879"/>
      <c r="Q132" s="879"/>
      <c r="R132" s="879"/>
      <c r="S132" s="879"/>
      <c r="T132" s="879"/>
      <c r="U132" s="879"/>
      <c r="V132" s="879"/>
      <c r="W132" s="879"/>
      <c r="X132" s="879"/>
      <c r="Y132" s="879"/>
      <c r="Z132" s="879"/>
    </row>
    <row r="133" spans="1:26" ht="12.75" customHeight="1">
      <c r="A133" s="879"/>
      <c r="B133" s="879"/>
      <c r="C133" s="879"/>
      <c r="D133" s="879"/>
      <c r="E133" s="879"/>
      <c r="F133" s="879"/>
      <c r="G133" s="879"/>
      <c r="H133" s="879"/>
      <c r="I133" s="879"/>
      <c r="J133" s="879"/>
      <c r="K133" s="879"/>
      <c r="L133" s="879"/>
      <c r="M133" s="879"/>
      <c r="N133" s="879"/>
      <c r="O133" s="879"/>
      <c r="P133" s="879"/>
      <c r="Q133" s="879"/>
      <c r="R133" s="879"/>
      <c r="S133" s="879"/>
      <c r="T133" s="879"/>
      <c r="U133" s="879"/>
      <c r="V133" s="879"/>
      <c r="W133" s="879"/>
      <c r="X133" s="879"/>
      <c r="Y133" s="879"/>
      <c r="Z133" s="879"/>
    </row>
    <row r="134" spans="1:26" ht="12.75" customHeight="1">
      <c r="A134" s="879"/>
      <c r="B134" s="879"/>
      <c r="C134" s="879"/>
      <c r="D134" s="879"/>
      <c r="E134" s="879"/>
      <c r="F134" s="879"/>
      <c r="G134" s="879"/>
      <c r="H134" s="879"/>
      <c r="I134" s="879"/>
      <c r="J134" s="879"/>
      <c r="K134" s="879"/>
      <c r="L134" s="879"/>
      <c r="M134" s="879"/>
      <c r="N134" s="879"/>
      <c r="O134" s="879"/>
      <c r="P134" s="879"/>
      <c r="Q134" s="879"/>
      <c r="R134" s="879"/>
      <c r="S134" s="879"/>
      <c r="T134" s="879"/>
      <c r="U134" s="879"/>
      <c r="V134" s="879"/>
      <c r="W134" s="879"/>
      <c r="X134" s="879"/>
      <c r="Y134" s="879"/>
      <c r="Z134" s="879"/>
    </row>
    <row r="135" spans="1:26" ht="12.75" customHeight="1">
      <c r="A135" s="879"/>
      <c r="B135" s="879"/>
      <c r="C135" s="879"/>
      <c r="D135" s="879"/>
      <c r="E135" s="879"/>
      <c r="F135" s="879"/>
      <c r="G135" s="879"/>
      <c r="H135" s="879"/>
      <c r="I135" s="879"/>
      <c r="J135" s="879"/>
      <c r="K135" s="879"/>
      <c r="L135" s="879"/>
      <c r="M135" s="879"/>
      <c r="N135" s="879"/>
      <c r="O135" s="879"/>
      <c r="P135" s="879"/>
      <c r="Q135" s="879"/>
      <c r="R135" s="879"/>
      <c r="S135" s="879"/>
      <c r="T135" s="879"/>
      <c r="U135" s="879"/>
      <c r="V135" s="879"/>
      <c r="W135" s="879"/>
      <c r="X135" s="879"/>
      <c r="Y135" s="879"/>
      <c r="Z135" s="879"/>
    </row>
    <row r="136" spans="1:26" ht="12.75" customHeight="1">
      <c r="A136" s="879"/>
      <c r="B136" s="879"/>
      <c r="C136" s="879"/>
      <c r="D136" s="879"/>
      <c r="E136" s="879"/>
      <c r="F136" s="879"/>
      <c r="G136" s="879"/>
      <c r="H136" s="879"/>
      <c r="I136" s="879"/>
      <c r="J136" s="879"/>
      <c r="K136" s="879"/>
      <c r="L136" s="879"/>
      <c r="M136" s="879"/>
      <c r="N136" s="879"/>
      <c r="O136" s="879"/>
      <c r="P136" s="879"/>
      <c r="Q136" s="879"/>
      <c r="R136" s="879"/>
      <c r="S136" s="879"/>
      <c r="T136" s="879"/>
      <c r="U136" s="879"/>
      <c r="V136" s="879"/>
      <c r="W136" s="879"/>
      <c r="X136" s="879"/>
      <c r="Y136" s="879"/>
      <c r="Z136" s="879"/>
    </row>
    <row r="137" spans="1:26" ht="12.75" customHeight="1">
      <c r="A137" s="879"/>
      <c r="B137" s="879"/>
      <c r="C137" s="879"/>
      <c r="D137" s="879"/>
      <c r="E137" s="879"/>
      <c r="F137" s="879"/>
      <c r="G137" s="879"/>
      <c r="H137" s="879"/>
      <c r="I137" s="879"/>
      <c r="J137" s="879"/>
      <c r="K137" s="879"/>
      <c r="L137" s="879"/>
      <c r="M137" s="879"/>
      <c r="N137" s="879"/>
      <c r="O137" s="879"/>
      <c r="P137" s="879"/>
      <c r="Q137" s="879"/>
      <c r="R137" s="879"/>
      <c r="S137" s="879"/>
      <c r="T137" s="879"/>
      <c r="U137" s="879"/>
      <c r="V137" s="879"/>
      <c r="W137" s="879"/>
      <c r="X137" s="879"/>
      <c r="Y137" s="879"/>
      <c r="Z137" s="879"/>
    </row>
    <row r="138" spans="1:26" ht="12.75" customHeight="1">
      <c r="A138" s="879"/>
      <c r="B138" s="879"/>
      <c r="C138" s="879"/>
      <c r="D138" s="879"/>
      <c r="E138" s="879"/>
      <c r="F138" s="879"/>
      <c r="G138" s="879"/>
      <c r="H138" s="879"/>
      <c r="I138" s="879"/>
      <c r="J138" s="879"/>
      <c r="K138" s="879"/>
      <c r="L138" s="879"/>
      <c r="M138" s="879"/>
      <c r="N138" s="879"/>
      <c r="O138" s="879"/>
      <c r="P138" s="879"/>
      <c r="Q138" s="879"/>
      <c r="R138" s="879"/>
      <c r="S138" s="879"/>
      <c r="T138" s="879"/>
      <c r="U138" s="879"/>
      <c r="V138" s="879"/>
      <c r="W138" s="879"/>
      <c r="X138" s="879"/>
      <c r="Y138" s="879"/>
      <c r="Z138" s="879"/>
    </row>
    <row r="139" spans="1:26" ht="12.75" customHeight="1">
      <c r="A139" s="879"/>
      <c r="B139" s="879"/>
      <c r="C139" s="879"/>
      <c r="D139" s="879"/>
      <c r="E139" s="879"/>
      <c r="F139" s="879"/>
      <c r="G139" s="879"/>
      <c r="H139" s="879"/>
      <c r="I139" s="879"/>
      <c r="J139" s="879"/>
      <c r="K139" s="879"/>
      <c r="L139" s="879"/>
      <c r="M139" s="879"/>
      <c r="N139" s="879"/>
      <c r="O139" s="879"/>
      <c r="P139" s="879"/>
      <c r="Q139" s="879"/>
      <c r="R139" s="879"/>
      <c r="S139" s="879"/>
      <c r="T139" s="879"/>
      <c r="U139" s="879"/>
      <c r="V139" s="879"/>
      <c r="W139" s="879"/>
      <c r="X139" s="879"/>
      <c r="Y139" s="879"/>
      <c r="Z139" s="879"/>
    </row>
    <row r="140" spans="1:26" ht="12.75" customHeight="1">
      <c r="A140" s="879"/>
      <c r="B140" s="879"/>
      <c r="C140" s="879"/>
      <c r="D140" s="879"/>
      <c r="E140" s="879"/>
      <c r="F140" s="879"/>
      <c r="G140" s="879"/>
      <c r="H140" s="879"/>
      <c r="I140" s="879"/>
      <c r="J140" s="879"/>
      <c r="K140" s="879"/>
      <c r="L140" s="879"/>
      <c r="M140" s="879"/>
      <c r="N140" s="879"/>
      <c r="O140" s="879"/>
      <c r="P140" s="879"/>
      <c r="Q140" s="879"/>
      <c r="R140" s="879"/>
      <c r="S140" s="879"/>
      <c r="T140" s="879"/>
      <c r="U140" s="879"/>
      <c r="V140" s="879"/>
      <c r="W140" s="879"/>
      <c r="X140" s="879"/>
      <c r="Y140" s="879"/>
      <c r="Z140" s="879"/>
    </row>
    <row r="141" spans="1:26" ht="12.75" customHeight="1">
      <c r="A141" s="879"/>
      <c r="B141" s="879"/>
      <c r="C141" s="879"/>
      <c r="D141" s="879"/>
      <c r="E141" s="879"/>
      <c r="F141" s="879"/>
      <c r="G141" s="879"/>
      <c r="H141" s="879"/>
      <c r="I141" s="879"/>
      <c r="J141" s="879"/>
      <c r="K141" s="879"/>
      <c r="L141" s="879"/>
      <c r="M141" s="879"/>
      <c r="N141" s="879"/>
      <c r="O141" s="879"/>
      <c r="P141" s="879"/>
      <c r="Q141" s="879"/>
      <c r="R141" s="879"/>
      <c r="S141" s="879"/>
      <c r="T141" s="879"/>
      <c r="U141" s="879"/>
      <c r="V141" s="879"/>
      <c r="W141" s="879"/>
      <c r="X141" s="879"/>
      <c r="Y141" s="879"/>
      <c r="Z141" s="879"/>
    </row>
    <row r="142" spans="1:26" ht="12.75" customHeight="1">
      <c r="A142" s="879"/>
      <c r="B142" s="879"/>
      <c r="C142" s="879"/>
      <c r="D142" s="879"/>
      <c r="E142" s="879"/>
      <c r="F142" s="879"/>
      <c r="G142" s="879"/>
      <c r="H142" s="879"/>
      <c r="I142" s="879"/>
      <c r="J142" s="879"/>
      <c r="K142" s="879"/>
      <c r="L142" s="879"/>
      <c r="M142" s="879"/>
      <c r="N142" s="879"/>
      <c r="O142" s="879"/>
      <c r="P142" s="879"/>
      <c r="Q142" s="879"/>
      <c r="R142" s="879"/>
      <c r="S142" s="879"/>
      <c r="T142" s="879"/>
      <c r="U142" s="879"/>
      <c r="V142" s="879"/>
      <c r="W142" s="879"/>
      <c r="X142" s="879"/>
      <c r="Y142" s="879"/>
      <c r="Z142" s="879"/>
    </row>
    <row r="143" spans="1:26" ht="12.75" customHeight="1">
      <c r="A143" s="879"/>
      <c r="B143" s="879"/>
      <c r="C143" s="879"/>
      <c r="D143" s="879"/>
      <c r="E143" s="879"/>
      <c r="F143" s="879"/>
      <c r="G143" s="879"/>
      <c r="H143" s="879"/>
      <c r="I143" s="879"/>
      <c r="J143" s="879"/>
      <c r="K143" s="879"/>
      <c r="L143" s="879"/>
      <c r="M143" s="879"/>
      <c r="N143" s="879"/>
      <c r="O143" s="879"/>
      <c r="P143" s="879"/>
      <c r="Q143" s="879"/>
      <c r="R143" s="879"/>
      <c r="S143" s="879"/>
      <c r="T143" s="879"/>
      <c r="U143" s="879"/>
      <c r="V143" s="879"/>
      <c r="W143" s="879"/>
      <c r="X143" s="879"/>
      <c r="Y143" s="879"/>
      <c r="Z143" s="879"/>
    </row>
    <row r="144" spans="1:26" ht="12.75" customHeight="1">
      <c r="A144" s="879"/>
      <c r="B144" s="879"/>
      <c r="C144" s="879"/>
      <c r="D144" s="879"/>
      <c r="E144" s="879"/>
      <c r="F144" s="879"/>
      <c r="G144" s="879"/>
      <c r="H144" s="879"/>
      <c r="I144" s="879"/>
      <c r="J144" s="879"/>
      <c r="K144" s="879"/>
      <c r="L144" s="879"/>
      <c r="M144" s="879"/>
      <c r="N144" s="879"/>
      <c r="O144" s="879"/>
      <c r="P144" s="879"/>
      <c r="Q144" s="879"/>
      <c r="R144" s="879"/>
      <c r="S144" s="879"/>
      <c r="T144" s="879"/>
      <c r="U144" s="879"/>
      <c r="V144" s="879"/>
      <c r="W144" s="879"/>
      <c r="X144" s="879"/>
      <c r="Y144" s="879"/>
      <c r="Z144" s="879"/>
    </row>
    <row r="145" spans="1:26" ht="12.75" customHeight="1">
      <c r="A145" s="879"/>
      <c r="B145" s="879"/>
      <c r="C145" s="879"/>
      <c r="D145" s="879"/>
      <c r="E145" s="879"/>
      <c r="F145" s="879"/>
      <c r="G145" s="879"/>
      <c r="H145" s="879"/>
      <c r="I145" s="879"/>
      <c r="J145" s="879"/>
      <c r="K145" s="879"/>
      <c r="L145" s="879"/>
      <c r="M145" s="879"/>
      <c r="N145" s="879"/>
      <c r="O145" s="879"/>
      <c r="P145" s="879"/>
      <c r="Q145" s="879"/>
      <c r="R145" s="879"/>
      <c r="S145" s="879"/>
      <c r="T145" s="879"/>
      <c r="U145" s="879"/>
      <c r="V145" s="879"/>
      <c r="W145" s="879"/>
      <c r="X145" s="879"/>
      <c r="Y145" s="879"/>
      <c r="Z145" s="879"/>
    </row>
    <row r="146" spans="1:26" ht="12.75" customHeight="1">
      <c r="A146" s="879"/>
      <c r="B146" s="879"/>
      <c r="C146" s="879"/>
      <c r="D146" s="879"/>
      <c r="E146" s="879"/>
      <c r="F146" s="879"/>
      <c r="G146" s="879"/>
      <c r="H146" s="879"/>
      <c r="I146" s="879"/>
      <c r="J146" s="879"/>
      <c r="K146" s="879"/>
      <c r="L146" s="879"/>
      <c r="M146" s="879"/>
      <c r="N146" s="879"/>
      <c r="O146" s="879"/>
      <c r="P146" s="879"/>
      <c r="Q146" s="879"/>
      <c r="R146" s="879"/>
      <c r="S146" s="879"/>
      <c r="T146" s="879"/>
      <c r="U146" s="879"/>
      <c r="V146" s="879"/>
      <c r="W146" s="879"/>
      <c r="X146" s="879"/>
      <c r="Y146" s="879"/>
      <c r="Z146" s="879"/>
    </row>
    <row r="147" spans="1:26" ht="12.75" customHeight="1">
      <c r="A147" s="879"/>
      <c r="B147" s="879"/>
      <c r="C147" s="879"/>
      <c r="D147" s="879"/>
      <c r="E147" s="879"/>
      <c r="F147" s="879"/>
      <c r="G147" s="879"/>
      <c r="H147" s="879"/>
      <c r="I147" s="879"/>
      <c r="J147" s="879"/>
      <c r="K147" s="879"/>
      <c r="L147" s="879"/>
      <c r="M147" s="879"/>
      <c r="N147" s="879"/>
      <c r="O147" s="879"/>
      <c r="P147" s="879"/>
      <c r="Q147" s="879"/>
      <c r="R147" s="879"/>
      <c r="S147" s="879"/>
      <c r="T147" s="879"/>
      <c r="U147" s="879"/>
      <c r="V147" s="879"/>
      <c r="W147" s="879"/>
      <c r="X147" s="879"/>
      <c r="Y147" s="879"/>
      <c r="Z147" s="879"/>
    </row>
    <row r="148" spans="1:26" ht="12.75" customHeight="1">
      <c r="A148" s="879"/>
      <c r="B148" s="879"/>
      <c r="C148" s="879"/>
      <c r="D148" s="879"/>
      <c r="E148" s="879"/>
      <c r="F148" s="879"/>
      <c r="G148" s="879"/>
      <c r="H148" s="879"/>
      <c r="I148" s="879"/>
      <c r="J148" s="879"/>
      <c r="K148" s="879"/>
      <c r="L148" s="879"/>
      <c r="M148" s="879"/>
      <c r="N148" s="879"/>
      <c r="O148" s="879"/>
      <c r="P148" s="879"/>
      <c r="Q148" s="879"/>
      <c r="R148" s="879"/>
      <c r="S148" s="879"/>
      <c r="T148" s="879"/>
      <c r="U148" s="879"/>
      <c r="V148" s="879"/>
      <c r="W148" s="879"/>
      <c r="X148" s="879"/>
      <c r="Y148" s="879"/>
      <c r="Z148" s="879"/>
    </row>
    <row r="149" spans="1:26" ht="12.75" customHeight="1">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c r="X149" s="879"/>
      <c r="Y149" s="879"/>
      <c r="Z149" s="879"/>
    </row>
    <row r="150" spans="1:26" ht="12.75" customHeight="1">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c r="X150" s="879"/>
      <c r="Y150" s="879"/>
      <c r="Z150" s="879"/>
    </row>
    <row r="151" spans="1:26" ht="12.75" customHeight="1">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c r="X151" s="879"/>
      <c r="Y151" s="879"/>
      <c r="Z151" s="879"/>
    </row>
    <row r="152" spans="1:26" ht="12.75" customHeight="1">
      <c r="A152" s="879"/>
      <c r="B152" s="879"/>
      <c r="C152" s="879"/>
      <c r="D152" s="879"/>
      <c r="E152" s="879"/>
      <c r="F152" s="879"/>
      <c r="G152" s="879"/>
      <c r="H152" s="879"/>
      <c r="I152" s="879"/>
      <c r="J152" s="879"/>
      <c r="K152" s="879"/>
      <c r="L152" s="879"/>
      <c r="M152" s="879"/>
      <c r="N152" s="879"/>
      <c r="O152" s="879"/>
      <c r="P152" s="879"/>
      <c r="Q152" s="879"/>
      <c r="R152" s="879"/>
      <c r="S152" s="879"/>
      <c r="T152" s="879"/>
      <c r="U152" s="879"/>
      <c r="V152" s="879"/>
      <c r="W152" s="879"/>
      <c r="X152" s="879"/>
      <c r="Y152" s="879"/>
      <c r="Z152" s="879"/>
    </row>
    <row r="153" spans="1:26" ht="12.75" customHeight="1">
      <c r="A153" s="879"/>
      <c r="B153" s="879"/>
      <c r="C153" s="879"/>
      <c r="D153" s="879"/>
      <c r="E153" s="879"/>
      <c r="F153" s="879"/>
      <c r="G153" s="879"/>
      <c r="H153" s="879"/>
      <c r="I153" s="879"/>
      <c r="J153" s="879"/>
      <c r="K153" s="879"/>
      <c r="L153" s="879"/>
      <c r="M153" s="879"/>
      <c r="N153" s="879"/>
      <c r="O153" s="879"/>
      <c r="P153" s="879"/>
      <c r="Q153" s="879"/>
      <c r="R153" s="879"/>
      <c r="S153" s="879"/>
      <c r="T153" s="879"/>
      <c r="U153" s="879"/>
      <c r="V153" s="879"/>
      <c r="W153" s="879"/>
      <c r="X153" s="879"/>
      <c r="Y153" s="879"/>
      <c r="Z153" s="879"/>
    </row>
    <row r="154" spans="1:26" ht="12.75" customHeight="1">
      <c r="A154" s="879"/>
      <c r="B154" s="879"/>
      <c r="C154" s="879"/>
      <c r="D154" s="879"/>
      <c r="E154" s="879"/>
      <c r="F154" s="879"/>
      <c r="G154" s="879"/>
      <c r="H154" s="879"/>
      <c r="I154" s="879"/>
      <c r="J154" s="879"/>
      <c r="K154" s="879"/>
      <c r="L154" s="879"/>
      <c r="M154" s="879"/>
      <c r="N154" s="879"/>
      <c r="O154" s="879"/>
      <c r="P154" s="879"/>
      <c r="Q154" s="879"/>
      <c r="R154" s="879"/>
      <c r="S154" s="879"/>
      <c r="T154" s="879"/>
      <c r="U154" s="879"/>
      <c r="V154" s="879"/>
      <c r="W154" s="879"/>
      <c r="X154" s="879"/>
      <c r="Y154" s="879"/>
      <c r="Z154" s="879"/>
    </row>
    <row r="155" spans="1:26" ht="12.75" customHeight="1">
      <c r="A155" s="879"/>
      <c r="B155" s="879"/>
      <c r="C155" s="879"/>
      <c r="D155" s="879"/>
      <c r="E155" s="879"/>
      <c r="F155" s="879"/>
      <c r="G155" s="879"/>
      <c r="H155" s="879"/>
      <c r="I155" s="879"/>
      <c r="J155" s="879"/>
      <c r="K155" s="879"/>
      <c r="L155" s="879"/>
      <c r="M155" s="879"/>
      <c r="N155" s="879"/>
      <c r="O155" s="879"/>
      <c r="P155" s="879"/>
      <c r="Q155" s="879"/>
      <c r="R155" s="879"/>
      <c r="S155" s="879"/>
      <c r="T155" s="879"/>
      <c r="U155" s="879"/>
      <c r="V155" s="879"/>
      <c r="W155" s="879"/>
      <c r="X155" s="879"/>
      <c r="Y155" s="879"/>
      <c r="Z155" s="879"/>
    </row>
    <row r="156" spans="1:26" ht="12.75" customHeight="1">
      <c r="A156" s="879"/>
      <c r="B156" s="879"/>
      <c r="C156" s="879"/>
      <c r="D156" s="879"/>
      <c r="E156" s="879"/>
      <c r="F156" s="879"/>
      <c r="G156" s="879"/>
      <c r="H156" s="879"/>
      <c r="I156" s="879"/>
      <c r="J156" s="879"/>
      <c r="K156" s="879"/>
      <c r="L156" s="879"/>
      <c r="M156" s="879"/>
      <c r="N156" s="879"/>
      <c r="O156" s="879"/>
      <c r="P156" s="879"/>
      <c r="Q156" s="879"/>
      <c r="R156" s="879"/>
      <c r="S156" s="879"/>
      <c r="T156" s="879"/>
      <c r="U156" s="879"/>
      <c r="V156" s="879"/>
      <c r="W156" s="879"/>
      <c r="X156" s="879"/>
      <c r="Y156" s="879"/>
      <c r="Z156" s="879"/>
    </row>
    <row r="157" spans="1:26" ht="12.75" customHeight="1">
      <c r="A157" s="879"/>
      <c r="B157" s="879"/>
      <c r="C157" s="879"/>
      <c r="D157" s="879"/>
      <c r="E157" s="879"/>
      <c r="F157" s="879"/>
      <c r="G157" s="879"/>
      <c r="H157" s="879"/>
      <c r="I157" s="879"/>
      <c r="J157" s="879"/>
      <c r="K157" s="879"/>
      <c r="L157" s="879"/>
      <c r="M157" s="879"/>
      <c r="N157" s="879"/>
      <c r="O157" s="879"/>
      <c r="P157" s="879"/>
      <c r="Q157" s="879"/>
      <c r="R157" s="879"/>
      <c r="S157" s="879"/>
      <c r="T157" s="879"/>
      <c r="U157" s="879"/>
      <c r="V157" s="879"/>
      <c r="W157" s="879"/>
      <c r="X157" s="879"/>
      <c r="Y157" s="879"/>
      <c r="Z157" s="879"/>
    </row>
    <row r="158" spans="1:26" ht="12.75" customHeight="1">
      <c r="A158" s="879"/>
      <c r="B158" s="879"/>
      <c r="C158" s="879"/>
      <c r="D158" s="879"/>
      <c r="E158" s="879"/>
      <c r="F158" s="879"/>
      <c r="G158" s="879"/>
      <c r="H158" s="879"/>
      <c r="I158" s="879"/>
      <c r="J158" s="879"/>
      <c r="K158" s="879"/>
      <c r="L158" s="879"/>
      <c r="M158" s="879"/>
      <c r="N158" s="879"/>
      <c r="O158" s="879"/>
      <c r="P158" s="879"/>
      <c r="Q158" s="879"/>
      <c r="R158" s="879"/>
      <c r="S158" s="879"/>
      <c r="T158" s="879"/>
      <c r="U158" s="879"/>
      <c r="V158" s="879"/>
      <c r="W158" s="879"/>
      <c r="X158" s="879"/>
      <c r="Y158" s="879"/>
      <c r="Z158" s="879"/>
    </row>
    <row r="159" spans="1:26" ht="12.75" customHeight="1">
      <c r="A159" s="879"/>
      <c r="B159" s="879"/>
      <c r="C159" s="879"/>
      <c r="D159" s="879"/>
      <c r="E159" s="879"/>
      <c r="F159" s="879"/>
      <c r="G159" s="879"/>
      <c r="H159" s="879"/>
      <c r="I159" s="879"/>
      <c r="J159" s="879"/>
      <c r="K159" s="879"/>
      <c r="L159" s="879"/>
      <c r="M159" s="879"/>
      <c r="N159" s="879"/>
      <c r="O159" s="879"/>
      <c r="P159" s="879"/>
      <c r="Q159" s="879"/>
      <c r="R159" s="879"/>
      <c r="S159" s="879"/>
      <c r="T159" s="879"/>
      <c r="U159" s="879"/>
      <c r="V159" s="879"/>
      <c r="W159" s="879"/>
      <c r="X159" s="879"/>
      <c r="Y159" s="879"/>
      <c r="Z159" s="879"/>
    </row>
    <row r="160" spans="1:26" ht="12.75" customHeight="1">
      <c r="A160" s="879"/>
      <c r="B160" s="879"/>
      <c r="C160" s="879"/>
      <c r="D160" s="879"/>
      <c r="E160" s="879"/>
      <c r="F160" s="879"/>
      <c r="G160" s="879"/>
      <c r="H160" s="879"/>
      <c r="I160" s="879"/>
      <c r="J160" s="879"/>
      <c r="K160" s="879"/>
      <c r="L160" s="879"/>
      <c r="M160" s="879"/>
      <c r="N160" s="879"/>
      <c r="O160" s="879"/>
      <c r="P160" s="879"/>
      <c r="Q160" s="879"/>
      <c r="R160" s="879"/>
      <c r="S160" s="879"/>
      <c r="T160" s="879"/>
      <c r="U160" s="879"/>
      <c r="V160" s="879"/>
      <c r="W160" s="879"/>
      <c r="X160" s="879"/>
      <c r="Y160" s="879"/>
      <c r="Z160" s="879"/>
    </row>
    <row r="161" spans="1:26" ht="12.75" customHeight="1">
      <c r="A161" s="879"/>
      <c r="B161" s="879"/>
      <c r="C161" s="879"/>
      <c r="D161" s="879"/>
      <c r="E161" s="879"/>
      <c r="F161" s="879"/>
      <c r="G161" s="879"/>
      <c r="H161" s="879"/>
      <c r="I161" s="879"/>
      <c r="J161" s="879"/>
      <c r="K161" s="879"/>
      <c r="L161" s="879"/>
      <c r="M161" s="879"/>
      <c r="N161" s="879"/>
      <c r="O161" s="879"/>
      <c r="P161" s="879"/>
      <c r="Q161" s="879"/>
      <c r="R161" s="879"/>
      <c r="S161" s="879"/>
      <c r="T161" s="879"/>
      <c r="U161" s="879"/>
      <c r="V161" s="879"/>
      <c r="W161" s="879"/>
      <c r="X161" s="879"/>
      <c r="Y161" s="879"/>
      <c r="Z161" s="879"/>
    </row>
    <row r="162" spans="1:26" ht="12.75" customHeight="1">
      <c r="A162" s="879"/>
      <c r="B162" s="879"/>
      <c r="C162" s="879"/>
      <c r="D162" s="879"/>
      <c r="E162" s="879"/>
      <c r="F162" s="879"/>
      <c r="G162" s="879"/>
      <c r="H162" s="879"/>
      <c r="I162" s="879"/>
      <c r="J162" s="879"/>
      <c r="K162" s="879"/>
      <c r="L162" s="879"/>
      <c r="M162" s="879"/>
      <c r="N162" s="879"/>
      <c r="O162" s="879"/>
      <c r="P162" s="879"/>
      <c r="Q162" s="879"/>
      <c r="R162" s="879"/>
      <c r="S162" s="879"/>
      <c r="T162" s="879"/>
      <c r="U162" s="879"/>
      <c r="V162" s="879"/>
      <c r="W162" s="879"/>
      <c r="X162" s="879"/>
      <c r="Y162" s="879"/>
      <c r="Z162" s="879"/>
    </row>
    <row r="163" spans="1:26" ht="12.75" customHeight="1">
      <c r="A163" s="879"/>
      <c r="B163" s="879"/>
      <c r="C163" s="879"/>
      <c r="D163" s="879"/>
      <c r="E163" s="879"/>
      <c r="F163" s="879"/>
      <c r="G163" s="879"/>
      <c r="H163" s="879"/>
      <c r="I163" s="879"/>
      <c r="J163" s="879"/>
      <c r="K163" s="879"/>
      <c r="L163" s="879"/>
      <c r="M163" s="879"/>
      <c r="N163" s="879"/>
      <c r="O163" s="879"/>
      <c r="P163" s="879"/>
      <c r="Q163" s="879"/>
      <c r="R163" s="879"/>
      <c r="S163" s="879"/>
      <c r="T163" s="879"/>
      <c r="U163" s="879"/>
      <c r="V163" s="879"/>
      <c r="W163" s="879"/>
      <c r="X163" s="879"/>
      <c r="Y163" s="879"/>
      <c r="Z163" s="879"/>
    </row>
    <row r="164" spans="1:26" ht="12.75" customHeight="1">
      <c r="A164" s="879"/>
      <c r="B164" s="879"/>
      <c r="C164" s="879"/>
      <c r="D164" s="879"/>
      <c r="E164" s="879"/>
      <c r="F164" s="879"/>
      <c r="G164" s="879"/>
      <c r="H164" s="879"/>
      <c r="I164" s="879"/>
      <c r="J164" s="879"/>
      <c r="K164" s="879"/>
      <c r="L164" s="879"/>
      <c r="M164" s="879"/>
      <c r="N164" s="879"/>
      <c r="O164" s="879"/>
      <c r="P164" s="879"/>
      <c r="Q164" s="879"/>
      <c r="R164" s="879"/>
      <c r="S164" s="879"/>
      <c r="T164" s="879"/>
      <c r="U164" s="879"/>
      <c r="V164" s="879"/>
      <c r="W164" s="879"/>
      <c r="X164" s="879"/>
      <c r="Y164" s="879"/>
      <c r="Z164" s="879"/>
    </row>
    <row r="165" spans="1:26" ht="12.75" customHeight="1">
      <c r="A165" s="879"/>
      <c r="B165" s="879"/>
      <c r="C165" s="879"/>
      <c r="D165" s="879"/>
      <c r="E165" s="879"/>
      <c r="F165" s="879"/>
      <c r="G165" s="879"/>
      <c r="H165" s="879"/>
      <c r="I165" s="879"/>
      <c r="J165" s="879"/>
      <c r="K165" s="879"/>
      <c r="L165" s="879"/>
      <c r="M165" s="879"/>
      <c r="N165" s="879"/>
      <c r="O165" s="879"/>
      <c r="P165" s="879"/>
      <c r="Q165" s="879"/>
      <c r="R165" s="879"/>
      <c r="S165" s="879"/>
      <c r="T165" s="879"/>
      <c r="U165" s="879"/>
      <c r="V165" s="879"/>
      <c r="W165" s="879"/>
      <c r="X165" s="879"/>
      <c r="Y165" s="879"/>
      <c r="Z165" s="879"/>
    </row>
    <row r="166" spans="1:26" ht="12.75" customHeight="1">
      <c r="A166" s="879"/>
      <c r="B166" s="879"/>
      <c r="C166" s="879"/>
      <c r="D166" s="879"/>
      <c r="E166" s="879"/>
      <c r="F166" s="879"/>
      <c r="G166" s="879"/>
      <c r="H166" s="879"/>
      <c r="I166" s="879"/>
      <c r="J166" s="879"/>
      <c r="K166" s="879"/>
      <c r="L166" s="879"/>
      <c r="M166" s="879"/>
      <c r="N166" s="879"/>
      <c r="O166" s="879"/>
      <c r="P166" s="879"/>
      <c r="Q166" s="879"/>
      <c r="R166" s="879"/>
      <c r="S166" s="879"/>
      <c r="T166" s="879"/>
      <c r="U166" s="879"/>
      <c r="V166" s="879"/>
      <c r="W166" s="879"/>
      <c r="X166" s="879"/>
      <c r="Y166" s="879"/>
      <c r="Z166" s="879"/>
    </row>
    <row r="167" spans="1:26" ht="12.75" customHeight="1">
      <c r="A167" s="879"/>
      <c r="B167" s="879"/>
      <c r="C167" s="879"/>
      <c r="D167" s="879"/>
      <c r="E167" s="879"/>
      <c r="F167" s="879"/>
      <c r="G167" s="879"/>
      <c r="H167" s="879"/>
      <c r="I167" s="879"/>
      <c r="J167" s="879"/>
      <c r="K167" s="879"/>
      <c r="L167" s="879"/>
      <c r="M167" s="879"/>
      <c r="N167" s="879"/>
      <c r="O167" s="879"/>
      <c r="P167" s="879"/>
      <c r="Q167" s="879"/>
      <c r="R167" s="879"/>
      <c r="S167" s="879"/>
      <c r="T167" s="879"/>
      <c r="U167" s="879"/>
      <c r="V167" s="879"/>
      <c r="W167" s="879"/>
      <c r="X167" s="879"/>
      <c r="Y167" s="879"/>
      <c r="Z167" s="879"/>
    </row>
    <row r="168" spans="1:26" ht="12.75" customHeight="1">
      <c r="A168" s="879"/>
      <c r="B168" s="879"/>
      <c r="C168" s="879"/>
      <c r="D168" s="879"/>
      <c r="E168" s="879"/>
      <c r="F168" s="879"/>
      <c r="G168" s="879"/>
      <c r="H168" s="879"/>
      <c r="I168" s="879"/>
      <c r="J168" s="879"/>
      <c r="K168" s="879"/>
      <c r="L168" s="879"/>
      <c r="M168" s="879"/>
      <c r="N168" s="879"/>
      <c r="O168" s="879"/>
      <c r="P168" s="879"/>
      <c r="Q168" s="879"/>
      <c r="R168" s="879"/>
      <c r="S168" s="879"/>
      <c r="T168" s="879"/>
      <c r="U168" s="879"/>
      <c r="V168" s="879"/>
      <c r="W168" s="879"/>
      <c r="X168" s="879"/>
      <c r="Y168" s="879"/>
      <c r="Z168" s="879"/>
    </row>
    <row r="169" spans="1:26" ht="12.75" customHeight="1">
      <c r="A169" s="879"/>
      <c r="B169" s="879"/>
      <c r="C169" s="879"/>
      <c r="D169" s="879"/>
      <c r="E169" s="879"/>
      <c r="F169" s="879"/>
      <c r="G169" s="879"/>
      <c r="H169" s="879"/>
      <c r="I169" s="879"/>
      <c r="J169" s="879"/>
      <c r="K169" s="879"/>
      <c r="L169" s="879"/>
      <c r="M169" s="879"/>
      <c r="N169" s="879"/>
      <c r="O169" s="879"/>
      <c r="P169" s="879"/>
      <c r="Q169" s="879"/>
      <c r="R169" s="879"/>
      <c r="S169" s="879"/>
      <c r="T169" s="879"/>
      <c r="U169" s="879"/>
      <c r="V169" s="879"/>
      <c r="W169" s="879"/>
      <c r="X169" s="879"/>
      <c r="Y169" s="879"/>
      <c r="Z169" s="879"/>
    </row>
    <row r="170" spans="1:26" ht="12.75" customHeight="1">
      <c r="A170" s="879"/>
      <c r="B170" s="879"/>
      <c r="C170" s="879"/>
      <c r="D170" s="879"/>
      <c r="E170" s="879"/>
      <c r="F170" s="879"/>
      <c r="G170" s="879"/>
      <c r="H170" s="879"/>
      <c r="I170" s="879"/>
      <c r="J170" s="879"/>
      <c r="K170" s="879"/>
      <c r="L170" s="879"/>
      <c r="M170" s="879"/>
      <c r="N170" s="879"/>
      <c r="O170" s="879"/>
      <c r="P170" s="879"/>
      <c r="Q170" s="879"/>
      <c r="R170" s="879"/>
      <c r="S170" s="879"/>
      <c r="T170" s="879"/>
      <c r="U170" s="879"/>
      <c r="V170" s="879"/>
      <c r="W170" s="879"/>
      <c r="X170" s="879"/>
      <c r="Y170" s="879"/>
      <c r="Z170" s="879"/>
    </row>
    <row r="171" spans="1:26" ht="12.75" customHeight="1">
      <c r="A171" s="879"/>
      <c r="B171" s="879"/>
      <c r="C171" s="879"/>
      <c r="D171" s="879"/>
      <c r="E171" s="879"/>
      <c r="F171" s="879"/>
      <c r="G171" s="879"/>
      <c r="H171" s="879"/>
      <c r="I171" s="879"/>
      <c r="J171" s="879"/>
      <c r="K171" s="879"/>
      <c r="L171" s="879"/>
      <c r="M171" s="879"/>
      <c r="N171" s="879"/>
      <c r="O171" s="879"/>
      <c r="P171" s="879"/>
      <c r="Q171" s="879"/>
      <c r="R171" s="879"/>
      <c r="S171" s="879"/>
      <c r="T171" s="879"/>
      <c r="U171" s="879"/>
      <c r="V171" s="879"/>
      <c r="W171" s="879"/>
      <c r="X171" s="879"/>
      <c r="Y171" s="879"/>
      <c r="Z171" s="879"/>
    </row>
    <row r="172" spans="1:26" ht="12.75" customHeight="1">
      <c r="A172" s="879"/>
      <c r="B172" s="879"/>
      <c r="C172" s="879"/>
      <c r="D172" s="879"/>
      <c r="E172" s="879"/>
      <c r="F172" s="879"/>
      <c r="G172" s="879"/>
      <c r="H172" s="879"/>
      <c r="I172" s="879"/>
      <c r="J172" s="879"/>
      <c r="K172" s="879"/>
      <c r="L172" s="879"/>
      <c r="M172" s="879"/>
      <c r="N172" s="879"/>
      <c r="O172" s="879"/>
      <c r="P172" s="879"/>
      <c r="Q172" s="879"/>
      <c r="R172" s="879"/>
      <c r="S172" s="879"/>
      <c r="T172" s="879"/>
      <c r="U172" s="879"/>
      <c r="V172" s="879"/>
      <c r="W172" s="879"/>
      <c r="X172" s="879"/>
      <c r="Y172" s="879"/>
      <c r="Z172" s="879"/>
    </row>
    <row r="173" spans="1:26" ht="12.75" customHeight="1">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c r="X173" s="879"/>
      <c r="Y173" s="879"/>
      <c r="Z173" s="879"/>
    </row>
    <row r="174" spans="1:26" ht="12.75" customHeight="1">
      <c r="A174" s="879"/>
      <c r="B174" s="879"/>
      <c r="C174" s="879"/>
      <c r="D174" s="879"/>
      <c r="E174" s="879"/>
      <c r="F174" s="879"/>
      <c r="G174" s="879"/>
      <c r="H174" s="879"/>
      <c r="I174" s="879"/>
      <c r="J174" s="879"/>
      <c r="K174" s="879"/>
      <c r="L174" s="879"/>
      <c r="M174" s="879"/>
      <c r="N174" s="879"/>
      <c r="O174" s="879"/>
      <c r="P174" s="879"/>
      <c r="Q174" s="879"/>
      <c r="R174" s="879"/>
      <c r="S174" s="879"/>
      <c r="T174" s="879"/>
      <c r="U174" s="879"/>
      <c r="V174" s="879"/>
      <c r="W174" s="879"/>
      <c r="X174" s="879"/>
      <c r="Y174" s="879"/>
      <c r="Z174" s="879"/>
    </row>
    <row r="175" spans="1:26" ht="12.75" customHeight="1">
      <c r="A175" s="879"/>
      <c r="B175" s="879"/>
      <c r="C175" s="879"/>
      <c r="D175" s="879"/>
      <c r="E175" s="879"/>
      <c r="F175" s="879"/>
      <c r="G175" s="879"/>
      <c r="H175" s="879"/>
      <c r="I175" s="879"/>
      <c r="J175" s="879"/>
      <c r="K175" s="879"/>
      <c r="L175" s="879"/>
      <c r="M175" s="879"/>
      <c r="N175" s="879"/>
      <c r="O175" s="879"/>
      <c r="P175" s="879"/>
      <c r="Q175" s="879"/>
      <c r="R175" s="879"/>
      <c r="S175" s="879"/>
      <c r="T175" s="879"/>
      <c r="U175" s="879"/>
      <c r="V175" s="879"/>
      <c r="W175" s="879"/>
      <c r="X175" s="879"/>
      <c r="Y175" s="879"/>
      <c r="Z175" s="879"/>
    </row>
    <row r="176" spans="1:26" ht="12.75" customHeight="1">
      <c r="A176" s="879"/>
      <c r="B176" s="879"/>
      <c r="C176" s="879"/>
      <c r="D176" s="879"/>
      <c r="E176" s="879"/>
      <c r="F176" s="879"/>
      <c r="G176" s="879"/>
      <c r="H176" s="879"/>
      <c r="I176" s="879"/>
      <c r="J176" s="879"/>
      <c r="K176" s="879"/>
      <c r="L176" s="879"/>
      <c r="M176" s="879"/>
      <c r="N176" s="879"/>
      <c r="O176" s="879"/>
      <c r="P176" s="879"/>
      <c r="Q176" s="879"/>
      <c r="R176" s="879"/>
      <c r="S176" s="879"/>
      <c r="T176" s="879"/>
      <c r="U176" s="879"/>
      <c r="V176" s="879"/>
      <c r="W176" s="879"/>
      <c r="X176" s="879"/>
      <c r="Y176" s="879"/>
      <c r="Z176" s="879"/>
    </row>
    <row r="177" spans="1:26" ht="12.75" customHeight="1">
      <c r="A177" s="879"/>
      <c r="B177" s="879"/>
      <c r="C177" s="879"/>
      <c r="D177" s="879"/>
      <c r="E177" s="879"/>
      <c r="F177" s="879"/>
      <c r="G177" s="879"/>
      <c r="H177" s="879"/>
      <c r="I177" s="879"/>
      <c r="J177" s="879"/>
      <c r="K177" s="879"/>
      <c r="L177" s="879"/>
      <c r="M177" s="879"/>
      <c r="N177" s="879"/>
      <c r="O177" s="879"/>
      <c r="P177" s="879"/>
      <c r="Q177" s="879"/>
      <c r="R177" s="879"/>
      <c r="S177" s="879"/>
      <c r="T177" s="879"/>
      <c r="U177" s="879"/>
      <c r="V177" s="879"/>
      <c r="W177" s="879"/>
      <c r="X177" s="879"/>
      <c r="Y177" s="879"/>
      <c r="Z177" s="879"/>
    </row>
    <row r="178" spans="1:26" ht="12.75" customHeight="1">
      <c r="A178" s="879"/>
      <c r="B178" s="879"/>
      <c r="C178" s="879"/>
      <c r="D178" s="879"/>
      <c r="E178" s="879"/>
      <c r="F178" s="879"/>
      <c r="G178" s="879"/>
      <c r="H178" s="879"/>
      <c r="I178" s="879"/>
      <c r="J178" s="879"/>
      <c r="K178" s="879"/>
      <c r="L178" s="879"/>
      <c r="M178" s="879"/>
      <c r="N178" s="879"/>
      <c r="O178" s="879"/>
      <c r="P178" s="879"/>
      <c r="Q178" s="879"/>
      <c r="R178" s="879"/>
      <c r="S178" s="879"/>
      <c r="T178" s="879"/>
      <c r="U178" s="879"/>
      <c r="V178" s="879"/>
      <c r="W178" s="879"/>
      <c r="X178" s="879"/>
      <c r="Y178" s="879"/>
      <c r="Z178" s="879"/>
    </row>
    <row r="179" spans="1:26" ht="12.75" customHeight="1">
      <c r="A179" s="879"/>
      <c r="B179" s="879"/>
      <c r="C179" s="879"/>
      <c r="D179" s="879"/>
      <c r="E179" s="879"/>
      <c r="F179" s="879"/>
      <c r="G179" s="879"/>
      <c r="H179" s="879"/>
      <c r="I179" s="879"/>
      <c r="J179" s="879"/>
      <c r="K179" s="879"/>
      <c r="L179" s="879"/>
      <c r="M179" s="879"/>
      <c r="N179" s="879"/>
      <c r="O179" s="879"/>
      <c r="P179" s="879"/>
      <c r="Q179" s="879"/>
      <c r="R179" s="879"/>
      <c r="S179" s="879"/>
      <c r="T179" s="879"/>
      <c r="U179" s="879"/>
      <c r="V179" s="879"/>
      <c r="W179" s="879"/>
      <c r="X179" s="879"/>
      <c r="Y179" s="879"/>
      <c r="Z179" s="879"/>
    </row>
    <row r="180" spans="1:26" ht="12.75" customHeight="1">
      <c r="A180" s="879"/>
      <c r="B180" s="879"/>
      <c r="C180" s="879"/>
      <c r="D180" s="879"/>
      <c r="E180" s="879"/>
      <c r="F180" s="879"/>
      <c r="G180" s="879"/>
      <c r="H180" s="879"/>
      <c r="I180" s="879"/>
      <c r="J180" s="879"/>
      <c r="K180" s="879"/>
      <c r="L180" s="879"/>
      <c r="M180" s="879"/>
      <c r="N180" s="879"/>
      <c r="O180" s="879"/>
      <c r="P180" s="879"/>
      <c r="Q180" s="879"/>
      <c r="R180" s="879"/>
      <c r="S180" s="879"/>
      <c r="T180" s="879"/>
      <c r="U180" s="879"/>
      <c r="V180" s="879"/>
      <c r="W180" s="879"/>
      <c r="X180" s="879"/>
      <c r="Y180" s="879"/>
      <c r="Z180" s="879"/>
    </row>
    <row r="181" spans="1:26" ht="12.75" customHeight="1">
      <c r="A181" s="879"/>
      <c r="B181" s="879"/>
      <c r="C181" s="879"/>
      <c r="D181" s="879"/>
      <c r="E181" s="879"/>
      <c r="F181" s="879"/>
      <c r="G181" s="879"/>
      <c r="H181" s="879"/>
      <c r="I181" s="879"/>
      <c r="J181" s="879"/>
      <c r="K181" s="879"/>
      <c r="L181" s="879"/>
      <c r="M181" s="879"/>
      <c r="N181" s="879"/>
      <c r="O181" s="879"/>
      <c r="P181" s="879"/>
      <c r="Q181" s="879"/>
      <c r="R181" s="879"/>
      <c r="S181" s="879"/>
      <c r="T181" s="879"/>
      <c r="U181" s="879"/>
      <c r="V181" s="879"/>
      <c r="W181" s="879"/>
      <c r="X181" s="879"/>
      <c r="Y181" s="879"/>
      <c r="Z181" s="879"/>
    </row>
    <row r="182" spans="1:26" ht="12.75" customHeight="1">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c r="X182" s="879"/>
      <c r="Y182" s="879"/>
      <c r="Z182" s="879"/>
    </row>
    <row r="183" spans="1:26" ht="12.75" customHeight="1">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c r="X183" s="879"/>
      <c r="Y183" s="879"/>
      <c r="Z183" s="879"/>
    </row>
    <row r="184" spans="1:26" ht="12.75" customHeight="1">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c r="X184" s="879"/>
      <c r="Y184" s="879"/>
      <c r="Z184" s="879"/>
    </row>
    <row r="185" spans="1:26" ht="12.75" customHeight="1">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c r="X185" s="879"/>
      <c r="Y185" s="879"/>
      <c r="Z185" s="879"/>
    </row>
    <row r="186" spans="1:26" ht="12.75" customHeight="1">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c r="X186" s="879"/>
      <c r="Y186" s="879"/>
      <c r="Z186" s="879"/>
    </row>
    <row r="187" spans="1:26" ht="12.75" customHeight="1">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c r="X187" s="879"/>
      <c r="Y187" s="879"/>
      <c r="Z187" s="879"/>
    </row>
    <row r="188" spans="1:26" ht="12.75" customHeight="1">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c r="X188" s="879"/>
      <c r="Y188" s="879"/>
      <c r="Z188" s="879"/>
    </row>
    <row r="189" spans="1:26" ht="12.75" customHeight="1">
      <c r="A189" s="879"/>
      <c r="B189" s="879"/>
      <c r="C189" s="879"/>
      <c r="D189" s="879"/>
      <c r="E189" s="879"/>
      <c r="F189" s="879"/>
      <c r="G189" s="879"/>
      <c r="H189" s="879"/>
      <c r="I189" s="879"/>
      <c r="J189" s="879"/>
      <c r="K189" s="879"/>
      <c r="L189" s="879"/>
      <c r="M189" s="879"/>
      <c r="N189" s="879"/>
      <c r="O189" s="879"/>
      <c r="P189" s="879"/>
      <c r="Q189" s="879"/>
      <c r="R189" s="879"/>
      <c r="S189" s="879"/>
      <c r="T189" s="879"/>
      <c r="U189" s="879"/>
      <c r="V189" s="879"/>
      <c r="W189" s="879"/>
      <c r="X189" s="879"/>
      <c r="Y189" s="879"/>
      <c r="Z189" s="879"/>
    </row>
    <row r="190" spans="1:26" ht="12.75" customHeight="1">
      <c r="A190" s="879"/>
      <c r="B190" s="879"/>
      <c r="C190" s="879"/>
      <c r="D190" s="879"/>
      <c r="E190" s="879"/>
      <c r="F190" s="879"/>
      <c r="G190" s="879"/>
      <c r="H190" s="879"/>
      <c r="I190" s="879"/>
      <c r="J190" s="879"/>
      <c r="K190" s="879"/>
      <c r="L190" s="879"/>
      <c r="M190" s="879"/>
      <c r="N190" s="879"/>
      <c r="O190" s="879"/>
      <c r="P190" s="879"/>
      <c r="Q190" s="879"/>
      <c r="R190" s="879"/>
      <c r="S190" s="879"/>
      <c r="T190" s="879"/>
      <c r="U190" s="879"/>
      <c r="V190" s="879"/>
      <c r="W190" s="879"/>
      <c r="X190" s="879"/>
      <c r="Y190" s="879"/>
      <c r="Z190" s="879"/>
    </row>
    <row r="191" spans="1:26" ht="12.75" customHeight="1">
      <c r="A191" s="879"/>
      <c r="B191" s="879"/>
      <c r="C191" s="879"/>
      <c r="D191" s="879"/>
      <c r="E191" s="879"/>
      <c r="F191" s="879"/>
      <c r="G191" s="879"/>
      <c r="H191" s="879"/>
      <c r="I191" s="879"/>
      <c r="J191" s="879"/>
      <c r="K191" s="879"/>
      <c r="L191" s="879"/>
      <c r="M191" s="879"/>
      <c r="N191" s="879"/>
      <c r="O191" s="879"/>
      <c r="P191" s="879"/>
      <c r="Q191" s="879"/>
      <c r="R191" s="879"/>
      <c r="S191" s="879"/>
      <c r="T191" s="879"/>
      <c r="U191" s="879"/>
      <c r="V191" s="879"/>
      <c r="W191" s="879"/>
      <c r="X191" s="879"/>
      <c r="Y191" s="879"/>
      <c r="Z191" s="879"/>
    </row>
    <row r="192" spans="1:26" ht="12.75" customHeight="1">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c r="X192" s="879"/>
      <c r="Y192" s="879"/>
      <c r="Z192" s="879"/>
    </row>
    <row r="193" spans="1:26" ht="12.75" customHeight="1">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c r="X193" s="879"/>
      <c r="Y193" s="879"/>
      <c r="Z193" s="879"/>
    </row>
    <row r="194" spans="1:26" ht="12.75" customHeight="1">
      <c r="A194" s="879"/>
      <c r="B194" s="879"/>
      <c r="C194" s="879"/>
      <c r="D194" s="879"/>
      <c r="E194" s="879"/>
      <c r="F194" s="879"/>
      <c r="G194" s="879"/>
      <c r="H194" s="879"/>
      <c r="I194" s="879"/>
      <c r="J194" s="879"/>
      <c r="K194" s="879"/>
      <c r="L194" s="879"/>
      <c r="M194" s="879"/>
      <c r="N194" s="879"/>
      <c r="O194" s="879"/>
      <c r="P194" s="879"/>
      <c r="Q194" s="879"/>
      <c r="R194" s="879"/>
      <c r="S194" s="879"/>
      <c r="T194" s="879"/>
      <c r="U194" s="879"/>
      <c r="V194" s="879"/>
      <c r="W194" s="879"/>
      <c r="X194" s="879"/>
      <c r="Y194" s="879"/>
      <c r="Z194" s="879"/>
    </row>
    <row r="195" spans="1:26" ht="12.75" customHeight="1">
      <c r="A195" s="879"/>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c r="X195" s="879"/>
      <c r="Y195" s="879"/>
      <c r="Z195" s="879"/>
    </row>
    <row r="196" spans="1:26" ht="12.75" customHeight="1">
      <c r="A196" s="879"/>
      <c r="B196" s="879"/>
      <c r="C196" s="879"/>
      <c r="D196" s="879"/>
      <c r="E196" s="879"/>
      <c r="F196" s="879"/>
      <c r="G196" s="879"/>
      <c r="H196" s="879"/>
      <c r="I196" s="879"/>
      <c r="J196" s="879"/>
      <c r="K196" s="879"/>
      <c r="L196" s="879"/>
      <c r="M196" s="879"/>
      <c r="N196" s="879"/>
      <c r="O196" s="879"/>
      <c r="P196" s="879"/>
      <c r="Q196" s="879"/>
      <c r="R196" s="879"/>
      <c r="S196" s="879"/>
      <c r="T196" s="879"/>
      <c r="U196" s="879"/>
      <c r="V196" s="879"/>
      <c r="W196" s="879"/>
      <c r="X196" s="879"/>
      <c r="Y196" s="879"/>
      <c r="Z196" s="879"/>
    </row>
    <row r="197" spans="1:26" ht="12.75" customHeight="1">
      <c r="A197" s="879"/>
      <c r="B197" s="879"/>
      <c r="C197" s="879"/>
      <c r="D197" s="879"/>
      <c r="E197" s="879"/>
      <c r="F197" s="879"/>
      <c r="G197" s="879"/>
      <c r="H197" s="879"/>
      <c r="I197" s="879"/>
      <c r="J197" s="879"/>
      <c r="K197" s="879"/>
      <c r="L197" s="879"/>
      <c r="M197" s="879"/>
      <c r="N197" s="879"/>
      <c r="O197" s="879"/>
      <c r="P197" s="879"/>
      <c r="Q197" s="879"/>
      <c r="R197" s="879"/>
      <c r="S197" s="879"/>
      <c r="T197" s="879"/>
      <c r="U197" s="879"/>
      <c r="V197" s="879"/>
      <c r="W197" s="879"/>
      <c r="X197" s="879"/>
      <c r="Y197" s="879"/>
      <c r="Z197" s="879"/>
    </row>
    <row r="198" spans="1:26" ht="12.75" customHeight="1">
      <c r="A198" s="879"/>
      <c r="B198" s="879"/>
      <c r="C198" s="879"/>
      <c r="D198" s="879"/>
      <c r="E198" s="879"/>
      <c r="F198" s="879"/>
      <c r="G198" s="879"/>
      <c r="H198" s="879"/>
      <c r="I198" s="879"/>
      <c r="J198" s="879"/>
      <c r="K198" s="879"/>
      <c r="L198" s="879"/>
      <c r="M198" s="879"/>
      <c r="N198" s="879"/>
      <c r="O198" s="879"/>
      <c r="P198" s="879"/>
      <c r="Q198" s="879"/>
      <c r="R198" s="879"/>
      <c r="S198" s="879"/>
      <c r="T198" s="879"/>
      <c r="U198" s="879"/>
      <c r="V198" s="879"/>
      <c r="W198" s="879"/>
      <c r="X198" s="879"/>
      <c r="Y198" s="879"/>
      <c r="Z198" s="879"/>
    </row>
    <row r="199" spans="1:26" ht="12.75" customHeight="1">
      <c r="A199" s="879"/>
      <c r="B199" s="879"/>
      <c r="C199" s="879"/>
      <c r="D199" s="879"/>
      <c r="E199" s="879"/>
      <c r="F199" s="879"/>
      <c r="G199" s="879"/>
      <c r="H199" s="879"/>
      <c r="I199" s="879"/>
      <c r="J199" s="879"/>
      <c r="K199" s="879"/>
      <c r="L199" s="879"/>
      <c r="M199" s="879"/>
      <c r="N199" s="879"/>
      <c r="O199" s="879"/>
      <c r="P199" s="879"/>
      <c r="Q199" s="879"/>
      <c r="R199" s="879"/>
      <c r="S199" s="879"/>
      <c r="T199" s="879"/>
      <c r="U199" s="879"/>
      <c r="V199" s="879"/>
      <c r="W199" s="879"/>
      <c r="X199" s="879"/>
      <c r="Y199" s="879"/>
      <c r="Z199" s="879"/>
    </row>
    <row r="200" spans="1:26" ht="12.75" customHeight="1">
      <c r="A200" s="879"/>
      <c r="B200" s="879"/>
      <c r="C200" s="879"/>
      <c r="D200" s="879"/>
      <c r="E200" s="879"/>
      <c r="F200" s="879"/>
      <c r="G200" s="879"/>
      <c r="H200" s="879"/>
      <c r="I200" s="879"/>
      <c r="J200" s="879"/>
      <c r="K200" s="879"/>
      <c r="L200" s="879"/>
      <c r="M200" s="879"/>
      <c r="N200" s="879"/>
      <c r="O200" s="879"/>
      <c r="P200" s="879"/>
      <c r="Q200" s="879"/>
      <c r="R200" s="879"/>
      <c r="S200" s="879"/>
      <c r="T200" s="879"/>
      <c r="U200" s="879"/>
      <c r="V200" s="879"/>
      <c r="W200" s="879"/>
      <c r="X200" s="879"/>
      <c r="Y200" s="879"/>
      <c r="Z200" s="879"/>
    </row>
    <row r="201" spans="1:26" ht="12.75" customHeight="1">
      <c r="A201" s="879"/>
      <c r="B201" s="879"/>
      <c r="C201" s="879"/>
      <c r="D201" s="879"/>
      <c r="E201" s="879"/>
      <c r="F201" s="879"/>
      <c r="G201" s="879"/>
      <c r="H201" s="879"/>
      <c r="I201" s="879"/>
      <c r="J201" s="879"/>
      <c r="K201" s="879"/>
      <c r="L201" s="879"/>
      <c r="M201" s="879"/>
      <c r="N201" s="879"/>
      <c r="O201" s="879"/>
      <c r="P201" s="879"/>
      <c r="Q201" s="879"/>
      <c r="R201" s="879"/>
      <c r="S201" s="879"/>
      <c r="T201" s="879"/>
      <c r="U201" s="879"/>
      <c r="V201" s="879"/>
      <c r="W201" s="879"/>
      <c r="X201" s="879"/>
      <c r="Y201" s="879"/>
      <c r="Z201" s="879"/>
    </row>
    <row r="202" spans="1:26" ht="12.75" customHeight="1">
      <c r="A202" s="879"/>
      <c r="B202" s="879"/>
      <c r="C202" s="879"/>
      <c r="D202" s="879"/>
      <c r="E202" s="879"/>
      <c r="F202" s="879"/>
      <c r="G202" s="879"/>
      <c r="H202" s="879"/>
      <c r="I202" s="879"/>
      <c r="J202" s="879"/>
      <c r="K202" s="879"/>
      <c r="L202" s="879"/>
      <c r="M202" s="879"/>
      <c r="N202" s="879"/>
      <c r="O202" s="879"/>
      <c r="P202" s="879"/>
      <c r="Q202" s="879"/>
      <c r="R202" s="879"/>
      <c r="S202" s="879"/>
      <c r="T202" s="879"/>
      <c r="U202" s="879"/>
      <c r="V202" s="879"/>
      <c r="W202" s="879"/>
      <c r="X202" s="879"/>
      <c r="Y202" s="879"/>
      <c r="Z202" s="879"/>
    </row>
    <row r="203" spans="1:26" ht="12.75" customHeight="1">
      <c r="A203" s="879"/>
      <c r="B203" s="879"/>
      <c r="C203" s="879"/>
      <c r="D203" s="879"/>
      <c r="E203" s="879"/>
      <c r="F203" s="879"/>
      <c r="G203" s="879"/>
      <c r="H203" s="879"/>
      <c r="I203" s="879"/>
      <c r="J203" s="879"/>
      <c r="K203" s="879"/>
      <c r="L203" s="879"/>
      <c r="M203" s="879"/>
      <c r="N203" s="879"/>
      <c r="O203" s="879"/>
      <c r="P203" s="879"/>
      <c r="Q203" s="879"/>
      <c r="R203" s="879"/>
      <c r="S203" s="879"/>
      <c r="T203" s="879"/>
      <c r="U203" s="879"/>
      <c r="V203" s="879"/>
      <c r="W203" s="879"/>
      <c r="X203" s="879"/>
      <c r="Y203" s="879"/>
      <c r="Z203" s="879"/>
    </row>
    <row r="204" spans="1:26" ht="12.75" customHeight="1">
      <c r="A204" s="879"/>
      <c r="B204" s="879"/>
      <c r="C204" s="879"/>
      <c r="D204" s="879"/>
      <c r="E204" s="879"/>
      <c r="F204" s="879"/>
      <c r="G204" s="879"/>
      <c r="H204" s="879"/>
      <c r="I204" s="879"/>
      <c r="J204" s="879"/>
      <c r="K204" s="879"/>
      <c r="L204" s="879"/>
      <c r="M204" s="879"/>
      <c r="N204" s="879"/>
      <c r="O204" s="879"/>
      <c r="P204" s="879"/>
      <c r="Q204" s="879"/>
      <c r="R204" s="879"/>
      <c r="S204" s="879"/>
      <c r="T204" s="879"/>
      <c r="U204" s="879"/>
      <c r="V204" s="879"/>
      <c r="W204" s="879"/>
      <c r="X204" s="879"/>
      <c r="Y204" s="879"/>
      <c r="Z204" s="879"/>
    </row>
    <row r="205" spans="1:26" ht="12.75" customHeight="1">
      <c r="A205" s="879"/>
      <c r="B205" s="879"/>
      <c r="C205" s="879"/>
      <c r="D205" s="879"/>
      <c r="E205" s="879"/>
      <c r="F205" s="879"/>
      <c r="G205" s="879"/>
      <c r="H205" s="879"/>
      <c r="I205" s="879"/>
      <c r="J205" s="879"/>
      <c r="K205" s="879"/>
      <c r="L205" s="879"/>
      <c r="M205" s="879"/>
      <c r="N205" s="879"/>
      <c r="O205" s="879"/>
      <c r="P205" s="879"/>
      <c r="Q205" s="879"/>
      <c r="R205" s="879"/>
      <c r="S205" s="879"/>
      <c r="T205" s="879"/>
      <c r="U205" s="879"/>
      <c r="V205" s="879"/>
      <c r="W205" s="879"/>
      <c r="X205" s="879"/>
      <c r="Y205" s="879"/>
      <c r="Z205" s="879"/>
    </row>
    <row r="206" spans="1:26" ht="12.75" customHeight="1">
      <c r="A206" s="879"/>
      <c r="B206" s="879"/>
      <c r="C206" s="879"/>
      <c r="D206" s="879"/>
      <c r="E206" s="879"/>
      <c r="F206" s="879"/>
      <c r="G206" s="879"/>
      <c r="H206" s="879"/>
      <c r="I206" s="879"/>
      <c r="J206" s="879"/>
      <c r="K206" s="879"/>
      <c r="L206" s="879"/>
      <c r="M206" s="879"/>
      <c r="N206" s="879"/>
      <c r="O206" s="879"/>
      <c r="P206" s="879"/>
      <c r="Q206" s="879"/>
      <c r="R206" s="879"/>
      <c r="S206" s="879"/>
      <c r="T206" s="879"/>
      <c r="U206" s="879"/>
      <c r="V206" s="879"/>
      <c r="W206" s="879"/>
      <c r="X206" s="879"/>
      <c r="Y206" s="879"/>
      <c r="Z206" s="879"/>
    </row>
    <row r="207" spans="1:26" ht="12.75" customHeight="1">
      <c r="A207" s="879"/>
      <c r="B207" s="879"/>
      <c r="C207" s="879"/>
      <c r="D207" s="879"/>
      <c r="E207" s="879"/>
      <c r="F207" s="879"/>
      <c r="G207" s="879"/>
      <c r="H207" s="879"/>
      <c r="I207" s="879"/>
      <c r="J207" s="879"/>
      <c r="K207" s="879"/>
      <c r="L207" s="879"/>
      <c r="M207" s="879"/>
      <c r="N207" s="879"/>
      <c r="O207" s="879"/>
      <c r="P207" s="879"/>
      <c r="Q207" s="879"/>
      <c r="R207" s="879"/>
      <c r="S207" s="879"/>
      <c r="T207" s="879"/>
      <c r="U207" s="879"/>
      <c r="V207" s="879"/>
      <c r="W207" s="879"/>
      <c r="X207" s="879"/>
      <c r="Y207" s="879"/>
      <c r="Z207" s="879"/>
    </row>
    <row r="208" spans="1:26" ht="12.75" customHeight="1">
      <c r="A208" s="879"/>
      <c r="B208" s="879"/>
      <c r="C208" s="879"/>
      <c r="D208" s="879"/>
      <c r="E208" s="879"/>
      <c r="F208" s="879"/>
      <c r="G208" s="879"/>
      <c r="H208" s="879"/>
      <c r="I208" s="879"/>
      <c r="J208" s="879"/>
      <c r="K208" s="879"/>
      <c r="L208" s="879"/>
      <c r="M208" s="879"/>
      <c r="N208" s="879"/>
      <c r="O208" s="879"/>
      <c r="P208" s="879"/>
      <c r="Q208" s="879"/>
      <c r="R208" s="879"/>
      <c r="S208" s="879"/>
      <c r="T208" s="879"/>
      <c r="U208" s="879"/>
      <c r="V208" s="879"/>
      <c r="W208" s="879"/>
      <c r="X208" s="879"/>
      <c r="Y208" s="879"/>
      <c r="Z208" s="879"/>
    </row>
    <row r="209" spans="1:26" ht="12.75" customHeight="1">
      <c r="A209" s="879"/>
      <c r="B209" s="879"/>
      <c r="C209" s="879"/>
      <c r="D209" s="879"/>
      <c r="E209" s="879"/>
      <c r="F209" s="879"/>
      <c r="G209" s="879"/>
      <c r="H209" s="879"/>
      <c r="I209" s="879"/>
      <c r="J209" s="879"/>
      <c r="K209" s="879"/>
      <c r="L209" s="879"/>
      <c r="M209" s="879"/>
      <c r="N209" s="879"/>
      <c r="O209" s="879"/>
      <c r="P209" s="879"/>
      <c r="Q209" s="879"/>
      <c r="R209" s="879"/>
      <c r="S209" s="879"/>
      <c r="T209" s="879"/>
      <c r="U209" s="879"/>
      <c r="V209" s="879"/>
      <c r="W209" s="879"/>
      <c r="X209" s="879"/>
      <c r="Y209" s="879"/>
      <c r="Z209" s="879"/>
    </row>
    <row r="210" spans="1:26" ht="12.75" customHeight="1">
      <c r="A210" s="879"/>
      <c r="B210" s="879"/>
      <c r="C210" s="879"/>
      <c r="D210" s="879"/>
      <c r="E210" s="879"/>
      <c r="F210" s="879"/>
      <c r="G210" s="879"/>
      <c r="H210" s="879"/>
      <c r="I210" s="879"/>
      <c r="J210" s="879"/>
      <c r="K210" s="879"/>
      <c r="L210" s="879"/>
      <c r="M210" s="879"/>
      <c r="N210" s="879"/>
      <c r="O210" s="879"/>
      <c r="P210" s="879"/>
      <c r="Q210" s="879"/>
      <c r="R210" s="879"/>
      <c r="S210" s="879"/>
      <c r="T210" s="879"/>
      <c r="U210" s="879"/>
      <c r="V210" s="879"/>
      <c r="W210" s="879"/>
      <c r="X210" s="879"/>
      <c r="Y210" s="879"/>
      <c r="Z210" s="879"/>
    </row>
    <row r="211" spans="1:26" ht="12.75" customHeight="1">
      <c r="A211" s="879"/>
      <c r="B211" s="879"/>
      <c r="C211" s="879"/>
      <c r="D211" s="879"/>
      <c r="E211" s="879"/>
      <c r="F211" s="879"/>
      <c r="G211" s="879"/>
      <c r="H211" s="879"/>
      <c r="I211" s="879"/>
      <c r="J211" s="879"/>
      <c r="K211" s="879"/>
      <c r="L211" s="879"/>
      <c r="M211" s="879"/>
      <c r="N211" s="879"/>
      <c r="O211" s="879"/>
      <c r="P211" s="879"/>
      <c r="Q211" s="879"/>
      <c r="R211" s="879"/>
      <c r="S211" s="879"/>
      <c r="T211" s="879"/>
      <c r="U211" s="879"/>
      <c r="V211" s="879"/>
      <c r="W211" s="879"/>
      <c r="X211" s="879"/>
      <c r="Y211" s="879"/>
      <c r="Z211" s="879"/>
    </row>
    <row r="212" spans="1:26" ht="12.75" customHeight="1">
      <c r="A212" s="879"/>
      <c r="B212" s="879"/>
      <c r="C212" s="879"/>
      <c r="D212" s="879"/>
      <c r="E212" s="879"/>
      <c r="F212" s="879"/>
      <c r="G212" s="879"/>
      <c r="H212" s="879"/>
      <c r="I212" s="879"/>
      <c r="J212" s="879"/>
      <c r="K212" s="879"/>
      <c r="L212" s="879"/>
      <c r="M212" s="879"/>
      <c r="N212" s="879"/>
      <c r="O212" s="879"/>
      <c r="P212" s="879"/>
      <c r="Q212" s="879"/>
      <c r="R212" s="879"/>
      <c r="S212" s="879"/>
      <c r="T212" s="879"/>
      <c r="U212" s="879"/>
      <c r="V212" s="879"/>
      <c r="W212" s="879"/>
      <c r="X212" s="879"/>
      <c r="Y212" s="879"/>
      <c r="Z212" s="879"/>
    </row>
    <row r="213" spans="1:26" ht="12.75" customHeight="1">
      <c r="A213" s="879"/>
      <c r="B213" s="879"/>
      <c r="C213" s="879"/>
      <c r="D213" s="879"/>
      <c r="E213" s="879"/>
      <c r="F213" s="879"/>
      <c r="G213" s="879"/>
      <c r="H213" s="879"/>
      <c r="I213" s="879"/>
      <c r="J213" s="879"/>
      <c r="K213" s="879"/>
      <c r="L213" s="879"/>
      <c r="M213" s="879"/>
      <c r="N213" s="879"/>
      <c r="O213" s="879"/>
      <c r="P213" s="879"/>
      <c r="Q213" s="879"/>
      <c r="R213" s="879"/>
      <c r="S213" s="879"/>
      <c r="T213" s="879"/>
      <c r="U213" s="879"/>
      <c r="V213" s="879"/>
      <c r="W213" s="879"/>
      <c r="X213" s="879"/>
      <c r="Y213" s="879"/>
      <c r="Z213" s="879"/>
    </row>
    <row r="214" spans="1:26" ht="12.75" customHeight="1">
      <c r="A214" s="879"/>
      <c r="B214" s="879"/>
      <c r="C214" s="879"/>
      <c r="D214" s="879"/>
      <c r="E214" s="879"/>
      <c r="F214" s="879"/>
      <c r="G214" s="879"/>
      <c r="H214" s="879"/>
      <c r="I214" s="879"/>
      <c r="J214" s="879"/>
      <c r="K214" s="879"/>
      <c r="L214" s="879"/>
      <c r="M214" s="879"/>
      <c r="N214" s="879"/>
      <c r="O214" s="879"/>
      <c r="P214" s="879"/>
      <c r="Q214" s="879"/>
      <c r="R214" s="879"/>
      <c r="S214" s="879"/>
      <c r="T214" s="879"/>
      <c r="U214" s="879"/>
      <c r="V214" s="879"/>
      <c r="W214" s="879"/>
      <c r="X214" s="879"/>
      <c r="Y214" s="879"/>
      <c r="Z214" s="879"/>
    </row>
    <row r="215" spans="1:26" ht="12.75" customHeight="1">
      <c r="A215" s="879"/>
      <c r="B215" s="879"/>
      <c r="C215" s="879"/>
      <c r="D215" s="879"/>
      <c r="E215" s="879"/>
      <c r="F215" s="879"/>
      <c r="G215" s="879"/>
      <c r="H215" s="879"/>
      <c r="I215" s="879"/>
      <c r="J215" s="879"/>
      <c r="K215" s="879"/>
      <c r="L215" s="879"/>
      <c r="M215" s="879"/>
      <c r="N215" s="879"/>
      <c r="O215" s="879"/>
      <c r="P215" s="879"/>
      <c r="Q215" s="879"/>
      <c r="R215" s="879"/>
      <c r="S215" s="879"/>
      <c r="T215" s="879"/>
      <c r="U215" s="879"/>
      <c r="V215" s="879"/>
      <c r="W215" s="879"/>
      <c r="X215" s="879"/>
      <c r="Y215" s="879"/>
      <c r="Z215" s="879"/>
    </row>
    <row r="216" spans="1:26" ht="12.75" customHeight="1">
      <c r="A216" s="879"/>
      <c r="B216" s="879"/>
      <c r="C216" s="879"/>
      <c r="D216" s="879"/>
      <c r="E216" s="879"/>
      <c r="F216" s="879"/>
      <c r="G216" s="879"/>
      <c r="H216" s="879"/>
      <c r="I216" s="879"/>
      <c r="J216" s="879"/>
      <c r="K216" s="879"/>
      <c r="L216" s="879"/>
      <c r="M216" s="879"/>
      <c r="N216" s="879"/>
      <c r="O216" s="879"/>
      <c r="P216" s="879"/>
      <c r="Q216" s="879"/>
      <c r="R216" s="879"/>
      <c r="S216" s="879"/>
      <c r="T216" s="879"/>
      <c r="U216" s="879"/>
      <c r="V216" s="879"/>
      <c r="W216" s="879"/>
      <c r="X216" s="879"/>
      <c r="Y216" s="879"/>
      <c r="Z216" s="879"/>
    </row>
    <row r="217" spans="1:26" ht="12.75" customHeight="1">
      <c r="A217" s="879"/>
      <c r="B217" s="879"/>
      <c r="C217" s="879"/>
      <c r="D217" s="879"/>
      <c r="E217" s="879"/>
      <c r="F217" s="879"/>
      <c r="G217" s="879"/>
      <c r="H217" s="879"/>
      <c r="I217" s="879"/>
      <c r="J217" s="879"/>
      <c r="K217" s="879"/>
      <c r="L217" s="879"/>
      <c r="M217" s="879"/>
      <c r="N217" s="879"/>
      <c r="O217" s="879"/>
      <c r="P217" s="879"/>
      <c r="Q217" s="879"/>
      <c r="R217" s="879"/>
      <c r="S217" s="879"/>
      <c r="T217" s="879"/>
      <c r="U217" s="879"/>
      <c r="V217" s="879"/>
      <c r="W217" s="879"/>
      <c r="X217" s="879"/>
      <c r="Y217" s="879"/>
      <c r="Z217" s="879"/>
    </row>
    <row r="218" spans="1:26" ht="12.75" customHeight="1">
      <c r="A218" s="879"/>
      <c r="B218" s="879"/>
      <c r="C218" s="879"/>
      <c r="D218" s="879"/>
      <c r="E218" s="879"/>
      <c r="F218" s="879"/>
      <c r="G218" s="879"/>
      <c r="H218" s="879"/>
      <c r="I218" s="879"/>
      <c r="J218" s="879"/>
      <c r="K218" s="879"/>
      <c r="L218" s="879"/>
      <c r="M218" s="879"/>
      <c r="N218" s="879"/>
      <c r="O218" s="879"/>
      <c r="P218" s="879"/>
      <c r="Q218" s="879"/>
      <c r="R218" s="879"/>
      <c r="S218" s="879"/>
      <c r="T218" s="879"/>
      <c r="U218" s="879"/>
      <c r="V218" s="879"/>
      <c r="W218" s="879"/>
      <c r="X218" s="879"/>
      <c r="Y218" s="879"/>
      <c r="Z218" s="879"/>
    </row>
    <row r="219" spans="1:26" ht="12.75" customHeight="1">
      <c r="A219" s="879"/>
      <c r="B219" s="879"/>
      <c r="C219" s="879"/>
      <c r="D219" s="879"/>
      <c r="E219" s="879"/>
      <c r="F219" s="879"/>
      <c r="G219" s="879"/>
      <c r="H219" s="879"/>
      <c r="I219" s="879"/>
      <c r="J219" s="879"/>
      <c r="K219" s="879"/>
      <c r="L219" s="879"/>
      <c r="M219" s="879"/>
      <c r="N219" s="879"/>
      <c r="O219" s="879"/>
      <c r="P219" s="879"/>
      <c r="Q219" s="879"/>
      <c r="R219" s="879"/>
      <c r="S219" s="879"/>
      <c r="T219" s="879"/>
      <c r="U219" s="879"/>
      <c r="V219" s="879"/>
      <c r="W219" s="879"/>
      <c r="X219" s="879"/>
      <c r="Y219" s="879"/>
      <c r="Z219" s="879"/>
    </row>
    <row r="220" spans="1:26" ht="12.75" customHeight="1">
      <c r="A220" s="879"/>
      <c r="B220" s="879"/>
      <c r="C220" s="879"/>
      <c r="D220" s="879"/>
      <c r="E220" s="879"/>
      <c r="F220" s="879"/>
      <c r="G220" s="879"/>
      <c r="H220" s="879"/>
      <c r="I220" s="879"/>
      <c r="J220" s="879"/>
      <c r="K220" s="879"/>
      <c r="L220" s="879"/>
      <c r="M220" s="879"/>
      <c r="N220" s="879"/>
      <c r="O220" s="879"/>
      <c r="P220" s="879"/>
      <c r="Q220" s="879"/>
      <c r="R220" s="879"/>
      <c r="S220" s="879"/>
      <c r="T220" s="879"/>
      <c r="U220" s="879"/>
      <c r="V220" s="879"/>
      <c r="W220" s="879"/>
      <c r="X220" s="879"/>
      <c r="Y220" s="879"/>
      <c r="Z220" s="879"/>
    </row>
    <row r="221" spans="1:26" ht="12.75" customHeight="1">
      <c r="A221" s="879"/>
      <c r="B221" s="879"/>
      <c r="C221" s="879"/>
      <c r="D221" s="879"/>
      <c r="E221" s="879"/>
      <c r="F221" s="879"/>
      <c r="G221" s="879"/>
      <c r="H221" s="879"/>
      <c r="I221" s="879"/>
      <c r="J221" s="879"/>
      <c r="K221" s="879"/>
      <c r="L221" s="879"/>
      <c r="M221" s="879"/>
      <c r="N221" s="879"/>
      <c r="O221" s="879"/>
      <c r="P221" s="879"/>
      <c r="Q221" s="879"/>
      <c r="R221" s="879"/>
      <c r="S221" s="879"/>
      <c r="T221" s="879"/>
      <c r="U221" s="879"/>
      <c r="V221" s="879"/>
      <c r="W221" s="879"/>
      <c r="X221" s="879"/>
      <c r="Y221" s="879"/>
      <c r="Z221" s="879"/>
    </row>
    <row r="222" spans="1:26" ht="12.75" customHeight="1">
      <c r="A222" s="879"/>
      <c r="B222" s="879"/>
      <c r="C222" s="879"/>
      <c r="D222" s="879"/>
      <c r="E222" s="879"/>
      <c r="F222" s="879"/>
      <c r="G222" s="879"/>
      <c r="H222" s="879"/>
      <c r="I222" s="879"/>
      <c r="J222" s="879"/>
      <c r="K222" s="879"/>
      <c r="L222" s="879"/>
      <c r="M222" s="879"/>
      <c r="N222" s="879"/>
      <c r="O222" s="879"/>
      <c r="P222" s="879"/>
      <c r="Q222" s="879"/>
      <c r="R222" s="879"/>
      <c r="S222" s="879"/>
      <c r="T222" s="879"/>
      <c r="U222" s="879"/>
      <c r="V222" s="879"/>
      <c r="W222" s="879"/>
      <c r="X222" s="879"/>
      <c r="Y222" s="879"/>
      <c r="Z222" s="879"/>
    </row>
    <row r="223" spans="1:26" ht="12.75" customHeight="1">
      <c r="A223" s="879"/>
      <c r="B223" s="879"/>
      <c r="C223" s="879"/>
      <c r="D223" s="879"/>
      <c r="E223" s="879"/>
      <c r="F223" s="879"/>
      <c r="G223" s="879"/>
      <c r="H223" s="879"/>
      <c r="I223" s="879"/>
      <c r="J223" s="879"/>
      <c r="K223" s="879"/>
      <c r="L223" s="879"/>
      <c r="M223" s="879"/>
      <c r="N223" s="879"/>
      <c r="O223" s="879"/>
      <c r="P223" s="879"/>
      <c r="Q223" s="879"/>
      <c r="R223" s="879"/>
      <c r="S223" s="879"/>
      <c r="T223" s="879"/>
      <c r="U223" s="879"/>
      <c r="V223" s="879"/>
      <c r="W223" s="879"/>
      <c r="X223" s="879"/>
      <c r="Y223" s="879"/>
      <c r="Z223" s="879"/>
    </row>
    <row r="224" spans="1:26" ht="12.75" customHeight="1">
      <c r="A224" s="879"/>
      <c r="B224" s="879"/>
      <c r="C224" s="879"/>
      <c r="D224" s="879"/>
      <c r="E224" s="879"/>
      <c r="F224" s="879"/>
      <c r="G224" s="879"/>
      <c r="H224" s="879"/>
      <c r="I224" s="879"/>
      <c r="J224" s="879"/>
      <c r="K224" s="879"/>
      <c r="L224" s="879"/>
      <c r="M224" s="879"/>
      <c r="N224" s="879"/>
      <c r="O224" s="879"/>
      <c r="P224" s="879"/>
      <c r="Q224" s="879"/>
      <c r="R224" s="879"/>
      <c r="S224" s="879"/>
      <c r="T224" s="879"/>
      <c r="U224" s="879"/>
      <c r="V224" s="879"/>
      <c r="W224" s="879"/>
      <c r="X224" s="879"/>
      <c r="Y224" s="879"/>
      <c r="Z224" s="879"/>
    </row>
    <row r="225" spans="1:26" ht="12.75" customHeight="1">
      <c r="A225" s="879"/>
      <c r="B225" s="879"/>
      <c r="C225" s="879"/>
      <c r="D225" s="879"/>
      <c r="E225" s="879"/>
      <c r="F225" s="879"/>
      <c r="G225" s="879"/>
      <c r="H225" s="879"/>
      <c r="I225" s="879"/>
      <c r="J225" s="879"/>
      <c r="K225" s="879"/>
      <c r="L225" s="879"/>
      <c r="M225" s="879"/>
      <c r="N225" s="879"/>
      <c r="O225" s="879"/>
      <c r="P225" s="879"/>
      <c r="Q225" s="879"/>
      <c r="R225" s="879"/>
      <c r="S225" s="879"/>
      <c r="T225" s="879"/>
      <c r="U225" s="879"/>
      <c r="V225" s="879"/>
      <c r="W225" s="879"/>
      <c r="X225" s="879"/>
      <c r="Y225" s="879"/>
      <c r="Z225" s="879"/>
    </row>
    <row r="226" spans="1:26" ht="12.75" customHeight="1">
      <c r="A226" s="879"/>
      <c r="B226" s="879"/>
      <c r="C226" s="879"/>
      <c r="D226" s="879"/>
      <c r="E226" s="879"/>
      <c r="F226" s="879"/>
      <c r="G226" s="879"/>
      <c r="H226" s="879"/>
      <c r="I226" s="879"/>
      <c r="J226" s="879"/>
      <c r="K226" s="879"/>
      <c r="L226" s="879"/>
      <c r="M226" s="879"/>
      <c r="N226" s="879"/>
      <c r="O226" s="879"/>
      <c r="P226" s="879"/>
      <c r="Q226" s="879"/>
      <c r="R226" s="879"/>
      <c r="S226" s="879"/>
      <c r="T226" s="879"/>
      <c r="U226" s="879"/>
      <c r="V226" s="879"/>
      <c r="W226" s="879"/>
      <c r="X226" s="879"/>
      <c r="Y226" s="879"/>
      <c r="Z226" s="879"/>
    </row>
    <row r="227" spans="1:26" ht="12.75" customHeight="1">
      <c r="A227" s="879"/>
      <c r="B227" s="879"/>
      <c r="C227" s="879"/>
      <c r="D227" s="879"/>
      <c r="E227" s="879"/>
      <c r="F227" s="879"/>
      <c r="G227" s="879"/>
      <c r="H227" s="879"/>
      <c r="I227" s="879"/>
      <c r="J227" s="879"/>
      <c r="K227" s="879"/>
      <c r="L227" s="879"/>
      <c r="M227" s="879"/>
      <c r="N227" s="879"/>
      <c r="O227" s="879"/>
      <c r="P227" s="879"/>
      <c r="Q227" s="879"/>
      <c r="R227" s="879"/>
      <c r="S227" s="879"/>
      <c r="T227" s="879"/>
      <c r="U227" s="879"/>
      <c r="V227" s="879"/>
      <c r="W227" s="879"/>
      <c r="X227" s="879"/>
      <c r="Y227" s="879"/>
      <c r="Z227" s="879"/>
    </row>
    <row r="228" spans="1:26" ht="12.75" customHeight="1">
      <c r="A228" s="879"/>
      <c r="B228" s="879"/>
      <c r="C228" s="879"/>
      <c r="D228" s="879"/>
      <c r="E228" s="879"/>
      <c r="F228" s="879"/>
      <c r="G228" s="879"/>
      <c r="H228" s="879"/>
      <c r="I228" s="879"/>
      <c r="J228" s="879"/>
      <c r="K228" s="879"/>
      <c r="L228" s="879"/>
      <c r="M228" s="879"/>
      <c r="N228" s="879"/>
      <c r="O228" s="879"/>
      <c r="P228" s="879"/>
      <c r="Q228" s="879"/>
      <c r="R228" s="879"/>
      <c r="S228" s="879"/>
      <c r="T228" s="879"/>
      <c r="U228" s="879"/>
      <c r="V228" s="879"/>
      <c r="W228" s="879"/>
      <c r="X228" s="879"/>
      <c r="Y228" s="879"/>
      <c r="Z228" s="879"/>
    </row>
    <row r="229" spans="1:26" ht="12.75" customHeight="1">
      <c r="A229" s="879"/>
      <c r="B229" s="879"/>
      <c r="C229" s="879"/>
      <c r="D229" s="879"/>
      <c r="E229" s="879"/>
      <c r="F229" s="879"/>
      <c r="G229" s="879"/>
      <c r="H229" s="879"/>
      <c r="I229" s="879"/>
      <c r="J229" s="879"/>
      <c r="K229" s="879"/>
      <c r="L229" s="879"/>
      <c r="M229" s="879"/>
      <c r="N229" s="879"/>
      <c r="O229" s="879"/>
      <c r="P229" s="879"/>
      <c r="Q229" s="879"/>
      <c r="R229" s="879"/>
      <c r="S229" s="879"/>
      <c r="T229" s="879"/>
      <c r="U229" s="879"/>
      <c r="V229" s="879"/>
      <c r="W229" s="879"/>
      <c r="X229" s="879"/>
      <c r="Y229" s="879"/>
      <c r="Z229" s="879"/>
    </row>
    <row r="230" spans="1:26" ht="12.75" customHeight="1">
      <c r="A230" s="879"/>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c r="X230" s="879"/>
      <c r="Y230" s="879"/>
      <c r="Z230" s="879"/>
    </row>
    <row r="231" spans="1:26" ht="12.75" customHeight="1">
      <c r="A231" s="879"/>
      <c r="B231" s="879"/>
      <c r="C231" s="879"/>
      <c r="D231" s="879"/>
      <c r="E231" s="879"/>
      <c r="F231" s="879"/>
      <c r="G231" s="879"/>
      <c r="H231" s="879"/>
      <c r="I231" s="879"/>
      <c r="J231" s="879"/>
      <c r="K231" s="879"/>
      <c r="L231" s="879"/>
      <c r="M231" s="879"/>
      <c r="N231" s="879"/>
      <c r="O231" s="879"/>
      <c r="P231" s="879"/>
      <c r="Q231" s="879"/>
      <c r="R231" s="879"/>
      <c r="S231" s="879"/>
      <c r="T231" s="879"/>
      <c r="U231" s="879"/>
      <c r="V231" s="879"/>
      <c r="W231" s="879"/>
      <c r="X231" s="879"/>
      <c r="Y231" s="879"/>
      <c r="Z231" s="879"/>
    </row>
    <row r="232" spans="1:26" ht="12.75" customHeight="1">
      <c r="A232" s="879"/>
      <c r="B232" s="879"/>
      <c r="C232" s="879"/>
      <c r="D232" s="879"/>
      <c r="E232" s="879"/>
      <c r="F232" s="879"/>
      <c r="G232" s="879"/>
      <c r="H232" s="879"/>
      <c r="I232" s="879"/>
      <c r="J232" s="879"/>
      <c r="K232" s="879"/>
      <c r="L232" s="879"/>
      <c r="M232" s="879"/>
      <c r="N232" s="879"/>
      <c r="O232" s="879"/>
      <c r="P232" s="879"/>
      <c r="Q232" s="879"/>
      <c r="R232" s="879"/>
      <c r="S232" s="879"/>
      <c r="T232" s="879"/>
      <c r="U232" s="879"/>
      <c r="V232" s="879"/>
      <c r="W232" s="879"/>
      <c r="X232" s="879"/>
      <c r="Y232" s="879"/>
      <c r="Z232" s="879"/>
    </row>
    <row r="233" spans="1:26" ht="12.75" customHeight="1">
      <c r="A233" s="879"/>
      <c r="B233" s="879"/>
      <c r="C233" s="879"/>
      <c r="D233" s="879"/>
      <c r="E233" s="879"/>
      <c r="F233" s="879"/>
      <c r="G233" s="879"/>
      <c r="H233" s="879"/>
      <c r="I233" s="879"/>
      <c r="J233" s="879"/>
      <c r="K233" s="879"/>
      <c r="L233" s="879"/>
      <c r="M233" s="879"/>
      <c r="N233" s="879"/>
      <c r="O233" s="879"/>
      <c r="P233" s="879"/>
      <c r="Q233" s="879"/>
      <c r="R233" s="879"/>
      <c r="S233" s="879"/>
      <c r="T233" s="879"/>
      <c r="U233" s="879"/>
      <c r="V233" s="879"/>
      <c r="W233" s="879"/>
      <c r="X233" s="879"/>
      <c r="Y233" s="879"/>
      <c r="Z233" s="879"/>
    </row>
    <row r="234" spans="1:26" ht="12.75" customHeight="1">
      <c r="A234" s="879"/>
      <c r="B234" s="879"/>
      <c r="C234" s="879"/>
      <c r="D234" s="879"/>
      <c r="E234" s="879"/>
      <c r="F234" s="879"/>
      <c r="G234" s="879"/>
      <c r="H234" s="879"/>
      <c r="I234" s="879"/>
      <c r="J234" s="879"/>
      <c r="K234" s="879"/>
      <c r="L234" s="879"/>
      <c r="M234" s="879"/>
      <c r="N234" s="879"/>
      <c r="O234" s="879"/>
      <c r="P234" s="879"/>
      <c r="Q234" s="879"/>
      <c r="R234" s="879"/>
      <c r="S234" s="879"/>
      <c r="T234" s="879"/>
      <c r="U234" s="879"/>
      <c r="V234" s="879"/>
      <c r="W234" s="879"/>
      <c r="X234" s="879"/>
      <c r="Y234" s="879"/>
      <c r="Z234" s="879"/>
    </row>
    <row r="235" spans="1:26" ht="12.75" customHeight="1">
      <c r="A235" s="879"/>
      <c r="B235" s="879"/>
      <c r="C235" s="879"/>
      <c r="D235" s="879"/>
      <c r="E235" s="879"/>
      <c r="F235" s="879"/>
      <c r="G235" s="879"/>
      <c r="H235" s="879"/>
      <c r="I235" s="879"/>
      <c r="J235" s="879"/>
      <c r="K235" s="879"/>
      <c r="L235" s="879"/>
      <c r="M235" s="879"/>
      <c r="N235" s="879"/>
      <c r="O235" s="879"/>
      <c r="P235" s="879"/>
      <c r="Q235" s="879"/>
      <c r="R235" s="879"/>
      <c r="S235" s="879"/>
      <c r="T235" s="879"/>
      <c r="U235" s="879"/>
      <c r="V235" s="879"/>
      <c r="W235" s="879"/>
      <c r="X235" s="879"/>
      <c r="Y235" s="879"/>
      <c r="Z235" s="879"/>
    </row>
    <row r="236" spans="1:26" ht="12.75" customHeight="1">
      <c r="A236" s="879"/>
      <c r="B236" s="879"/>
      <c r="C236" s="879"/>
      <c r="D236" s="879"/>
      <c r="E236" s="879"/>
      <c r="F236" s="879"/>
      <c r="G236" s="879"/>
      <c r="H236" s="879"/>
      <c r="I236" s="879"/>
      <c r="J236" s="879"/>
      <c r="K236" s="879"/>
      <c r="L236" s="879"/>
      <c r="M236" s="879"/>
      <c r="N236" s="879"/>
      <c r="O236" s="879"/>
      <c r="P236" s="879"/>
      <c r="Q236" s="879"/>
      <c r="R236" s="879"/>
      <c r="S236" s="879"/>
      <c r="T236" s="879"/>
      <c r="U236" s="879"/>
      <c r="V236" s="879"/>
      <c r="W236" s="879"/>
      <c r="X236" s="879"/>
      <c r="Y236" s="879"/>
      <c r="Z236" s="879"/>
    </row>
    <row r="237" spans="1:26" ht="12.75" customHeight="1">
      <c r="A237" s="879"/>
      <c r="B237" s="879"/>
      <c r="C237" s="879"/>
      <c r="D237" s="879"/>
      <c r="E237" s="879"/>
      <c r="F237" s="879"/>
      <c r="G237" s="879"/>
      <c r="H237" s="879"/>
      <c r="I237" s="879"/>
      <c r="J237" s="879"/>
      <c r="K237" s="879"/>
      <c r="L237" s="879"/>
      <c r="M237" s="879"/>
      <c r="N237" s="879"/>
      <c r="O237" s="879"/>
      <c r="P237" s="879"/>
      <c r="Q237" s="879"/>
      <c r="R237" s="879"/>
      <c r="S237" s="879"/>
      <c r="T237" s="879"/>
      <c r="U237" s="879"/>
      <c r="V237" s="879"/>
      <c r="W237" s="879"/>
      <c r="X237" s="879"/>
      <c r="Y237" s="879"/>
      <c r="Z237" s="879"/>
    </row>
    <row r="238" spans="1:26" ht="12.75" customHeight="1">
      <c r="A238" s="879"/>
      <c r="B238" s="879"/>
      <c r="C238" s="879"/>
      <c r="D238" s="879"/>
      <c r="E238" s="879"/>
      <c r="F238" s="879"/>
      <c r="G238" s="879"/>
      <c r="H238" s="879"/>
      <c r="I238" s="879"/>
      <c r="J238" s="879"/>
      <c r="K238" s="879"/>
      <c r="L238" s="879"/>
      <c r="M238" s="879"/>
      <c r="N238" s="879"/>
      <c r="O238" s="879"/>
      <c r="P238" s="879"/>
      <c r="Q238" s="879"/>
      <c r="R238" s="879"/>
      <c r="S238" s="879"/>
      <c r="T238" s="879"/>
      <c r="U238" s="879"/>
      <c r="V238" s="879"/>
      <c r="W238" s="879"/>
      <c r="X238" s="879"/>
      <c r="Y238" s="879"/>
      <c r="Z238" s="879"/>
    </row>
    <row r="239" spans="1:26" ht="12.75" customHeight="1">
      <c r="A239" s="879"/>
      <c r="B239" s="879"/>
      <c r="C239" s="879"/>
      <c r="D239" s="879"/>
      <c r="E239" s="879"/>
      <c r="F239" s="879"/>
      <c r="G239" s="879"/>
      <c r="H239" s="879"/>
      <c r="I239" s="879"/>
      <c r="J239" s="879"/>
      <c r="K239" s="879"/>
      <c r="L239" s="879"/>
      <c r="M239" s="879"/>
      <c r="N239" s="879"/>
      <c r="O239" s="879"/>
      <c r="P239" s="879"/>
      <c r="Q239" s="879"/>
      <c r="R239" s="879"/>
      <c r="S239" s="879"/>
      <c r="T239" s="879"/>
      <c r="U239" s="879"/>
      <c r="V239" s="879"/>
      <c r="W239" s="879"/>
      <c r="X239" s="879"/>
      <c r="Y239" s="879"/>
      <c r="Z239" s="879"/>
    </row>
    <row r="240" spans="1:26" ht="12.75" customHeight="1">
      <c r="A240" s="879"/>
      <c r="B240" s="879"/>
      <c r="C240" s="879"/>
      <c r="D240" s="879"/>
      <c r="E240" s="879"/>
      <c r="F240" s="879"/>
      <c r="G240" s="879"/>
      <c r="H240" s="879"/>
      <c r="I240" s="879"/>
      <c r="J240" s="879"/>
      <c r="K240" s="879"/>
      <c r="L240" s="879"/>
      <c r="M240" s="879"/>
      <c r="N240" s="879"/>
      <c r="O240" s="879"/>
      <c r="P240" s="879"/>
      <c r="Q240" s="879"/>
      <c r="R240" s="879"/>
      <c r="S240" s="879"/>
      <c r="T240" s="879"/>
      <c r="U240" s="879"/>
      <c r="V240" s="879"/>
      <c r="W240" s="879"/>
      <c r="X240" s="879"/>
      <c r="Y240" s="879"/>
      <c r="Z240" s="879"/>
    </row>
    <row r="241" spans="1:26" ht="12.75" customHeight="1">
      <c r="A241" s="879"/>
      <c r="B241" s="879"/>
      <c r="C241" s="879"/>
      <c r="D241" s="879"/>
      <c r="E241" s="879"/>
      <c r="F241" s="879"/>
      <c r="G241" s="879"/>
      <c r="H241" s="879"/>
      <c r="I241" s="879"/>
      <c r="J241" s="879"/>
      <c r="K241" s="879"/>
      <c r="L241" s="879"/>
      <c r="M241" s="879"/>
      <c r="N241" s="879"/>
      <c r="O241" s="879"/>
      <c r="P241" s="879"/>
      <c r="Q241" s="879"/>
      <c r="R241" s="879"/>
      <c r="S241" s="879"/>
      <c r="T241" s="879"/>
      <c r="U241" s="879"/>
      <c r="V241" s="879"/>
      <c r="W241" s="879"/>
      <c r="X241" s="879"/>
      <c r="Y241" s="879"/>
      <c r="Z241" s="879"/>
    </row>
    <row r="242" spans="1:26" ht="12.75" customHeight="1">
      <c r="A242" s="879"/>
      <c r="B242" s="879"/>
      <c r="C242" s="879"/>
      <c r="D242" s="879"/>
      <c r="E242" s="879"/>
      <c r="F242" s="879"/>
      <c r="G242" s="879"/>
      <c r="H242" s="879"/>
      <c r="I242" s="879"/>
      <c r="J242" s="879"/>
      <c r="K242" s="879"/>
      <c r="L242" s="879"/>
      <c r="M242" s="879"/>
      <c r="N242" s="879"/>
      <c r="O242" s="879"/>
      <c r="P242" s="879"/>
      <c r="Q242" s="879"/>
      <c r="R242" s="879"/>
      <c r="S242" s="879"/>
      <c r="T242" s="879"/>
      <c r="U242" s="879"/>
      <c r="V242" s="879"/>
      <c r="W242" s="879"/>
      <c r="X242" s="879"/>
      <c r="Y242" s="879"/>
      <c r="Z242" s="879"/>
    </row>
    <row r="243" spans="1:26" ht="12.75" customHeight="1">
      <c r="A243" s="879"/>
      <c r="B243" s="879"/>
      <c r="C243" s="879"/>
      <c r="D243" s="879"/>
      <c r="E243" s="879"/>
      <c r="F243" s="879"/>
      <c r="G243" s="879"/>
      <c r="H243" s="879"/>
      <c r="I243" s="879"/>
      <c r="J243" s="879"/>
      <c r="K243" s="879"/>
      <c r="L243" s="879"/>
      <c r="M243" s="879"/>
      <c r="N243" s="879"/>
      <c r="O243" s="879"/>
      <c r="P243" s="879"/>
      <c r="Q243" s="879"/>
      <c r="R243" s="879"/>
      <c r="S243" s="879"/>
      <c r="T243" s="879"/>
      <c r="U243" s="879"/>
      <c r="V243" s="879"/>
      <c r="W243" s="879"/>
      <c r="X243" s="879"/>
      <c r="Y243" s="879"/>
      <c r="Z243" s="879"/>
    </row>
    <row r="244" spans="1:26" ht="12.75" customHeight="1">
      <c r="A244" s="879"/>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c r="X244" s="879"/>
      <c r="Y244" s="879"/>
      <c r="Z244" s="879"/>
    </row>
    <row r="245" spans="1:26" ht="12.75" customHeight="1">
      <c r="A245" s="879"/>
      <c r="B245" s="879"/>
      <c r="C245" s="879"/>
      <c r="D245" s="879"/>
      <c r="E245" s="879"/>
      <c r="F245" s="879"/>
      <c r="G245" s="879"/>
      <c r="H245" s="879"/>
      <c r="I245" s="879"/>
      <c r="J245" s="879"/>
      <c r="K245" s="879"/>
      <c r="L245" s="879"/>
      <c r="M245" s="879"/>
      <c r="N245" s="879"/>
      <c r="O245" s="879"/>
      <c r="P245" s="879"/>
      <c r="Q245" s="879"/>
      <c r="R245" s="879"/>
      <c r="S245" s="879"/>
      <c r="T245" s="879"/>
      <c r="U245" s="879"/>
      <c r="V245" s="879"/>
      <c r="W245" s="879"/>
      <c r="X245" s="879"/>
      <c r="Y245" s="879"/>
      <c r="Z245" s="879"/>
    </row>
    <row r="246" spans="1:26" ht="12.75" customHeight="1">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c r="X246" s="879"/>
      <c r="Y246" s="879"/>
      <c r="Z246" s="879"/>
    </row>
    <row r="247" spans="1:26" ht="12.75" customHeight="1">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c r="X247" s="879"/>
      <c r="Y247" s="879"/>
      <c r="Z247" s="879"/>
    </row>
    <row r="248" spans="1:26" ht="12.75" customHeight="1">
      <c r="A248" s="879"/>
      <c r="B248" s="879"/>
      <c r="C248" s="879"/>
      <c r="D248" s="879"/>
      <c r="E248" s="879"/>
      <c r="F248" s="879"/>
      <c r="G248" s="879"/>
      <c r="H248" s="879"/>
      <c r="I248" s="879"/>
      <c r="J248" s="879"/>
      <c r="K248" s="879"/>
      <c r="L248" s="879"/>
      <c r="M248" s="879"/>
      <c r="N248" s="879"/>
      <c r="O248" s="879"/>
      <c r="P248" s="879"/>
      <c r="Q248" s="879"/>
      <c r="R248" s="879"/>
      <c r="S248" s="879"/>
      <c r="T248" s="879"/>
      <c r="U248" s="879"/>
      <c r="V248" s="879"/>
      <c r="W248" s="879"/>
      <c r="X248" s="879"/>
      <c r="Y248" s="879"/>
      <c r="Z248" s="879"/>
    </row>
    <row r="249" spans="1:26" ht="12.75" customHeight="1">
      <c r="A249" s="879"/>
      <c r="B249" s="879"/>
      <c r="C249" s="879"/>
      <c r="D249" s="879"/>
      <c r="E249" s="879"/>
      <c r="F249" s="879"/>
      <c r="G249" s="879"/>
      <c r="H249" s="879"/>
      <c r="I249" s="879"/>
      <c r="J249" s="879"/>
      <c r="K249" s="879"/>
      <c r="L249" s="879"/>
      <c r="M249" s="879"/>
      <c r="N249" s="879"/>
      <c r="O249" s="879"/>
      <c r="P249" s="879"/>
      <c r="Q249" s="879"/>
      <c r="R249" s="879"/>
      <c r="S249" s="879"/>
      <c r="T249" s="879"/>
      <c r="U249" s="879"/>
      <c r="V249" s="879"/>
      <c r="W249" s="879"/>
      <c r="X249" s="879"/>
      <c r="Y249" s="879"/>
      <c r="Z249" s="879"/>
    </row>
    <row r="250" spans="1:26" ht="12.75" customHeight="1">
      <c r="A250" s="879"/>
      <c r="B250" s="879"/>
      <c r="C250" s="879"/>
      <c r="D250" s="879"/>
      <c r="E250" s="879"/>
      <c r="F250" s="879"/>
      <c r="G250" s="879"/>
      <c r="H250" s="879"/>
      <c r="I250" s="879"/>
      <c r="J250" s="879"/>
      <c r="K250" s="879"/>
      <c r="L250" s="879"/>
      <c r="M250" s="879"/>
      <c r="N250" s="879"/>
      <c r="O250" s="879"/>
      <c r="P250" s="879"/>
      <c r="Q250" s="879"/>
      <c r="R250" s="879"/>
      <c r="S250" s="879"/>
      <c r="T250" s="879"/>
      <c r="U250" s="879"/>
      <c r="V250" s="879"/>
      <c r="W250" s="879"/>
      <c r="X250" s="879"/>
      <c r="Y250" s="879"/>
      <c r="Z250" s="879"/>
    </row>
    <row r="251" spans="1:26" ht="12.75" customHeight="1">
      <c r="A251" s="879"/>
      <c r="B251" s="879"/>
      <c r="C251" s="879"/>
      <c r="D251" s="879"/>
      <c r="E251" s="879"/>
      <c r="F251" s="879"/>
      <c r="G251" s="879"/>
      <c r="H251" s="879"/>
      <c r="I251" s="879"/>
      <c r="J251" s="879"/>
      <c r="K251" s="879"/>
      <c r="L251" s="879"/>
      <c r="M251" s="879"/>
      <c r="N251" s="879"/>
      <c r="O251" s="879"/>
      <c r="P251" s="879"/>
      <c r="Q251" s="879"/>
      <c r="R251" s="879"/>
      <c r="S251" s="879"/>
      <c r="T251" s="879"/>
      <c r="U251" s="879"/>
      <c r="V251" s="879"/>
      <c r="W251" s="879"/>
      <c r="X251" s="879"/>
      <c r="Y251" s="879"/>
      <c r="Z251" s="879"/>
    </row>
    <row r="252" spans="1:26" ht="12.75" customHeight="1">
      <c r="A252" s="879"/>
      <c r="B252" s="879"/>
      <c r="C252" s="879"/>
      <c r="D252" s="879"/>
      <c r="E252" s="879"/>
      <c r="F252" s="879"/>
      <c r="G252" s="879"/>
      <c r="H252" s="879"/>
      <c r="I252" s="879"/>
      <c r="J252" s="879"/>
      <c r="K252" s="879"/>
      <c r="L252" s="879"/>
      <c r="M252" s="879"/>
      <c r="N252" s="879"/>
      <c r="O252" s="879"/>
      <c r="P252" s="879"/>
      <c r="Q252" s="879"/>
      <c r="R252" s="879"/>
      <c r="S252" s="879"/>
      <c r="T252" s="879"/>
      <c r="U252" s="879"/>
      <c r="V252" s="879"/>
      <c r="W252" s="879"/>
      <c r="X252" s="879"/>
      <c r="Y252" s="879"/>
      <c r="Z252" s="879"/>
    </row>
    <row r="253" spans="1:26" ht="12.75" customHeight="1">
      <c r="A253" s="879"/>
      <c r="B253" s="879"/>
      <c r="C253" s="879"/>
      <c r="D253" s="879"/>
      <c r="E253" s="879"/>
      <c r="F253" s="879"/>
      <c r="G253" s="879"/>
      <c r="H253" s="879"/>
      <c r="I253" s="879"/>
      <c r="J253" s="879"/>
      <c r="K253" s="879"/>
      <c r="L253" s="879"/>
      <c r="M253" s="879"/>
      <c r="N253" s="879"/>
      <c r="O253" s="879"/>
      <c r="P253" s="879"/>
      <c r="Q253" s="879"/>
      <c r="R253" s="879"/>
      <c r="S253" s="879"/>
      <c r="T253" s="879"/>
      <c r="U253" s="879"/>
      <c r="V253" s="879"/>
      <c r="W253" s="879"/>
      <c r="X253" s="879"/>
      <c r="Y253" s="879"/>
      <c r="Z253" s="879"/>
    </row>
    <row r="254" spans="1:26" ht="12.75" customHeight="1">
      <c r="A254" s="879"/>
      <c r="B254" s="879"/>
      <c r="C254" s="879"/>
      <c r="D254" s="879"/>
      <c r="E254" s="879"/>
      <c r="F254" s="879"/>
      <c r="G254" s="879"/>
      <c r="H254" s="879"/>
      <c r="I254" s="879"/>
      <c r="J254" s="879"/>
      <c r="K254" s="879"/>
      <c r="L254" s="879"/>
      <c r="M254" s="879"/>
      <c r="N254" s="879"/>
      <c r="O254" s="879"/>
      <c r="P254" s="879"/>
      <c r="Q254" s="879"/>
      <c r="R254" s="879"/>
      <c r="S254" s="879"/>
      <c r="T254" s="879"/>
      <c r="U254" s="879"/>
      <c r="V254" s="879"/>
      <c r="W254" s="879"/>
      <c r="X254" s="879"/>
      <c r="Y254" s="879"/>
      <c r="Z254" s="879"/>
    </row>
    <row r="255" spans="1:26" ht="12.75" customHeight="1">
      <c r="A255" s="879"/>
      <c r="B255" s="879"/>
      <c r="C255" s="879"/>
      <c r="D255" s="879"/>
      <c r="E255" s="879"/>
      <c r="F255" s="879"/>
      <c r="G255" s="879"/>
      <c r="H255" s="879"/>
      <c r="I255" s="879"/>
      <c r="J255" s="879"/>
      <c r="K255" s="879"/>
      <c r="L255" s="879"/>
      <c r="M255" s="879"/>
      <c r="N255" s="879"/>
      <c r="O255" s="879"/>
      <c r="P255" s="879"/>
      <c r="Q255" s="879"/>
      <c r="R255" s="879"/>
      <c r="S255" s="879"/>
      <c r="T255" s="879"/>
      <c r="U255" s="879"/>
      <c r="V255" s="879"/>
      <c r="W255" s="879"/>
      <c r="X255" s="879"/>
      <c r="Y255" s="879"/>
      <c r="Z255" s="879"/>
    </row>
    <row r="256" spans="1:26" ht="12.75" customHeight="1">
      <c r="A256" s="879"/>
      <c r="B256" s="879"/>
      <c r="C256" s="879"/>
      <c r="D256" s="879"/>
      <c r="E256" s="879"/>
      <c r="F256" s="879"/>
      <c r="G256" s="879"/>
      <c r="H256" s="879"/>
      <c r="I256" s="879"/>
      <c r="J256" s="879"/>
      <c r="K256" s="879"/>
      <c r="L256" s="879"/>
      <c r="M256" s="879"/>
      <c r="N256" s="879"/>
      <c r="O256" s="879"/>
      <c r="P256" s="879"/>
      <c r="Q256" s="879"/>
      <c r="R256" s="879"/>
      <c r="S256" s="879"/>
      <c r="T256" s="879"/>
      <c r="U256" s="879"/>
      <c r="V256" s="879"/>
      <c r="W256" s="879"/>
      <c r="X256" s="879"/>
      <c r="Y256" s="879"/>
      <c r="Z256" s="879"/>
    </row>
    <row r="257" spans="1:26" ht="12.75" customHeight="1">
      <c r="A257" s="879"/>
      <c r="B257" s="879"/>
      <c r="C257" s="879"/>
      <c r="D257" s="879"/>
      <c r="E257" s="879"/>
      <c r="F257" s="879"/>
      <c r="G257" s="879"/>
      <c r="H257" s="879"/>
      <c r="I257" s="879"/>
      <c r="J257" s="879"/>
      <c r="K257" s="879"/>
      <c r="L257" s="879"/>
      <c r="M257" s="879"/>
      <c r="N257" s="879"/>
      <c r="O257" s="879"/>
      <c r="P257" s="879"/>
      <c r="Q257" s="879"/>
      <c r="R257" s="879"/>
      <c r="S257" s="879"/>
      <c r="T257" s="879"/>
      <c r="U257" s="879"/>
      <c r="V257" s="879"/>
      <c r="W257" s="879"/>
      <c r="X257" s="879"/>
      <c r="Y257" s="879"/>
      <c r="Z257" s="879"/>
    </row>
    <row r="258" spans="1:26" ht="12.75" customHeight="1">
      <c r="A258" s="879"/>
      <c r="B258" s="879"/>
      <c r="C258" s="879"/>
      <c r="D258" s="879"/>
      <c r="E258" s="879"/>
      <c r="F258" s="879"/>
      <c r="G258" s="879"/>
      <c r="H258" s="879"/>
      <c r="I258" s="879"/>
      <c r="J258" s="879"/>
      <c r="K258" s="879"/>
      <c r="L258" s="879"/>
      <c r="M258" s="879"/>
      <c r="N258" s="879"/>
      <c r="O258" s="879"/>
      <c r="P258" s="879"/>
      <c r="Q258" s="879"/>
      <c r="R258" s="879"/>
      <c r="S258" s="879"/>
      <c r="T258" s="879"/>
      <c r="U258" s="879"/>
      <c r="V258" s="879"/>
      <c r="W258" s="879"/>
      <c r="X258" s="879"/>
      <c r="Y258" s="879"/>
      <c r="Z258" s="879"/>
    </row>
    <row r="259" spans="1:26" ht="12.75" customHeight="1">
      <c r="A259" s="879"/>
      <c r="B259" s="879"/>
      <c r="C259" s="879"/>
      <c r="D259" s="879"/>
      <c r="E259" s="879"/>
      <c r="F259" s="879"/>
      <c r="G259" s="879"/>
      <c r="H259" s="879"/>
      <c r="I259" s="879"/>
      <c r="J259" s="879"/>
      <c r="K259" s="879"/>
      <c r="L259" s="879"/>
      <c r="M259" s="879"/>
      <c r="N259" s="879"/>
      <c r="O259" s="879"/>
      <c r="P259" s="879"/>
      <c r="Q259" s="879"/>
      <c r="R259" s="879"/>
      <c r="S259" s="879"/>
      <c r="T259" s="879"/>
      <c r="U259" s="879"/>
      <c r="V259" s="879"/>
      <c r="W259" s="879"/>
      <c r="X259" s="879"/>
      <c r="Y259" s="879"/>
      <c r="Z259" s="879"/>
    </row>
    <row r="260" spans="1:26" ht="12.75" customHeight="1">
      <c r="A260" s="879"/>
      <c r="B260" s="879"/>
      <c r="C260" s="879"/>
      <c r="D260" s="879"/>
      <c r="E260" s="879"/>
      <c r="F260" s="879"/>
      <c r="G260" s="879"/>
      <c r="H260" s="879"/>
      <c r="I260" s="879"/>
      <c r="J260" s="879"/>
      <c r="K260" s="879"/>
      <c r="L260" s="879"/>
      <c r="M260" s="879"/>
      <c r="N260" s="879"/>
      <c r="O260" s="879"/>
      <c r="P260" s="879"/>
      <c r="Q260" s="879"/>
      <c r="R260" s="879"/>
      <c r="S260" s="879"/>
      <c r="T260" s="879"/>
      <c r="U260" s="879"/>
      <c r="V260" s="879"/>
      <c r="W260" s="879"/>
      <c r="X260" s="879"/>
      <c r="Y260" s="879"/>
      <c r="Z260" s="879"/>
    </row>
    <row r="261" spans="1:26" ht="12.75" customHeight="1">
      <c r="A261" s="879"/>
      <c r="B261" s="879"/>
      <c r="C261" s="879"/>
      <c r="D261" s="879"/>
      <c r="E261" s="879"/>
      <c r="F261" s="879"/>
      <c r="G261" s="879"/>
      <c r="H261" s="879"/>
      <c r="I261" s="879"/>
      <c r="J261" s="879"/>
      <c r="K261" s="879"/>
      <c r="L261" s="879"/>
      <c r="M261" s="879"/>
      <c r="N261" s="879"/>
      <c r="O261" s="879"/>
      <c r="P261" s="879"/>
      <c r="Q261" s="879"/>
      <c r="R261" s="879"/>
      <c r="S261" s="879"/>
      <c r="T261" s="879"/>
      <c r="U261" s="879"/>
      <c r="V261" s="879"/>
      <c r="W261" s="879"/>
      <c r="X261" s="879"/>
      <c r="Y261" s="879"/>
      <c r="Z261" s="879"/>
    </row>
    <row r="262" spans="1:26" ht="12.75" customHeight="1">
      <c r="A262" s="879"/>
      <c r="B262" s="879"/>
      <c r="C262" s="879"/>
      <c r="D262" s="879"/>
      <c r="E262" s="879"/>
      <c r="F262" s="879"/>
      <c r="G262" s="879"/>
      <c r="H262" s="879"/>
      <c r="I262" s="879"/>
      <c r="J262" s="879"/>
      <c r="K262" s="879"/>
      <c r="L262" s="879"/>
      <c r="M262" s="879"/>
      <c r="N262" s="879"/>
      <c r="O262" s="879"/>
      <c r="P262" s="879"/>
      <c r="Q262" s="879"/>
      <c r="R262" s="879"/>
      <c r="S262" s="879"/>
      <c r="T262" s="879"/>
      <c r="U262" s="879"/>
      <c r="V262" s="879"/>
      <c r="W262" s="879"/>
      <c r="X262" s="879"/>
      <c r="Y262" s="879"/>
      <c r="Z262" s="879"/>
    </row>
    <row r="263" spans="1:26" ht="12.75" customHeight="1">
      <c r="A263" s="879"/>
      <c r="B263" s="879"/>
      <c r="C263" s="879"/>
      <c r="D263" s="879"/>
      <c r="E263" s="879"/>
      <c r="F263" s="879"/>
      <c r="G263" s="879"/>
      <c r="H263" s="879"/>
      <c r="I263" s="879"/>
      <c r="J263" s="879"/>
      <c r="K263" s="879"/>
      <c r="L263" s="879"/>
      <c r="M263" s="879"/>
      <c r="N263" s="879"/>
      <c r="O263" s="879"/>
      <c r="P263" s="879"/>
      <c r="Q263" s="879"/>
      <c r="R263" s="879"/>
      <c r="S263" s="879"/>
      <c r="T263" s="879"/>
      <c r="U263" s="879"/>
      <c r="V263" s="879"/>
      <c r="W263" s="879"/>
      <c r="X263" s="879"/>
      <c r="Y263" s="879"/>
      <c r="Z263" s="879"/>
    </row>
    <row r="264" spans="1:26" ht="12.75" customHeight="1">
      <c r="A264" s="879"/>
      <c r="B264" s="879"/>
      <c r="C264" s="879"/>
      <c r="D264" s="879"/>
      <c r="E264" s="879"/>
      <c r="F264" s="879"/>
      <c r="G264" s="879"/>
      <c r="H264" s="879"/>
      <c r="I264" s="879"/>
      <c r="J264" s="879"/>
      <c r="K264" s="879"/>
      <c r="L264" s="879"/>
      <c r="M264" s="879"/>
      <c r="N264" s="879"/>
      <c r="O264" s="879"/>
      <c r="P264" s="879"/>
      <c r="Q264" s="879"/>
      <c r="R264" s="879"/>
      <c r="S264" s="879"/>
      <c r="T264" s="879"/>
      <c r="U264" s="879"/>
      <c r="V264" s="879"/>
      <c r="W264" s="879"/>
      <c r="X264" s="879"/>
      <c r="Y264" s="879"/>
      <c r="Z264" s="879"/>
    </row>
    <row r="265" spans="1:26" ht="12.75" customHeight="1">
      <c r="A265" s="879"/>
      <c r="B265" s="879"/>
      <c r="C265" s="879"/>
      <c r="D265" s="879"/>
      <c r="E265" s="879"/>
      <c r="F265" s="879"/>
      <c r="G265" s="879"/>
      <c r="H265" s="879"/>
      <c r="I265" s="879"/>
      <c r="J265" s="879"/>
      <c r="K265" s="879"/>
      <c r="L265" s="879"/>
      <c r="M265" s="879"/>
      <c r="N265" s="879"/>
      <c r="O265" s="879"/>
      <c r="P265" s="879"/>
      <c r="Q265" s="879"/>
      <c r="R265" s="879"/>
      <c r="S265" s="879"/>
      <c r="T265" s="879"/>
      <c r="U265" s="879"/>
      <c r="V265" s="879"/>
      <c r="W265" s="879"/>
      <c r="X265" s="879"/>
      <c r="Y265" s="879"/>
      <c r="Z265" s="879"/>
    </row>
    <row r="266" spans="1:26" ht="12.75" customHeight="1">
      <c r="A266" s="879"/>
      <c r="B266" s="879"/>
      <c r="C266" s="879"/>
      <c r="D266" s="879"/>
      <c r="E266" s="879"/>
      <c r="F266" s="879"/>
      <c r="G266" s="879"/>
      <c r="H266" s="879"/>
      <c r="I266" s="879"/>
      <c r="J266" s="879"/>
      <c r="K266" s="879"/>
      <c r="L266" s="879"/>
      <c r="M266" s="879"/>
      <c r="N266" s="879"/>
      <c r="O266" s="879"/>
      <c r="P266" s="879"/>
      <c r="Q266" s="879"/>
      <c r="R266" s="879"/>
      <c r="S266" s="879"/>
      <c r="T266" s="879"/>
      <c r="U266" s="879"/>
      <c r="V266" s="879"/>
      <c r="W266" s="879"/>
      <c r="X266" s="879"/>
      <c r="Y266" s="879"/>
      <c r="Z266" s="879"/>
    </row>
    <row r="267" spans="1:26" ht="12.75" customHeight="1">
      <c r="A267" s="879"/>
      <c r="B267" s="879"/>
      <c r="C267" s="879"/>
      <c r="D267" s="879"/>
      <c r="E267" s="879"/>
      <c r="F267" s="879"/>
      <c r="G267" s="879"/>
      <c r="H267" s="879"/>
      <c r="I267" s="879"/>
      <c r="J267" s="879"/>
      <c r="K267" s="879"/>
      <c r="L267" s="879"/>
      <c r="M267" s="879"/>
      <c r="N267" s="879"/>
      <c r="O267" s="879"/>
      <c r="P267" s="879"/>
      <c r="Q267" s="879"/>
      <c r="R267" s="879"/>
      <c r="S267" s="879"/>
      <c r="T267" s="879"/>
      <c r="U267" s="879"/>
      <c r="V267" s="879"/>
      <c r="W267" s="879"/>
      <c r="X267" s="879"/>
      <c r="Y267" s="879"/>
      <c r="Z267" s="879"/>
    </row>
    <row r="268" spans="1:26" ht="12.75" customHeight="1">
      <c r="A268" s="879"/>
      <c r="B268" s="879"/>
      <c r="C268" s="879"/>
      <c r="D268" s="879"/>
      <c r="E268" s="879"/>
      <c r="F268" s="879"/>
      <c r="G268" s="879"/>
      <c r="H268" s="879"/>
      <c r="I268" s="879"/>
      <c r="J268" s="879"/>
      <c r="K268" s="879"/>
      <c r="L268" s="879"/>
      <c r="M268" s="879"/>
      <c r="N268" s="879"/>
      <c r="O268" s="879"/>
      <c r="P268" s="879"/>
      <c r="Q268" s="879"/>
      <c r="R268" s="879"/>
      <c r="S268" s="879"/>
      <c r="T268" s="879"/>
      <c r="U268" s="879"/>
      <c r="V268" s="879"/>
      <c r="W268" s="879"/>
      <c r="X268" s="879"/>
      <c r="Y268" s="879"/>
      <c r="Z268" s="879"/>
    </row>
    <row r="269" spans="1:26" ht="12.75" customHeight="1">
      <c r="A269" s="879"/>
      <c r="B269" s="879"/>
      <c r="C269" s="879"/>
      <c r="D269" s="879"/>
      <c r="E269" s="879"/>
      <c r="F269" s="879"/>
      <c r="G269" s="879"/>
      <c r="H269" s="879"/>
      <c r="I269" s="879"/>
      <c r="J269" s="879"/>
      <c r="K269" s="879"/>
      <c r="L269" s="879"/>
      <c r="M269" s="879"/>
      <c r="N269" s="879"/>
      <c r="O269" s="879"/>
      <c r="P269" s="879"/>
      <c r="Q269" s="879"/>
      <c r="R269" s="879"/>
      <c r="S269" s="879"/>
      <c r="T269" s="879"/>
      <c r="U269" s="879"/>
      <c r="V269" s="879"/>
      <c r="W269" s="879"/>
      <c r="X269" s="879"/>
      <c r="Y269" s="879"/>
      <c r="Z269" s="879"/>
    </row>
    <row r="270" spans="1:26" ht="12.75" customHeight="1">
      <c r="A270" s="879"/>
      <c r="B270" s="879"/>
      <c r="C270" s="879"/>
      <c r="D270" s="879"/>
      <c r="E270" s="879"/>
      <c r="F270" s="879"/>
      <c r="G270" s="879"/>
      <c r="H270" s="879"/>
      <c r="I270" s="879"/>
      <c r="J270" s="879"/>
      <c r="K270" s="879"/>
      <c r="L270" s="879"/>
      <c r="M270" s="879"/>
      <c r="N270" s="879"/>
      <c r="O270" s="879"/>
      <c r="P270" s="879"/>
      <c r="Q270" s="879"/>
      <c r="R270" s="879"/>
      <c r="S270" s="879"/>
      <c r="T270" s="879"/>
      <c r="U270" s="879"/>
      <c r="V270" s="879"/>
      <c r="W270" s="879"/>
      <c r="X270" s="879"/>
      <c r="Y270" s="879"/>
      <c r="Z270" s="879"/>
    </row>
    <row r="271" spans="1:26" ht="12.75" customHeight="1">
      <c r="A271" s="879"/>
      <c r="B271" s="879"/>
      <c r="C271" s="879"/>
      <c r="D271" s="879"/>
      <c r="E271" s="879"/>
      <c r="F271" s="879"/>
      <c r="G271" s="879"/>
      <c r="H271" s="879"/>
      <c r="I271" s="879"/>
      <c r="J271" s="879"/>
      <c r="K271" s="879"/>
      <c r="L271" s="879"/>
      <c r="M271" s="879"/>
      <c r="N271" s="879"/>
      <c r="O271" s="879"/>
      <c r="P271" s="879"/>
      <c r="Q271" s="879"/>
      <c r="R271" s="879"/>
      <c r="S271" s="879"/>
      <c r="T271" s="879"/>
      <c r="U271" s="879"/>
      <c r="V271" s="879"/>
      <c r="W271" s="879"/>
      <c r="X271" s="879"/>
      <c r="Y271" s="879"/>
      <c r="Z271" s="879"/>
    </row>
    <row r="272" spans="1:26" ht="12.75" customHeight="1">
      <c r="A272" s="879"/>
      <c r="B272" s="879"/>
      <c r="C272" s="879"/>
      <c r="D272" s="879"/>
      <c r="E272" s="879"/>
      <c r="F272" s="879"/>
      <c r="G272" s="879"/>
      <c r="H272" s="879"/>
      <c r="I272" s="879"/>
      <c r="J272" s="879"/>
      <c r="K272" s="879"/>
      <c r="L272" s="879"/>
      <c r="M272" s="879"/>
      <c r="N272" s="879"/>
      <c r="O272" s="879"/>
      <c r="P272" s="879"/>
      <c r="Q272" s="879"/>
      <c r="R272" s="879"/>
      <c r="S272" s="879"/>
      <c r="T272" s="879"/>
      <c r="U272" s="879"/>
      <c r="V272" s="879"/>
      <c r="W272" s="879"/>
      <c r="X272" s="879"/>
      <c r="Y272" s="879"/>
      <c r="Z272" s="879"/>
    </row>
    <row r="273" spans="1:26" ht="12.75" customHeight="1">
      <c r="A273" s="879"/>
      <c r="B273" s="879"/>
      <c r="C273" s="879"/>
      <c r="D273" s="879"/>
      <c r="E273" s="879"/>
      <c r="F273" s="879"/>
      <c r="G273" s="879"/>
      <c r="H273" s="879"/>
      <c r="I273" s="879"/>
      <c r="J273" s="879"/>
      <c r="K273" s="879"/>
      <c r="L273" s="879"/>
      <c r="M273" s="879"/>
      <c r="N273" s="879"/>
      <c r="O273" s="879"/>
      <c r="P273" s="879"/>
      <c r="Q273" s="879"/>
      <c r="R273" s="879"/>
      <c r="S273" s="879"/>
      <c r="T273" s="879"/>
      <c r="U273" s="879"/>
      <c r="V273" s="879"/>
      <c r="W273" s="879"/>
      <c r="X273" s="879"/>
      <c r="Y273" s="879"/>
      <c r="Z273" s="879"/>
    </row>
    <row r="274" spans="1:26" ht="12.75" customHeight="1">
      <c r="A274" s="879"/>
      <c r="B274" s="879"/>
      <c r="C274" s="879"/>
      <c r="D274" s="879"/>
      <c r="E274" s="879"/>
      <c r="F274" s="879"/>
      <c r="G274" s="879"/>
      <c r="H274" s="879"/>
      <c r="I274" s="879"/>
      <c r="J274" s="879"/>
      <c r="K274" s="879"/>
      <c r="L274" s="879"/>
      <c r="M274" s="879"/>
      <c r="N274" s="879"/>
      <c r="O274" s="879"/>
      <c r="P274" s="879"/>
      <c r="Q274" s="879"/>
      <c r="R274" s="879"/>
      <c r="S274" s="879"/>
      <c r="T274" s="879"/>
      <c r="U274" s="879"/>
      <c r="V274" s="879"/>
      <c r="W274" s="879"/>
      <c r="X274" s="879"/>
      <c r="Y274" s="879"/>
      <c r="Z274" s="879"/>
    </row>
    <row r="275" spans="1:26" ht="12.75" customHeight="1">
      <c r="A275" s="879"/>
      <c r="B275" s="879"/>
      <c r="C275" s="879"/>
      <c r="D275" s="879"/>
      <c r="E275" s="879"/>
      <c r="F275" s="879"/>
      <c r="G275" s="879"/>
      <c r="H275" s="879"/>
      <c r="I275" s="879"/>
      <c r="J275" s="879"/>
      <c r="K275" s="879"/>
      <c r="L275" s="879"/>
      <c r="M275" s="879"/>
      <c r="N275" s="879"/>
      <c r="O275" s="879"/>
      <c r="P275" s="879"/>
      <c r="Q275" s="879"/>
      <c r="R275" s="879"/>
      <c r="S275" s="879"/>
      <c r="T275" s="879"/>
      <c r="U275" s="879"/>
      <c r="V275" s="879"/>
      <c r="W275" s="879"/>
      <c r="X275" s="879"/>
      <c r="Y275" s="879"/>
      <c r="Z275" s="879"/>
    </row>
    <row r="276" spans="1:26" ht="12.75" customHeight="1">
      <c r="A276" s="879"/>
      <c r="B276" s="879"/>
      <c r="C276" s="879"/>
      <c r="D276" s="879"/>
      <c r="E276" s="879"/>
      <c r="F276" s="879"/>
      <c r="G276" s="879"/>
      <c r="H276" s="879"/>
      <c r="I276" s="879"/>
      <c r="J276" s="879"/>
      <c r="K276" s="879"/>
      <c r="L276" s="879"/>
      <c r="M276" s="879"/>
      <c r="N276" s="879"/>
      <c r="O276" s="879"/>
      <c r="P276" s="879"/>
      <c r="Q276" s="879"/>
      <c r="R276" s="879"/>
      <c r="S276" s="879"/>
      <c r="T276" s="879"/>
      <c r="U276" s="879"/>
      <c r="V276" s="879"/>
      <c r="W276" s="879"/>
      <c r="X276" s="879"/>
      <c r="Y276" s="879"/>
      <c r="Z276" s="879"/>
    </row>
    <row r="277" spans="1:26" ht="12.75" customHeight="1">
      <c r="A277" s="879"/>
      <c r="B277" s="879"/>
      <c r="C277" s="879"/>
      <c r="D277" s="879"/>
      <c r="E277" s="879"/>
      <c r="F277" s="879"/>
      <c r="G277" s="879"/>
      <c r="H277" s="879"/>
      <c r="I277" s="879"/>
      <c r="J277" s="879"/>
      <c r="K277" s="879"/>
      <c r="L277" s="879"/>
      <c r="M277" s="879"/>
      <c r="N277" s="879"/>
      <c r="O277" s="879"/>
      <c r="P277" s="879"/>
      <c r="Q277" s="879"/>
      <c r="R277" s="879"/>
      <c r="S277" s="879"/>
      <c r="T277" s="879"/>
      <c r="U277" s="879"/>
      <c r="V277" s="879"/>
      <c r="W277" s="879"/>
      <c r="X277" s="879"/>
      <c r="Y277" s="879"/>
      <c r="Z277" s="879"/>
    </row>
    <row r="278" spans="1:26" ht="12.75" customHeight="1">
      <c r="A278" s="879"/>
      <c r="B278" s="879"/>
      <c r="C278" s="879"/>
      <c r="D278" s="879"/>
      <c r="E278" s="879"/>
      <c r="F278" s="879"/>
      <c r="G278" s="879"/>
      <c r="H278" s="879"/>
      <c r="I278" s="879"/>
      <c r="J278" s="879"/>
      <c r="K278" s="879"/>
      <c r="L278" s="879"/>
      <c r="M278" s="879"/>
      <c r="N278" s="879"/>
      <c r="O278" s="879"/>
      <c r="P278" s="879"/>
      <c r="Q278" s="879"/>
      <c r="R278" s="879"/>
      <c r="S278" s="879"/>
      <c r="T278" s="879"/>
      <c r="U278" s="879"/>
      <c r="V278" s="879"/>
      <c r="W278" s="879"/>
      <c r="X278" s="879"/>
      <c r="Y278" s="879"/>
      <c r="Z278" s="879"/>
    </row>
    <row r="279" spans="1:26" ht="12.75" customHeight="1">
      <c r="A279" s="879"/>
      <c r="B279" s="879"/>
      <c r="C279" s="879"/>
      <c r="D279" s="879"/>
      <c r="E279" s="879"/>
      <c r="F279" s="879"/>
      <c r="G279" s="879"/>
      <c r="H279" s="879"/>
      <c r="I279" s="879"/>
      <c r="J279" s="879"/>
      <c r="K279" s="879"/>
      <c r="L279" s="879"/>
      <c r="M279" s="879"/>
      <c r="N279" s="879"/>
      <c r="O279" s="879"/>
      <c r="P279" s="879"/>
      <c r="Q279" s="879"/>
      <c r="R279" s="879"/>
      <c r="S279" s="879"/>
      <c r="T279" s="879"/>
      <c r="U279" s="879"/>
      <c r="V279" s="879"/>
      <c r="W279" s="879"/>
      <c r="X279" s="879"/>
      <c r="Y279" s="879"/>
      <c r="Z279" s="879"/>
    </row>
    <row r="280" spans="1:26" ht="12.75" customHeight="1">
      <c r="A280" s="879"/>
      <c r="B280" s="879"/>
      <c r="C280" s="879"/>
      <c r="D280" s="879"/>
      <c r="E280" s="879"/>
      <c r="F280" s="879"/>
      <c r="G280" s="879"/>
      <c r="H280" s="879"/>
      <c r="I280" s="879"/>
      <c r="J280" s="879"/>
      <c r="K280" s="879"/>
      <c r="L280" s="879"/>
      <c r="M280" s="879"/>
      <c r="N280" s="879"/>
      <c r="O280" s="879"/>
      <c r="P280" s="879"/>
      <c r="Q280" s="879"/>
      <c r="R280" s="879"/>
      <c r="S280" s="879"/>
      <c r="T280" s="879"/>
      <c r="U280" s="879"/>
      <c r="V280" s="879"/>
      <c r="W280" s="879"/>
      <c r="X280" s="879"/>
      <c r="Y280" s="879"/>
      <c r="Z280" s="879"/>
    </row>
    <row r="281" spans="1:26" ht="12.75" customHeight="1">
      <c r="A281" s="879"/>
      <c r="B281" s="879"/>
      <c r="C281" s="879"/>
      <c r="D281" s="879"/>
      <c r="E281" s="879"/>
      <c r="F281" s="879"/>
      <c r="G281" s="879"/>
      <c r="H281" s="879"/>
      <c r="I281" s="879"/>
      <c r="J281" s="879"/>
      <c r="K281" s="879"/>
      <c r="L281" s="879"/>
      <c r="M281" s="879"/>
      <c r="N281" s="879"/>
      <c r="O281" s="879"/>
      <c r="P281" s="879"/>
      <c r="Q281" s="879"/>
      <c r="R281" s="879"/>
      <c r="S281" s="879"/>
      <c r="T281" s="879"/>
      <c r="U281" s="879"/>
      <c r="V281" s="879"/>
      <c r="W281" s="879"/>
      <c r="X281" s="879"/>
      <c r="Y281" s="879"/>
      <c r="Z281" s="879"/>
    </row>
    <row r="282" spans="1:26" ht="12.75" customHeight="1">
      <c r="A282" s="879"/>
      <c r="B282" s="879"/>
      <c r="C282" s="879"/>
      <c r="D282" s="879"/>
      <c r="E282" s="879"/>
      <c r="F282" s="879"/>
      <c r="G282" s="879"/>
      <c r="H282" s="879"/>
      <c r="I282" s="879"/>
      <c r="J282" s="879"/>
      <c r="K282" s="879"/>
      <c r="L282" s="879"/>
      <c r="M282" s="879"/>
      <c r="N282" s="879"/>
      <c r="O282" s="879"/>
      <c r="P282" s="879"/>
      <c r="Q282" s="879"/>
      <c r="R282" s="879"/>
      <c r="S282" s="879"/>
      <c r="T282" s="879"/>
      <c r="U282" s="879"/>
      <c r="V282" s="879"/>
      <c r="W282" s="879"/>
      <c r="X282" s="879"/>
      <c r="Y282" s="879"/>
      <c r="Z282" s="879"/>
    </row>
    <row r="283" spans="1:26" ht="12.75" customHeight="1">
      <c r="A283" s="879"/>
      <c r="B283" s="879"/>
      <c r="C283" s="879"/>
      <c r="D283" s="879"/>
      <c r="E283" s="879"/>
      <c r="F283" s="879"/>
      <c r="G283" s="879"/>
      <c r="H283" s="879"/>
      <c r="I283" s="879"/>
      <c r="J283" s="879"/>
      <c r="K283" s="879"/>
      <c r="L283" s="879"/>
      <c r="M283" s="879"/>
      <c r="N283" s="879"/>
      <c r="O283" s="879"/>
      <c r="P283" s="879"/>
      <c r="Q283" s="879"/>
      <c r="R283" s="879"/>
      <c r="S283" s="879"/>
      <c r="T283" s="879"/>
      <c r="U283" s="879"/>
      <c r="V283" s="879"/>
      <c r="W283" s="879"/>
      <c r="X283" s="879"/>
      <c r="Y283" s="879"/>
      <c r="Z283" s="879"/>
    </row>
    <row r="284" spans="1:26" ht="12.75" customHeight="1">
      <c r="A284" s="879"/>
      <c r="B284" s="879"/>
      <c r="C284" s="879"/>
      <c r="D284" s="879"/>
      <c r="E284" s="879"/>
      <c r="F284" s="879"/>
      <c r="G284" s="879"/>
      <c r="H284" s="879"/>
      <c r="I284" s="879"/>
      <c r="J284" s="879"/>
      <c r="K284" s="879"/>
      <c r="L284" s="879"/>
      <c r="M284" s="879"/>
      <c r="N284" s="879"/>
      <c r="O284" s="879"/>
      <c r="P284" s="879"/>
      <c r="Q284" s="879"/>
      <c r="R284" s="879"/>
      <c r="S284" s="879"/>
      <c r="T284" s="879"/>
      <c r="U284" s="879"/>
      <c r="V284" s="879"/>
      <c r="W284" s="879"/>
      <c r="X284" s="879"/>
      <c r="Y284" s="879"/>
      <c r="Z284" s="879"/>
    </row>
    <row r="285" spans="1:26" ht="12.75" customHeight="1">
      <c r="A285" s="879"/>
      <c r="B285" s="879"/>
      <c r="C285" s="879"/>
      <c r="D285" s="879"/>
      <c r="E285" s="879"/>
      <c r="F285" s="879"/>
      <c r="G285" s="879"/>
      <c r="H285" s="879"/>
      <c r="I285" s="879"/>
      <c r="J285" s="879"/>
      <c r="K285" s="879"/>
      <c r="L285" s="879"/>
      <c r="M285" s="879"/>
      <c r="N285" s="879"/>
      <c r="O285" s="879"/>
      <c r="P285" s="879"/>
      <c r="Q285" s="879"/>
      <c r="R285" s="879"/>
      <c r="S285" s="879"/>
      <c r="T285" s="879"/>
      <c r="U285" s="879"/>
      <c r="V285" s="879"/>
      <c r="W285" s="879"/>
      <c r="X285" s="879"/>
      <c r="Y285" s="879"/>
      <c r="Z285" s="879"/>
    </row>
    <row r="286" spans="1:26" ht="12.75" customHeight="1">
      <c r="A286" s="879"/>
      <c r="B286" s="879"/>
      <c r="C286" s="879"/>
      <c r="D286" s="879"/>
      <c r="E286" s="879"/>
      <c r="F286" s="879"/>
      <c r="G286" s="879"/>
      <c r="H286" s="879"/>
      <c r="I286" s="879"/>
      <c r="J286" s="879"/>
      <c r="K286" s="879"/>
      <c r="L286" s="879"/>
      <c r="M286" s="879"/>
      <c r="N286" s="879"/>
      <c r="O286" s="879"/>
      <c r="P286" s="879"/>
      <c r="Q286" s="879"/>
      <c r="R286" s="879"/>
      <c r="S286" s="879"/>
      <c r="T286" s="879"/>
      <c r="U286" s="879"/>
      <c r="V286" s="879"/>
      <c r="W286" s="879"/>
      <c r="X286" s="879"/>
      <c r="Y286" s="879"/>
      <c r="Z286" s="879"/>
    </row>
    <row r="287" spans="1:26" ht="12.75" customHeight="1">
      <c r="A287" s="879"/>
      <c r="B287" s="879"/>
      <c r="C287" s="879"/>
      <c r="D287" s="879"/>
      <c r="E287" s="879"/>
      <c r="F287" s="879"/>
      <c r="G287" s="879"/>
      <c r="H287" s="879"/>
      <c r="I287" s="879"/>
      <c r="J287" s="879"/>
      <c r="K287" s="879"/>
      <c r="L287" s="879"/>
      <c r="M287" s="879"/>
      <c r="N287" s="879"/>
      <c r="O287" s="879"/>
      <c r="P287" s="879"/>
      <c r="Q287" s="879"/>
      <c r="R287" s="879"/>
      <c r="S287" s="879"/>
      <c r="T287" s="879"/>
      <c r="U287" s="879"/>
      <c r="V287" s="879"/>
      <c r="W287" s="879"/>
      <c r="X287" s="879"/>
      <c r="Y287" s="879"/>
      <c r="Z287" s="879"/>
    </row>
    <row r="288" spans="1:26" ht="12.75" customHeight="1">
      <c r="A288" s="879"/>
      <c r="B288" s="879"/>
      <c r="C288" s="879"/>
      <c r="D288" s="879"/>
      <c r="E288" s="879"/>
      <c r="F288" s="879"/>
      <c r="G288" s="879"/>
      <c r="H288" s="879"/>
      <c r="I288" s="879"/>
      <c r="J288" s="879"/>
      <c r="K288" s="879"/>
      <c r="L288" s="879"/>
      <c r="M288" s="879"/>
      <c r="N288" s="879"/>
      <c r="O288" s="879"/>
      <c r="P288" s="879"/>
      <c r="Q288" s="879"/>
      <c r="R288" s="879"/>
      <c r="S288" s="879"/>
      <c r="T288" s="879"/>
      <c r="U288" s="879"/>
      <c r="V288" s="879"/>
      <c r="W288" s="879"/>
      <c r="X288" s="879"/>
      <c r="Y288" s="879"/>
      <c r="Z288" s="879"/>
    </row>
    <row r="289" spans="1:26" ht="12.75" customHeight="1">
      <c r="A289" s="879"/>
      <c r="B289" s="879"/>
      <c r="C289" s="879"/>
      <c r="D289" s="879"/>
      <c r="E289" s="879"/>
      <c r="F289" s="879"/>
      <c r="G289" s="879"/>
      <c r="H289" s="879"/>
      <c r="I289" s="879"/>
      <c r="J289" s="879"/>
      <c r="K289" s="879"/>
      <c r="L289" s="879"/>
      <c r="M289" s="879"/>
      <c r="N289" s="879"/>
      <c r="O289" s="879"/>
      <c r="P289" s="879"/>
      <c r="Q289" s="879"/>
      <c r="R289" s="879"/>
      <c r="S289" s="879"/>
      <c r="T289" s="879"/>
      <c r="U289" s="879"/>
      <c r="V289" s="879"/>
      <c r="W289" s="879"/>
      <c r="X289" s="879"/>
      <c r="Y289" s="879"/>
      <c r="Z289" s="879"/>
    </row>
    <row r="290" spans="1:26" ht="12.75" customHeight="1">
      <c r="A290" s="879"/>
      <c r="B290" s="879"/>
      <c r="C290" s="879"/>
      <c r="D290" s="879"/>
      <c r="E290" s="879"/>
      <c r="F290" s="879"/>
      <c r="G290" s="879"/>
      <c r="H290" s="879"/>
      <c r="I290" s="879"/>
      <c r="J290" s="879"/>
      <c r="K290" s="879"/>
      <c r="L290" s="879"/>
      <c r="M290" s="879"/>
      <c r="N290" s="879"/>
      <c r="O290" s="879"/>
      <c r="P290" s="879"/>
      <c r="Q290" s="879"/>
      <c r="R290" s="879"/>
      <c r="S290" s="879"/>
      <c r="T290" s="879"/>
      <c r="U290" s="879"/>
      <c r="V290" s="879"/>
      <c r="W290" s="879"/>
      <c r="X290" s="879"/>
      <c r="Y290" s="879"/>
      <c r="Z290" s="879"/>
    </row>
    <row r="291" spans="1:26" ht="12.75" customHeight="1">
      <c r="A291" s="879"/>
      <c r="B291" s="879"/>
      <c r="C291" s="879"/>
      <c r="D291" s="879"/>
      <c r="E291" s="879"/>
      <c r="F291" s="879"/>
      <c r="G291" s="879"/>
      <c r="H291" s="879"/>
      <c r="I291" s="879"/>
      <c r="J291" s="879"/>
      <c r="K291" s="879"/>
      <c r="L291" s="879"/>
      <c r="M291" s="879"/>
      <c r="N291" s="879"/>
      <c r="O291" s="879"/>
      <c r="P291" s="879"/>
      <c r="Q291" s="879"/>
      <c r="R291" s="879"/>
      <c r="S291" s="879"/>
      <c r="T291" s="879"/>
      <c r="U291" s="879"/>
      <c r="V291" s="879"/>
      <c r="W291" s="879"/>
      <c r="X291" s="879"/>
      <c r="Y291" s="879"/>
      <c r="Z291" s="879"/>
    </row>
    <row r="292" spans="1:26" ht="12.75" customHeight="1">
      <c r="A292" s="879"/>
      <c r="B292" s="879"/>
      <c r="C292" s="879"/>
      <c r="D292" s="879"/>
      <c r="E292" s="879"/>
      <c r="F292" s="879"/>
      <c r="G292" s="879"/>
      <c r="H292" s="879"/>
      <c r="I292" s="879"/>
      <c r="J292" s="879"/>
      <c r="K292" s="879"/>
      <c r="L292" s="879"/>
      <c r="M292" s="879"/>
      <c r="N292" s="879"/>
      <c r="O292" s="879"/>
      <c r="P292" s="879"/>
      <c r="Q292" s="879"/>
      <c r="R292" s="879"/>
      <c r="S292" s="879"/>
      <c r="T292" s="879"/>
      <c r="U292" s="879"/>
      <c r="V292" s="879"/>
      <c r="W292" s="879"/>
      <c r="X292" s="879"/>
      <c r="Y292" s="879"/>
      <c r="Z292" s="879"/>
    </row>
    <row r="293" spans="1:26" ht="12.75" customHeight="1">
      <c r="A293" s="879"/>
      <c r="B293" s="879"/>
      <c r="C293" s="879"/>
      <c r="D293" s="879"/>
      <c r="E293" s="879"/>
      <c r="F293" s="879"/>
      <c r="G293" s="879"/>
      <c r="H293" s="879"/>
      <c r="I293" s="879"/>
      <c r="J293" s="879"/>
      <c r="K293" s="879"/>
      <c r="L293" s="879"/>
      <c r="M293" s="879"/>
      <c r="N293" s="879"/>
      <c r="O293" s="879"/>
      <c r="P293" s="879"/>
      <c r="Q293" s="879"/>
      <c r="R293" s="879"/>
      <c r="S293" s="879"/>
      <c r="T293" s="879"/>
      <c r="U293" s="879"/>
      <c r="V293" s="879"/>
      <c r="W293" s="879"/>
      <c r="X293" s="879"/>
      <c r="Y293" s="879"/>
      <c r="Z293" s="879"/>
    </row>
    <row r="294" spans="1:26" ht="12.75" customHeight="1">
      <c r="A294" s="879"/>
      <c r="B294" s="879"/>
      <c r="C294" s="879"/>
      <c r="D294" s="879"/>
      <c r="E294" s="879"/>
      <c r="F294" s="879"/>
      <c r="G294" s="879"/>
      <c r="H294" s="879"/>
      <c r="I294" s="879"/>
      <c r="J294" s="879"/>
      <c r="K294" s="879"/>
      <c r="L294" s="879"/>
      <c r="M294" s="879"/>
      <c r="N294" s="879"/>
      <c r="O294" s="879"/>
      <c r="P294" s="879"/>
      <c r="Q294" s="879"/>
      <c r="R294" s="879"/>
      <c r="S294" s="879"/>
      <c r="T294" s="879"/>
      <c r="U294" s="879"/>
      <c r="V294" s="879"/>
      <c r="W294" s="879"/>
      <c r="X294" s="879"/>
      <c r="Y294" s="879"/>
      <c r="Z294" s="879"/>
    </row>
    <row r="295" spans="1:26" ht="12.75" customHeight="1">
      <c r="A295" s="879"/>
      <c r="B295" s="879"/>
      <c r="C295" s="879"/>
      <c r="D295" s="879"/>
      <c r="E295" s="879"/>
      <c r="F295" s="879"/>
      <c r="G295" s="879"/>
      <c r="H295" s="879"/>
      <c r="I295" s="879"/>
      <c r="J295" s="879"/>
      <c r="K295" s="879"/>
      <c r="L295" s="879"/>
      <c r="M295" s="879"/>
      <c r="N295" s="879"/>
      <c r="O295" s="879"/>
      <c r="P295" s="879"/>
      <c r="Q295" s="879"/>
      <c r="R295" s="879"/>
      <c r="S295" s="879"/>
      <c r="T295" s="879"/>
      <c r="U295" s="879"/>
      <c r="V295" s="879"/>
      <c r="W295" s="879"/>
      <c r="X295" s="879"/>
      <c r="Y295" s="879"/>
      <c r="Z295" s="879"/>
    </row>
    <row r="296" spans="1:26" ht="12.75" customHeight="1">
      <c r="A296" s="879"/>
      <c r="B296" s="879"/>
      <c r="C296" s="879"/>
      <c r="D296" s="879"/>
      <c r="E296" s="879"/>
      <c r="F296" s="879"/>
      <c r="G296" s="879"/>
      <c r="H296" s="879"/>
      <c r="I296" s="879"/>
      <c r="J296" s="879"/>
      <c r="K296" s="879"/>
      <c r="L296" s="879"/>
      <c r="M296" s="879"/>
      <c r="N296" s="879"/>
      <c r="O296" s="879"/>
      <c r="P296" s="879"/>
      <c r="Q296" s="879"/>
      <c r="R296" s="879"/>
      <c r="S296" s="879"/>
      <c r="T296" s="879"/>
      <c r="U296" s="879"/>
      <c r="V296" s="879"/>
      <c r="W296" s="879"/>
      <c r="X296" s="879"/>
      <c r="Y296" s="879"/>
      <c r="Z296" s="879"/>
    </row>
    <row r="297" spans="1:26" ht="12.75" customHeight="1">
      <c r="A297" s="879"/>
      <c r="B297" s="879"/>
      <c r="C297" s="879"/>
      <c r="D297" s="879"/>
      <c r="E297" s="879"/>
      <c r="F297" s="879"/>
      <c r="G297" s="879"/>
      <c r="H297" s="879"/>
      <c r="I297" s="879"/>
      <c r="J297" s="879"/>
      <c r="K297" s="879"/>
      <c r="L297" s="879"/>
      <c r="M297" s="879"/>
      <c r="N297" s="879"/>
      <c r="O297" s="879"/>
      <c r="P297" s="879"/>
      <c r="Q297" s="879"/>
      <c r="R297" s="879"/>
      <c r="S297" s="879"/>
      <c r="T297" s="879"/>
      <c r="U297" s="879"/>
      <c r="V297" s="879"/>
      <c r="W297" s="879"/>
      <c r="X297" s="879"/>
      <c r="Y297" s="879"/>
      <c r="Z297" s="879"/>
    </row>
    <row r="298" spans="1:26" ht="12.75" customHeight="1">
      <c r="A298" s="879"/>
      <c r="B298" s="879"/>
      <c r="C298" s="879"/>
      <c r="D298" s="879"/>
      <c r="E298" s="879"/>
      <c r="F298" s="879"/>
      <c r="G298" s="879"/>
      <c r="H298" s="879"/>
      <c r="I298" s="879"/>
      <c r="J298" s="879"/>
      <c r="K298" s="879"/>
      <c r="L298" s="879"/>
      <c r="M298" s="879"/>
      <c r="N298" s="879"/>
      <c r="O298" s="879"/>
      <c r="P298" s="879"/>
      <c r="Q298" s="879"/>
      <c r="R298" s="879"/>
      <c r="S298" s="879"/>
      <c r="T298" s="879"/>
      <c r="U298" s="879"/>
      <c r="V298" s="879"/>
      <c r="W298" s="879"/>
      <c r="X298" s="879"/>
      <c r="Y298" s="879"/>
      <c r="Z298" s="879"/>
    </row>
    <row r="299" spans="1:26" ht="12.75" customHeight="1">
      <c r="A299" s="879"/>
      <c r="B299" s="879"/>
      <c r="C299" s="879"/>
      <c r="D299" s="879"/>
      <c r="E299" s="879"/>
      <c r="F299" s="879"/>
      <c r="G299" s="879"/>
      <c r="H299" s="879"/>
      <c r="I299" s="879"/>
      <c r="J299" s="879"/>
      <c r="K299" s="879"/>
      <c r="L299" s="879"/>
      <c r="M299" s="879"/>
      <c r="N299" s="879"/>
      <c r="O299" s="879"/>
      <c r="P299" s="879"/>
      <c r="Q299" s="879"/>
      <c r="R299" s="879"/>
      <c r="S299" s="879"/>
      <c r="T299" s="879"/>
      <c r="U299" s="879"/>
      <c r="V299" s="879"/>
      <c r="W299" s="879"/>
      <c r="X299" s="879"/>
      <c r="Y299" s="879"/>
      <c r="Z299" s="879"/>
    </row>
    <row r="300" spans="1:26" ht="12.75" customHeight="1">
      <c r="A300" s="879"/>
      <c r="B300" s="879"/>
      <c r="C300" s="879"/>
      <c r="D300" s="879"/>
      <c r="E300" s="879"/>
      <c r="F300" s="879"/>
      <c r="G300" s="879"/>
      <c r="H300" s="879"/>
      <c r="I300" s="879"/>
      <c r="J300" s="879"/>
      <c r="K300" s="879"/>
      <c r="L300" s="879"/>
      <c r="M300" s="879"/>
      <c r="N300" s="879"/>
      <c r="O300" s="879"/>
      <c r="P300" s="879"/>
      <c r="Q300" s="879"/>
      <c r="R300" s="879"/>
      <c r="S300" s="879"/>
      <c r="T300" s="879"/>
      <c r="U300" s="879"/>
      <c r="V300" s="879"/>
      <c r="W300" s="879"/>
      <c r="X300" s="879"/>
      <c r="Y300" s="879"/>
      <c r="Z300" s="879"/>
    </row>
    <row r="301" spans="1:26" ht="12.75" customHeight="1">
      <c r="A301" s="879"/>
      <c r="B301" s="879"/>
      <c r="C301" s="879"/>
      <c r="D301" s="879"/>
      <c r="E301" s="879"/>
      <c r="F301" s="879"/>
      <c r="G301" s="879"/>
      <c r="H301" s="879"/>
      <c r="I301" s="879"/>
      <c r="J301" s="879"/>
      <c r="K301" s="879"/>
      <c r="L301" s="879"/>
      <c r="M301" s="879"/>
      <c r="N301" s="879"/>
      <c r="O301" s="879"/>
      <c r="P301" s="879"/>
      <c r="Q301" s="879"/>
      <c r="R301" s="879"/>
      <c r="S301" s="879"/>
      <c r="T301" s="879"/>
      <c r="U301" s="879"/>
      <c r="V301" s="879"/>
      <c r="W301" s="879"/>
      <c r="X301" s="879"/>
      <c r="Y301" s="879"/>
      <c r="Z301" s="879"/>
    </row>
    <row r="302" spans="1:26" ht="12.75" customHeight="1">
      <c r="A302" s="879"/>
      <c r="B302" s="879"/>
      <c r="C302" s="879"/>
      <c r="D302" s="879"/>
      <c r="E302" s="879"/>
      <c r="F302" s="879"/>
      <c r="G302" s="879"/>
      <c r="H302" s="879"/>
      <c r="I302" s="879"/>
      <c r="J302" s="879"/>
      <c r="K302" s="879"/>
      <c r="L302" s="879"/>
      <c r="M302" s="879"/>
      <c r="N302" s="879"/>
      <c r="O302" s="879"/>
      <c r="P302" s="879"/>
      <c r="Q302" s="879"/>
      <c r="R302" s="879"/>
      <c r="S302" s="879"/>
      <c r="T302" s="879"/>
      <c r="U302" s="879"/>
      <c r="V302" s="879"/>
      <c r="W302" s="879"/>
      <c r="X302" s="879"/>
      <c r="Y302" s="879"/>
      <c r="Z302" s="879"/>
    </row>
    <row r="303" spans="1:26" ht="12.75" customHeight="1">
      <c r="A303" s="879"/>
      <c r="B303" s="879"/>
      <c r="C303" s="879"/>
      <c r="D303" s="879"/>
      <c r="E303" s="879"/>
      <c r="F303" s="879"/>
      <c r="G303" s="879"/>
      <c r="H303" s="879"/>
      <c r="I303" s="879"/>
      <c r="J303" s="879"/>
      <c r="K303" s="879"/>
      <c r="L303" s="879"/>
      <c r="M303" s="879"/>
      <c r="N303" s="879"/>
      <c r="O303" s="879"/>
      <c r="P303" s="879"/>
      <c r="Q303" s="879"/>
      <c r="R303" s="879"/>
      <c r="S303" s="879"/>
      <c r="T303" s="879"/>
      <c r="U303" s="879"/>
      <c r="V303" s="879"/>
      <c r="W303" s="879"/>
      <c r="X303" s="879"/>
      <c r="Y303" s="879"/>
      <c r="Z303" s="879"/>
    </row>
    <row r="304" spans="1:26" ht="12.75" customHeight="1">
      <c r="A304" s="879"/>
      <c r="B304" s="879"/>
      <c r="C304" s="879"/>
      <c r="D304" s="879"/>
      <c r="E304" s="879"/>
      <c r="F304" s="879"/>
      <c r="G304" s="879"/>
      <c r="H304" s="879"/>
      <c r="I304" s="879"/>
      <c r="J304" s="879"/>
      <c r="K304" s="879"/>
      <c r="L304" s="879"/>
      <c r="M304" s="879"/>
      <c r="N304" s="879"/>
      <c r="O304" s="879"/>
      <c r="P304" s="879"/>
      <c r="Q304" s="879"/>
      <c r="R304" s="879"/>
      <c r="S304" s="879"/>
      <c r="T304" s="879"/>
      <c r="U304" s="879"/>
      <c r="V304" s="879"/>
      <c r="W304" s="879"/>
      <c r="X304" s="879"/>
      <c r="Y304" s="879"/>
      <c r="Z304" s="879"/>
    </row>
    <row r="305" spans="1:26" ht="12.75" customHeight="1">
      <c r="A305" s="879"/>
      <c r="B305" s="879"/>
      <c r="C305" s="879"/>
      <c r="D305" s="879"/>
      <c r="E305" s="879"/>
      <c r="F305" s="879"/>
      <c r="G305" s="879"/>
      <c r="H305" s="879"/>
      <c r="I305" s="879"/>
      <c r="J305" s="879"/>
      <c r="K305" s="879"/>
      <c r="L305" s="879"/>
      <c r="M305" s="879"/>
      <c r="N305" s="879"/>
      <c r="O305" s="879"/>
      <c r="P305" s="879"/>
      <c r="Q305" s="879"/>
      <c r="R305" s="879"/>
      <c r="S305" s="879"/>
      <c r="T305" s="879"/>
      <c r="U305" s="879"/>
      <c r="V305" s="879"/>
      <c r="W305" s="879"/>
      <c r="X305" s="879"/>
      <c r="Y305" s="879"/>
      <c r="Z305" s="879"/>
    </row>
    <row r="306" spans="1:26" ht="12.75" customHeight="1">
      <c r="A306" s="879"/>
      <c r="B306" s="879"/>
      <c r="C306" s="879"/>
      <c r="D306" s="879"/>
      <c r="E306" s="879"/>
      <c r="F306" s="879"/>
      <c r="G306" s="879"/>
      <c r="H306" s="879"/>
      <c r="I306" s="879"/>
      <c r="J306" s="879"/>
      <c r="K306" s="879"/>
      <c r="L306" s="879"/>
      <c r="M306" s="879"/>
      <c r="N306" s="879"/>
      <c r="O306" s="879"/>
      <c r="P306" s="879"/>
      <c r="Q306" s="879"/>
      <c r="R306" s="879"/>
      <c r="S306" s="879"/>
      <c r="T306" s="879"/>
      <c r="U306" s="879"/>
      <c r="V306" s="879"/>
      <c r="W306" s="879"/>
      <c r="X306" s="879"/>
      <c r="Y306" s="879"/>
      <c r="Z306" s="879"/>
    </row>
    <row r="307" spans="1:26" ht="12.75" customHeight="1">
      <c r="A307" s="879"/>
      <c r="B307" s="879"/>
      <c r="C307" s="879"/>
      <c r="D307" s="879"/>
      <c r="E307" s="879"/>
      <c r="F307" s="879"/>
      <c r="G307" s="879"/>
      <c r="H307" s="879"/>
      <c r="I307" s="879"/>
      <c r="J307" s="879"/>
      <c r="K307" s="879"/>
      <c r="L307" s="879"/>
      <c r="M307" s="879"/>
      <c r="N307" s="879"/>
      <c r="O307" s="879"/>
      <c r="P307" s="879"/>
      <c r="Q307" s="879"/>
      <c r="R307" s="879"/>
      <c r="S307" s="879"/>
      <c r="T307" s="879"/>
      <c r="U307" s="879"/>
      <c r="V307" s="879"/>
      <c r="W307" s="879"/>
      <c r="X307" s="879"/>
      <c r="Y307" s="879"/>
      <c r="Z307" s="879"/>
    </row>
    <row r="308" spans="1:26" ht="12.75" customHeight="1">
      <c r="A308" s="879"/>
      <c r="B308" s="879"/>
      <c r="C308" s="879"/>
      <c r="D308" s="879"/>
      <c r="E308" s="879"/>
      <c r="F308" s="879"/>
      <c r="G308" s="879"/>
      <c r="H308" s="879"/>
      <c r="I308" s="879"/>
      <c r="J308" s="879"/>
      <c r="K308" s="879"/>
      <c r="L308" s="879"/>
      <c r="M308" s="879"/>
      <c r="N308" s="879"/>
      <c r="O308" s="879"/>
      <c r="P308" s="879"/>
      <c r="Q308" s="879"/>
      <c r="R308" s="879"/>
      <c r="S308" s="879"/>
      <c r="T308" s="879"/>
      <c r="U308" s="879"/>
      <c r="V308" s="879"/>
      <c r="W308" s="879"/>
      <c r="X308" s="879"/>
      <c r="Y308" s="879"/>
      <c r="Z308" s="879"/>
    </row>
    <row r="309" spans="1:26" ht="12.75" customHeight="1">
      <c r="A309" s="879"/>
      <c r="B309" s="879"/>
      <c r="C309" s="879"/>
      <c r="D309" s="879"/>
      <c r="E309" s="879"/>
      <c r="F309" s="879"/>
      <c r="G309" s="879"/>
      <c r="H309" s="879"/>
      <c r="I309" s="879"/>
      <c r="J309" s="879"/>
      <c r="K309" s="879"/>
      <c r="L309" s="879"/>
      <c r="M309" s="879"/>
      <c r="N309" s="879"/>
      <c r="O309" s="879"/>
      <c r="P309" s="879"/>
      <c r="Q309" s="879"/>
      <c r="R309" s="879"/>
      <c r="S309" s="879"/>
      <c r="T309" s="879"/>
      <c r="U309" s="879"/>
      <c r="V309" s="879"/>
      <c r="W309" s="879"/>
      <c r="X309" s="879"/>
      <c r="Y309" s="879"/>
      <c r="Z309" s="879"/>
    </row>
    <row r="310" spans="1:26" ht="12.75" customHeight="1">
      <c r="A310" s="879"/>
      <c r="B310" s="879"/>
      <c r="C310" s="879"/>
      <c r="D310" s="879"/>
      <c r="E310" s="879"/>
      <c r="F310" s="879"/>
      <c r="G310" s="879"/>
      <c r="H310" s="879"/>
      <c r="I310" s="879"/>
      <c r="J310" s="879"/>
      <c r="K310" s="879"/>
      <c r="L310" s="879"/>
      <c r="M310" s="879"/>
      <c r="N310" s="879"/>
      <c r="O310" s="879"/>
      <c r="P310" s="879"/>
      <c r="Q310" s="879"/>
      <c r="R310" s="879"/>
      <c r="S310" s="879"/>
      <c r="T310" s="879"/>
      <c r="U310" s="879"/>
      <c r="V310" s="879"/>
      <c r="W310" s="879"/>
      <c r="X310" s="879"/>
      <c r="Y310" s="879"/>
      <c r="Z310" s="879"/>
    </row>
    <row r="311" spans="1:26" ht="12.75" customHeight="1">
      <c r="A311" s="879"/>
      <c r="B311" s="879"/>
      <c r="C311" s="879"/>
      <c r="D311" s="879"/>
      <c r="E311" s="879"/>
      <c r="F311" s="879"/>
      <c r="G311" s="879"/>
      <c r="H311" s="879"/>
      <c r="I311" s="879"/>
      <c r="J311" s="879"/>
      <c r="K311" s="879"/>
      <c r="L311" s="879"/>
      <c r="M311" s="879"/>
      <c r="N311" s="879"/>
      <c r="O311" s="879"/>
      <c r="P311" s="879"/>
      <c r="Q311" s="879"/>
      <c r="R311" s="879"/>
      <c r="S311" s="879"/>
      <c r="T311" s="879"/>
      <c r="U311" s="879"/>
      <c r="V311" s="879"/>
      <c r="W311" s="879"/>
      <c r="X311" s="879"/>
      <c r="Y311" s="879"/>
      <c r="Z311" s="879"/>
    </row>
    <row r="312" spans="1:26" ht="12.75" customHeight="1">
      <c r="A312" s="879"/>
      <c r="B312" s="879"/>
      <c r="C312" s="879"/>
      <c r="D312" s="879"/>
      <c r="E312" s="879"/>
      <c r="F312" s="879"/>
      <c r="G312" s="879"/>
      <c r="H312" s="879"/>
      <c r="I312" s="879"/>
      <c r="J312" s="879"/>
      <c r="K312" s="879"/>
      <c r="L312" s="879"/>
      <c r="M312" s="879"/>
      <c r="N312" s="879"/>
      <c r="O312" s="879"/>
      <c r="P312" s="879"/>
      <c r="Q312" s="879"/>
      <c r="R312" s="879"/>
      <c r="S312" s="879"/>
      <c r="T312" s="879"/>
      <c r="U312" s="879"/>
      <c r="V312" s="879"/>
      <c r="W312" s="879"/>
      <c r="X312" s="879"/>
      <c r="Y312" s="879"/>
      <c r="Z312" s="879"/>
    </row>
    <row r="313" spans="1:26" ht="12.75" customHeight="1">
      <c r="A313" s="879"/>
      <c r="B313" s="879"/>
      <c r="C313" s="879"/>
      <c r="D313" s="879"/>
      <c r="E313" s="879"/>
      <c r="F313" s="879"/>
      <c r="G313" s="879"/>
      <c r="H313" s="879"/>
      <c r="I313" s="879"/>
      <c r="J313" s="879"/>
      <c r="K313" s="879"/>
      <c r="L313" s="879"/>
      <c r="M313" s="879"/>
      <c r="N313" s="879"/>
      <c r="O313" s="879"/>
      <c r="P313" s="879"/>
      <c r="Q313" s="879"/>
      <c r="R313" s="879"/>
      <c r="S313" s="879"/>
      <c r="T313" s="879"/>
      <c r="U313" s="879"/>
      <c r="V313" s="879"/>
      <c r="W313" s="879"/>
      <c r="X313" s="879"/>
      <c r="Y313" s="879"/>
      <c r="Z313" s="879"/>
    </row>
    <row r="314" spans="1:26" ht="12.75" customHeight="1">
      <c r="A314" s="879"/>
      <c r="B314" s="879"/>
      <c r="C314" s="879"/>
      <c r="D314" s="879"/>
      <c r="E314" s="879"/>
      <c r="F314" s="879"/>
      <c r="G314" s="879"/>
      <c r="H314" s="879"/>
      <c r="I314" s="879"/>
      <c r="J314" s="879"/>
      <c r="K314" s="879"/>
      <c r="L314" s="879"/>
      <c r="M314" s="879"/>
      <c r="N314" s="879"/>
      <c r="O314" s="879"/>
      <c r="P314" s="879"/>
      <c r="Q314" s="879"/>
      <c r="R314" s="879"/>
      <c r="S314" s="879"/>
      <c r="T314" s="879"/>
      <c r="U314" s="879"/>
      <c r="V314" s="879"/>
      <c r="W314" s="879"/>
      <c r="X314" s="879"/>
      <c r="Y314" s="879"/>
      <c r="Z314" s="879"/>
    </row>
    <row r="315" spans="1:26" ht="12.75" customHeight="1">
      <c r="A315" s="879"/>
      <c r="B315" s="879"/>
      <c r="C315" s="879"/>
      <c r="D315" s="879"/>
      <c r="E315" s="879"/>
      <c r="F315" s="879"/>
      <c r="G315" s="879"/>
      <c r="H315" s="879"/>
      <c r="I315" s="879"/>
      <c r="J315" s="879"/>
      <c r="K315" s="879"/>
      <c r="L315" s="879"/>
      <c r="M315" s="879"/>
      <c r="N315" s="879"/>
      <c r="O315" s="879"/>
      <c r="P315" s="879"/>
      <c r="Q315" s="879"/>
      <c r="R315" s="879"/>
      <c r="S315" s="879"/>
      <c r="T315" s="879"/>
      <c r="U315" s="879"/>
      <c r="V315" s="879"/>
      <c r="W315" s="879"/>
      <c r="X315" s="879"/>
      <c r="Y315" s="879"/>
      <c r="Z315" s="879"/>
    </row>
    <row r="316" spans="1:26" ht="12.75" customHeight="1">
      <c r="A316" s="879"/>
      <c r="B316" s="879"/>
      <c r="C316" s="879"/>
      <c r="D316" s="879"/>
      <c r="E316" s="879"/>
      <c r="F316" s="879"/>
      <c r="G316" s="879"/>
      <c r="H316" s="879"/>
      <c r="I316" s="879"/>
      <c r="J316" s="879"/>
      <c r="K316" s="879"/>
      <c r="L316" s="879"/>
      <c r="M316" s="879"/>
      <c r="N316" s="879"/>
      <c r="O316" s="879"/>
      <c r="P316" s="879"/>
      <c r="Q316" s="879"/>
      <c r="R316" s="879"/>
      <c r="S316" s="879"/>
      <c r="T316" s="879"/>
      <c r="U316" s="879"/>
      <c r="V316" s="879"/>
      <c r="W316" s="879"/>
      <c r="X316" s="879"/>
      <c r="Y316" s="879"/>
      <c r="Z316" s="879"/>
    </row>
    <row r="317" spans="1:26" ht="12.75" customHeight="1">
      <c r="A317" s="879"/>
      <c r="B317" s="879"/>
      <c r="C317" s="879"/>
      <c r="D317" s="879"/>
      <c r="E317" s="879"/>
      <c r="F317" s="879"/>
      <c r="G317" s="879"/>
      <c r="H317" s="879"/>
      <c r="I317" s="879"/>
      <c r="J317" s="879"/>
      <c r="K317" s="879"/>
      <c r="L317" s="879"/>
      <c r="M317" s="879"/>
      <c r="N317" s="879"/>
      <c r="O317" s="879"/>
      <c r="P317" s="879"/>
      <c r="Q317" s="879"/>
      <c r="R317" s="879"/>
      <c r="S317" s="879"/>
      <c r="T317" s="879"/>
      <c r="U317" s="879"/>
      <c r="V317" s="879"/>
      <c r="W317" s="879"/>
      <c r="X317" s="879"/>
      <c r="Y317" s="879"/>
      <c r="Z317" s="879"/>
    </row>
    <row r="318" spans="1:26" ht="12.75" customHeight="1">
      <c r="A318" s="879"/>
      <c r="B318" s="879"/>
      <c r="C318" s="879"/>
      <c r="D318" s="879"/>
      <c r="E318" s="879"/>
      <c r="F318" s="879"/>
      <c r="G318" s="879"/>
      <c r="H318" s="879"/>
      <c r="I318" s="879"/>
      <c r="J318" s="879"/>
      <c r="K318" s="879"/>
      <c r="L318" s="879"/>
      <c r="M318" s="879"/>
      <c r="N318" s="879"/>
      <c r="O318" s="879"/>
      <c r="P318" s="879"/>
      <c r="Q318" s="879"/>
      <c r="R318" s="879"/>
      <c r="S318" s="879"/>
      <c r="T318" s="879"/>
      <c r="U318" s="879"/>
      <c r="V318" s="879"/>
      <c r="W318" s="879"/>
      <c r="X318" s="879"/>
      <c r="Y318" s="879"/>
      <c r="Z318" s="879"/>
    </row>
    <row r="319" spans="1:26" ht="12.75" customHeight="1">
      <c r="A319" s="879"/>
      <c r="B319" s="879"/>
      <c r="C319" s="879"/>
      <c r="D319" s="879"/>
      <c r="E319" s="879"/>
      <c r="F319" s="879"/>
      <c r="G319" s="879"/>
      <c r="H319" s="879"/>
      <c r="I319" s="879"/>
      <c r="J319" s="879"/>
      <c r="K319" s="879"/>
      <c r="L319" s="879"/>
      <c r="M319" s="879"/>
      <c r="N319" s="879"/>
      <c r="O319" s="879"/>
      <c r="P319" s="879"/>
      <c r="Q319" s="879"/>
      <c r="R319" s="879"/>
      <c r="S319" s="879"/>
      <c r="T319" s="879"/>
      <c r="U319" s="879"/>
      <c r="V319" s="879"/>
      <c r="W319" s="879"/>
      <c r="X319" s="879"/>
      <c r="Y319" s="879"/>
      <c r="Z319" s="879"/>
    </row>
    <row r="320" spans="1:26" ht="12.75" customHeight="1">
      <c r="A320" s="879"/>
      <c r="B320" s="879"/>
      <c r="C320" s="879"/>
      <c r="D320" s="879"/>
      <c r="E320" s="879"/>
      <c r="F320" s="879"/>
      <c r="G320" s="879"/>
      <c r="H320" s="879"/>
      <c r="I320" s="879"/>
      <c r="J320" s="879"/>
      <c r="K320" s="879"/>
      <c r="L320" s="879"/>
      <c r="M320" s="879"/>
      <c r="N320" s="879"/>
      <c r="O320" s="879"/>
      <c r="P320" s="879"/>
      <c r="Q320" s="879"/>
      <c r="R320" s="879"/>
      <c r="S320" s="879"/>
      <c r="T320" s="879"/>
      <c r="U320" s="879"/>
      <c r="V320" s="879"/>
      <c r="W320" s="879"/>
      <c r="X320" s="879"/>
      <c r="Y320" s="879"/>
      <c r="Z320" s="879"/>
    </row>
    <row r="321" spans="1:26" ht="12.75" customHeight="1">
      <c r="A321" s="879"/>
      <c r="B321" s="879"/>
      <c r="C321" s="879"/>
      <c r="D321" s="879"/>
      <c r="E321" s="879"/>
      <c r="F321" s="879"/>
      <c r="G321" s="879"/>
      <c r="H321" s="879"/>
      <c r="I321" s="879"/>
      <c r="J321" s="879"/>
      <c r="K321" s="879"/>
      <c r="L321" s="879"/>
      <c r="M321" s="879"/>
      <c r="N321" s="879"/>
      <c r="O321" s="879"/>
      <c r="P321" s="879"/>
      <c r="Q321" s="879"/>
      <c r="R321" s="879"/>
      <c r="S321" s="879"/>
      <c r="T321" s="879"/>
      <c r="U321" s="879"/>
      <c r="V321" s="879"/>
      <c r="W321" s="879"/>
      <c r="X321" s="879"/>
      <c r="Y321" s="879"/>
      <c r="Z321" s="879"/>
    </row>
    <row r="322" spans="1:26" ht="12.75" customHeight="1">
      <c r="A322" s="879"/>
      <c r="B322" s="879"/>
      <c r="C322" s="879"/>
      <c r="D322" s="879"/>
      <c r="E322" s="879"/>
      <c r="F322" s="879"/>
      <c r="G322" s="879"/>
      <c r="H322" s="879"/>
      <c r="I322" s="879"/>
      <c r="J322" s="879"/>
      <c r="K322" s="879"/>
      <c r="L322" s="879"/>
      <c r="M322" s="879"/>
      <c r="N322" s="879"/>
      <c r="O322" s="879"/>
      <c r="P322" s="879"/>
      <c r="Q322" s="879"/>
      <c r="R322" s="879"/>
      <c r="S322" s="879"/>
      <c r="T322" s="879"/>
      <c r="U322" s="879"/>
      <c r="V322" s="879"/>
      <c r="W322" s="879"/>
      <c r="X322" s="879"/>
      <c r="Y322" s="879"/>
      <c r="Z322" s="879"/>
    </row>
    <row r="323" spans="1:26" ht="12.75" customHeight="1">
      <c r="A323" s="879"/>
      <c r="B323" s="879"/>
      <c r="C323" s="879"/>
      <c r="D323" s="879"/>
      <c r="E323" s="879"/>
      <c r="F323" s="879"/>
      <c r="G323" s="879"/>
      <c r="H323" s="879"/>
      <c r="I323" s="879"/>
      <c r="J323" s="879"/>
      <c r="K323" s="879"/>
      <c r="L323" s="879"/>
      <c r="M323" s="879"/>
      <c r="N323" s="879"/>
      <c r="O323" s="879"/>
      <c r="P323" s="879"/>
      <c r="Q323" s="879"/>
      <c r="R323" s="879"/>
      <c r="S323" s="879"/>
      <c r="T323" s="879"/>
      <c r="U323" s="879"/>
      <c r="V323" s="879"/>
      <c r="W323" s="879"/>
      <c r="X323" s="879"/>
      <c r="Y323" s="879"/>
      <c r="Z323" s="879"/>
    </row>
    <row r="324" spans="1:26" ht="12.75" customHeight="1">
      <c r="A324" s="879"/>
      <c r="B324" s="879"/>
      <c r="C324" s="879"/>
      <c r="D324" s="879"/>
      <c r="E324" s="879"/>
      <c r="F324" s="879"/>
      <c r="G324" s="879"/>
      <c r="H324" s="879"/>
      <c r="I324" s="879"/>
      <c r="J324" s="879"/>
      <c r="K324" s="879"/>
      <c r="L324" s="879"/>
      <c r="M324" s="879"/>
      <c r="N324" s="879"/>
      <c r="O324" s="879"/>
      <c r="P324" s="879"/>
      <c r="Q324" s="879"/>
      <c r="R324" s="879"/>
      <c r="S324" s="879"/>
      <c r="T324" s="879"/>
      <c r="U324" s="879"/>
      <c r="V324" s="879"/>
      <c r="W324" s="879"/>
      <c r="X324" s="879"/>
      <c r="Y324" s="879"/>
      <c r="Z324" s="879"/>
    </row>
    <row r="325" spans="1:26" ht="12.75" customHeight="1">
      <c r="A325" s="879"/>
      <c r="B325" s="879"/>
      <c r="C325" s="879"/>
      <c r="D325" s="879"/>
      <c r="E325" s="879"/>
      <c r="F325" s="879"/>
      <c r="G325" s="879"/>
      <c r="H325" s="879"/>
      <c r="I325" s="879"/>
      <c r="J325" s="879"/>
      <c r="K325" s="879"/>
      <c r="L325" s="879"/>
      <c r="M325" s="879"/>
      <c r="N325" s="879"/>
      <c r="O325" s="879"/>
      <c r="P325" s="879"/>
      <c r="Q325" s="879"/>
      <c r="R325" s="879"/>
      <c r="S325" s="879"/>
      <c r="T325" s="879"/>
      <c r="U325" s="879"/>
      <c r="V325" s="879"/>
      <c r="W325" s="879"/>
      <c r="X325" s="879"/>
      <c r="Y325" s="879"/>
      <c r="Z325" s="879"/>
    </row>
    <row r="326" spans="1:26" ht="12.75" customHeight="1">
      <c r="A326" s="879"/>
      <c r="B326" s="879"/>
      <c r="C326" s="879"/>
      <c r="D326" s="879"/>
      <c r="E326" s="879"/>
      <c r="F326" s="879"/>
      <c r="G326" s="879"/>
      <c r="H326" s="879"/>
      <c r="I326" s="879"/>
      <c r="J326" s="879"/>
      <c r="K326" s="879"/>
      <c r="L326" s="879"/>
      <c r="M326" s="879"/>
      <c r="N326" s="879"/>
      <c r="O326" s="879"/>
      <c r="P326" s="879"/>
      <c r="Q326" s="879"/>
      <c r="R326" s="879"/>
      <c r="S326" s="879"/>
      <c r="T326" s="879"/>
      <c r="U326" s="879"/>
      <c r="V326" s="879"/>
      <c r="W326" s="879"/>
      <c r="X326" s="879"/>
      <c r="Y326" s="879"/>
      <c r="Z326" s="879"/>
    </row>
    <row r="327" spans="1:26" ht="12.75" customHeight="1">
      <c r="A327" s="879"/>
      <c r="B327" s="879"/>
      <c r="C327" s="879"/>
      <c r="D327" s="879"/>
      <c r="E327" s="879"/>
      <c r="F327" s="879"/>
      <c r="G327" s="879"/>
      <c r="H327" s="879"/>
      <c r="I327" s="879"/>
      <c r="J327" s="879"/>
      <c r="K327" s="879"/>
      <c r="L327" s="879"/>
      <c r="M327" s="879"/>
      <c r="N327" s="879"/>
      <c r="O327" s="879"/>
      <c r="P327" s="879"/>
      <c r="Q327" s="879"/>
      <c r="R327" s="879"/>
      <c r="S327" s="879"/>
      <c r="T327" s="879"/>
      <c r="U327" s="879"/>
      <c r="V327" s="879"/>
      <c r="W327" s="879"/>
      <c r="X327" s="879"/>
      <c r="Y327" s="879"/>
      <c r="Z327" s="879"/>
    </row>
    <row r="328" spans="1:26" ht="12.75" customHeight="1">
      <c r="A328" s="879"/>
      <c r="B328" s="879"/>
      <c r="C328" s="879"/>
      <c r="D328" s="879"/>
      <c r="E328" s="879"/>
      <c r="F328" s="879"/>
      <c r="G328" s="879"/>
      <c r="H328" s="879"/>
      <c r="I328" s="879"/>
      <c r="J328" s="879"/>
      <c r="K328" s="879"/>
      <c r="L328" s="879"/>
      <c r="M328" s="879"/>
      <c r="N328" s="879"/>
      <c r="O328" s="879"/>
      <c r="P328" s="879"/>
      <c r="Q328" s="879"/>
      <c r="R328" s="879"/>
      <c r="S328" s="879"/>
      <c r="T328" s="879"/>
      <c r="U328" s="879"/>
      <c r="V328" s="879"/>
      <c r="W328" s="879"/>
      <c r="X328" s="879"/>
      <c r="Y328" s="879"/>
      <c r="Z328" s="879"/>
    </row>
    <row r="329" spans="1:26" ht="12.75" customHeight="1">
      <c r="A329" s="879"/>
      <c r="B329" s="879"/>
      <c r="C329" s="879"/>
      <c r="D329" s="879"/>
      <c r="E329" s="879"/>
      <c r="F329" s="879"/>
      <c r="G329" s="879"/>
      <c r="H329" s="879"/>
      <c r="I329" s="879"/>
      <c r="J329" s="879"/>
      <c r="K329" s="879"/>
      <c r="L329" s="879"/>
      <c r="M329" s="879"/>
      <c r="N329" s="879"/>
      <c r="O329" s="879"/>
      <c r="P329" s="879"/>
      <c r="Q329" s="879"/>
      <c r="R329" s="879"/>
      <c r="S329" s="879"/>
      <c r="T329" s="879"/>
      <c r="U329" s="879"/>
      <c r="V329" s="879"/>
      <c r="W329" s="879"/>
      <c r="X329" s="879"/>
      <c r="Y329" s="879"/>
      <c r="Z329" s="879"/>
    </row>
    <row r="330" spans="1:26" ht="12.75" customHeight="1">
      <c r="A330" s="879"/>
      <c r="B330" s="879"/>
      <c r="C330" s="879"/>
      <c r="D330" s="879"/>
      <c r="E330" s="879"/>
      <c r="F330" s="879"/>
      <c r="G330" s="879"/>
      <c r="H330" s="879"/>
      <c r="I330" s="879"/>
      <c r="J330" s="879"/>
      <c r="K330" s="879"/>
      <c r="L330" s="879"/>
      <c r="M330" s="879"/>
      <c r="N330" s="879"/>
      <c r="O330" s="879"/>
      <c r="P330" s="879"/>
      <c r="Q330" s="879"/>
      <c r="R330" s="879"/>
      <c r="S330" s="879"/>
      <c r="T330" s="879"/>
      <c r="U330" s="879"/>
      <c r="V330" s="879"/>
      <c r="W330" s="879"/>
      <c r="X330" s="879"/>
      <c r="Y330" s="879"/>
      <c r="Z330" s="879"/>
    </row>
    <row r="331" spans="1:26" ht="12.75" customHeight="1">
      <c r="A331" s="879"/>
      <c r="B331" s="879"/>
      <c r="C331" s="879"/>
      <c r="D331" s="879"/>
      <c r="E331" s="879"/>
      <c r="F331" s="879"/>
      <c r="G331" s="879"/>
      <c r="H331" s="879"/>
      <c r="I331" s="879"/>
      <c r="J331" s="879"/>
      <c r="K331" s="879"/>
      <c r="L331" s="879"/>
      <c r="M331" s="879"/>
      <c r="N331" s="879"/>
      <c r="O331" s="879"/>
      <c r="P331" s="879"/>
      <c r="Q331" s="879"/>
      <c r="R331" s="879"/>
      <c r="S331" s="879"/>
      <c r="T331" s="879"/>
      <c r="U331" s="879"/>
      <c r="V331" s="879"/>
      <c r="W331" s="879"/>
      <c r="X331" s="879"/>
      <c r="Y331" s="879"/>
      <c r="Z331" s="879"/>
    </row>
    <row r="332" spans="1:26" ht="12.75" customHeight="1">
      <c r="A332" s="879"/>
      <c r="B332" s="879"/>
      <c r="C332" s="879"/>
      <c r="D332" s="879"/>
      <c r="E332" s="879"/>
      <c r="F332" s="879"/>
      <c r="G332" s="879"/>
      <c r="H332" s="879"/>
      <c r="I332" s="879"/>
      <c r="J332" s="879"/>
      <c r="K332" s="879"/>
      <c r="L332" s="879"/>
      <c r="M332" s="879"/>
      <c r="N332" s="879"/>
      <c r="O332" s="879"/>
      <c r="P332" s="879"/>
      <c r="Q332" s="879"/>
      <c r="R332" s="879"/>
      <c r="S332" s="879"/>
      <c r="T332" s="879"/>
      <c r="U332" s="879"/>
      <c r="V332" s="879"/>
      <c r="W332" s="879"/>
      <c r="X332" s="879"/>
      <c r="Y332" s="879"/>
      <c r="Z332" s="879"/>
    </row>
    <row r="333" spans="1:26" ht="12.75" customHeight="1">
      <c r="A333" s="879"/>
      <c r="B333" s="879"/>
      <c r="C333" s="879"/>
      <c r="D333" s="879"/>
      <c r="E333" s="879"/>
      <c r="F333" s="879"/>
      <c r="G333" s="879"/>
      <c r="H333" s="879"/>
      <c r="I333" s="879"/>
      <c r="J333" s="879"/>
      <c r="K333" s="879"/>
      <c r="L333" s="879"/>
      <c r="M333" s="879"/>
      <c r="N333" s="879"/>
      <c r="O333" s="879"/>
      <c r="P333" s="879"/>
      <c r="Q333" s="879"/>
      <c r="R333" s="879"/>
      <c r="S333" s="879"/>
      <c r="T333" s="879"/>
      <c r="U333" s="879"/>
      <c r="V333" s="879"/>
      <c r="W333" s="879"/>
      <c r="X333" s="879"/>
      <c r="Y333" s="879"/>
      <c r="Z333" s="879"/>
    </row>
    <row r="334" spans="1:26" ht="12.75" customHeight="1">
      <c r="A334" s="879"/>
      <c r="B334" s="879"/>
      <c r="C334" s="879"/>
      <c r="D334" s="879"/>
      <c r="E334" s="879"/>
      <c r="F334" s="879"/>
      <c r="G334" s="879"/>
      <c r="H334" s="879"/>
      <c r="I334" s="879"/>
      <c r="J334" s="879"/>
      <c r="K334" s="879"/>
      <c r="L334" s="879"/>
      <c r="M334" s="879"/>
      <c r="N334" s="879"/>
      <c r="O334" s="879"/>
      <c r="P334" s="879"/>
      <c r="Q334" s="879"/>
      <c r="R334" s="879"/>
      <c r="S334" s="879"/>
      <c r="T334" s="879"/>
      <c r="U334" s="879"/>
      <c r="V334" s="879"/>
      <c r="W334" s="879"/>
      <c r="X334" s="879"/>
      <c r="Y334" s="879"/>
      <c r="Z334" s="879"/>
    </row>
    <row r="335" spans="1:26" ht="12.75" customHeight="1">
      <c r="A335" s="879"/>
      <c r="B335" s="879"/>
      <c r="C335" s="879"/>
      <c r="D335" s="879"/>
      <c r="E335" s="879"/>
      <c r="F335" s="879"/>
      <c r="G335" s="879"/>
      <c r="H335" s="879"/>
      <c r="I335" s="879"/>
      <c r="J335" s="879"/>
      <c r="K335" s="879"/>
      <c r="L335" s="879"/>
      <c r="M335" s="879"/>
      <c r="N335" s="879"/>
      <c r="O335" s="879"/>
      <c r="P335" s="879"/>
      <c r="Q335" s="879"/>
      <c r="R335" s="879"/>
      <c r="S335" s="879"/>
      <c r="T335" s="879"/>
      <c r="U335" s="879"/>
      <c r="V335" s="879"/>
      <c r="W335" s="879"/>
      <c r="X335" s="879"/>
      <c r="Y335" s="879"/>
      <c r="Z335" s="879"/>
    </row>
    <row r="336" spans="1:26" ht="12.75" customHeight="1">
      <c r="A336" s="879"/>
      <c r="B336" s="879"/>
      <c r="C336" s="879"/>
      <c r="D336" s="879"/>
      <c r="E336" s="879"/>
      <c r="F336" s="879"/>
      <c r="G336" s="879"/>
      <c r="H336" s="879"/>
      <c r="I336" s="879"/>
      <c r="J336" s="879"/>
      <c r="K336" s="879"/>
      <c r="L336" s="879"/>
      <c r="M336" s="879"/>
      <c r="N336" s="879"/>
      <c r="O336" s="879"/>
      <c r="P336" s="879"/>
      <c r="Q336" s="879"/>
      <c r="R336" s="879"/>
      <c r="S336" s="879"/>
      <c r="T336" s="879"/>
      <c r="U336" s="879"/>
      <c r="V336" s="879"/>
      <c r="W336" s="879"/>
      <c r="X336" s="879"/>
      <c r="Y336" s="879"/>
      <c r="Z336" s="879"/>
    </row>
    <row r="337" spans="1:26" ht="12.75" customHeight="1">
      <c r="A337" s="879"/>
      <c r="B337" s="879"/>
      <c r="C337" s="879"/>
      <c r="D337" s="879"/>
      <c r="E337" s="879"/>
      <c r="F337" s="879"/>
      <c r="G337" s="879"/>
      <c r="H337" s="879"/>
      <c r="I337" s="879"/>
      <c r="J337" s="879"/>
      <c r="K337" s="879"/>
      <c r="L337" s="879"/>
      <c r="M337" s="879"/>
      <c r="N337" s="879"/>
      <c r="O337" s="879"/>
      <c r="P337" s="879"/>
      <c r="Q337" s="879"/>
      <c r="R337" s="879"/>
      <c r="S337" s="879"/>
      <c r="T337" s="879"/>
      <c r="U337" s="879"/>
      <c r="V337" s="879"/>
      <c r="W337" s="879"/>
      <c r="X337" s="879"/>
      <c r="Y337" s="879"/>
      <c r="Z337" s="879"/>
    </row>
    <row r="338" spans="1:26" ht="12.75" customHeight="1">
      <c r="A338" s="879"/>
      <c r="B338" s="879"/>
      <c r="C338" s="879"/>
      <c r="D338" s="879"/>
      <c r="E338" s="879"/>
      <c r="F338" s="879"/>
      <c r="G338" s="879"/>
      <c r="H338" s="879"/>
      <c r="I338" s="879"/>
      <c r="J338" s="879"/>
      <c r="K338" s="879"/>
      <c r="L338" s="879"/>
      <c r="M338" s="879"/>
      <c r="N338" s="879"/>
      <c r="O338" s="879"/>
      <c r="P338" s="879"/>
      <c r="Q338" s="879"/>
      <c r="R338" s="879"/>
      <c r="S338" s="879"/>
      <c r="T338" s="879"/>
      <c r="U338" s="879"/>
      <c r="V338" s="879"/>
      <c r="W338" s="879"/>
      <c r="X338" s="879"/>
      <c r="Y338" s="879"/>
      <c r="Z338" s="879"/>
    </row>
    <row r="339" spans="1:26" ht="12.75" customHeight="1">
      <c r="A339" s="879"/>
      <c r="B339" s="879"/>
      <c r="C339" s="879"/>
      <c r="D339" s="879"/>
      <c r="E339" s="879"/>
      <c r="F339" s="879"/>
      <c r="G339" s="879"/>
      <c r="H339" s="879"/>
      <c r="I339" s="879"/>
      <c r="J339" s="879"/>
      <c r="K339" s="879"/>
      <c r="L339" s="879"/>
      <c r="M339" s="879"/>
      <c r="N339" s="879"/>
      <c r="O339" s="879"/>
      <c r="P339" s="879"/>
      <c r="Q339" s="879"/>
      <c r="R339" s="879"/>
      <c r="S339" s="879"/>
      <c r="T339" s="879"/>
      <c r="U339" s="879"/>
      <c r="V339" s="879"/>
      <c r="W339" s="879"/>
      <c r="X339" s="879"/>
      <c r="Y339" s="879"/>
      <c r="Z339" s="879"/>
    </row>
    <row r="340" spans="1:26" ht="12.75" customHeight="1">
      <c r="A340" s="879"/>
      <c r="B340" s="879"/>
      <c r="C340" s="879"/>
      <c r="D340" s="879"/>
      <c r="E340" s="879"/>
      <c r="F340" s="879"/>
      <c r="G340" s="879"/>
      <c r="H340" s="879"/>
      <c r="I340" s="879"/>
      <c r="J340" s="879"/>
      <c r="K340" s="879"/>
      <c r="L340" s="879"/>
      <c r="M340" s="879"/>
      <c r="N340" s="879"/>
      <c r="O340" s="879"/>
      <c r="P340" s="879"/>
      <c r="Q340" s="879"/>
      <c r="R340" s="879"/>
      <c r="S340" s="879"/>
      <c r="T340" s="879"/>
      <c r="U340" s="879"/>
      <c r="V340" s="879"/>
      <c r="W340" s="879"/>
      <c r="X340" s="879"/>
      <c r="Y340" s="879"/>
      <c r="Z340" s="879"/>
    </row>
    <row r="341" spans="1:26" ht="12.75" customHeight="1">
      <c r="A341" s="879"/>
      <c r="B341" s="879"/>
      <c r="C341" s="879"/>
      <c r="D341" s="879"/>
      <c r="E341" s="879"/>
      <c r="F341" s="879"/>
      <c r="G341" s="879"/>
      <c r="H341" s="879"/>
      <c r="I341" s="879"/>
      <c r="J341" s="879"/>
      <c r="K341" s="879"/>
      <c r="L341" s="879"/>
      <c r="M341" s="879"/>
      <c r="N341" s="879"/>
      <c r="O341" s="879"/>
      <c r="P341" s="879"/>
      <c r="Q341" s="879"/>
      <c r="R341" s="879"/>
      <c r="S341" s="879"/>
      <c r="T341" s="879"/>
      <c r="U341" s="879"/>
      <c r="V341" s="879"/>
      <c r="W341" s="879"/>
      <c r="X341" s="879"/>
      <c r="Y341" s="879"/>
      <c r="Z341" s="879"/>
    </row>
    <row r="342" spans="1:26" ht="12.75" customHeight="1">
      <c r="A342" s="879"/>
      <c r="B342" s="879"/>
      <c r="C342" s="879"/>
      <c r="D342" s="879"/>
      <c r="E342" s="879"/>
      <c r="F342" s="879"/>
      <c r="G342" s="879"/>
      <c r="H342" s="879"/>
      <c r="I342" s="879"/>
      <c r="J342" s="879"/>
      <c r="K342" s="879"/>
      <c r="L342" s="879"/>
      <c r="M342" s="879"/>
      <c r="N342" s="879"/>
      <c r="O342" s="879"/>
      <c r="P342" s="879"/>
      <c r="Q342" s="879"/>
      <c r="R342" s="879"/>
      <c r="S342" s="879"/>
      <c r="T342" s="879"/>
      <c r="U342" s="879"/>
      <c r="V342" s="879"/>
      <c r="W342" s="879"/>
      <c r="X342" s="879"/>
      <c r="Y342" s="879"/>
      <c r="Z342" s="879"/>
    </row>
    <row r="343" spans="1:26" ht="12.75" customHeight="1">
      <c r="A343" s="879"/>
      <c r="B343" s="879"/>
      <c r="C343" s="879"/>
      <c r="D343" s="879"/>
      <c r="E343" s="879"/>
      <c r="F343" s="879"/>
      <c r="G343" s="879"/>
      <c r="H343" s="879"/>
      <c r="I343" s="879"/>
      <c r="J343" s="879"/>
      <c r="K343" s="879"/>
      <c r="L343" s="879"/>
      <c r="M343" s="879"/>
      <c r="N343" s="879"/>
      <c r="O343" s="879"/>
      <c r="P343" s="879"/>
      <c r="Q343" s="879"/>
      <c r="R343" s="879"/>
      <c r="S343" s="879"/>
      <c r="T343" s="879"/>
      <c r="U343" s="879"/>
      <c r="V343" s="879"/>
      <c r="W343" s="879"/>
      <c r="X343" s="879"/>
      <c r="Y343" s="879"/>
      <c r="Z343" s="879"/>
    </row>
    <row r="344" spans="1:26" ht="12.75" customHeight="1">
      <c r="A344" s="879"/>
      <c r="B344" s="879"/>
      <c r="C344" s="879"/>
      <c r="D344" s="879"/>
      <c r="E344" s="879"/>
      <c r="F344" s="879"/>
      <c r="G344" s="879"/>
      <c r="H344" s="879"/>
      <c r="I344" s="879"/>
      <c r="J344" s="879"/>
      <c r="K344" s="879"/>
      <c r="L344" s="879"/>
      <c r="M344" s="879"/>
      <c r="N344" s="879"/>
      <c r="O344" s="879"/>
      <c r="P344" s="879"/>
      <c r="Q344" s="879"/>
      <c r="R344" s="879"/>
      <c r="S344" s="879"/>
      <c r="T344" s="879"/>
      <c r="U344" s="879"/>
      <c r="V344" s="879"/>
      <c r="W344" s="879"/>
      <c r="X344" s="879"/>
      <c r="Y344" s="879"/>
      <c r="Z344" s="879"/>
    </row>
    <row r="345" spans="1:26" ht="12.75" customHeight="1">
      <c r="A345" s="879"/>
      <c r="B345" s="879"/>
      <c r="C345" s="879"/>
      <c r="D345" s="879"/>
      <c r="E345" s="879"/>
      <c r="F345" s="879"/>
      <c r="G345" s="879"/>
      <c r="H345" s="879"/>
      <c r="I345" s="879"/>
      <c r="J345" s="879"/>
      <c r="K345" s="879"/>
      <c r="L345" s="879"/>
      <c r="M345" s="879"/>
      <c r="N345" s="879"/>
      <c r="O345" s="879"/>
      <c r="P345" s="879"/>
      <c r="Q345" s="879"/>
      <c r="R345" s="879"/>
      <c r="S345" s="879"/>
      <c r="T345" s="879"/>
      <c r="U345" s="879"/>
      <c r="V345" s="879"/>
      <c r="W345" s="879"/>
      <c r="X345" s="879"/>
      <c r="Y345" s="879"/>
      <c r="Z345" s="879"/>
    </row>
    <row r="346" spans="1:26" ht="12.75" customHeight="1">
      <c r="A346" s="879"/>
      <c r="B346" s="879"/>
      <c r="C346" s="879"/>
      <c r="D346" s="879"/>
      <c r="E346" s="879"/>
      <c r="F346" s="879"/>
      <c r="G346" s="879"/>
      <c r="H346" s="879"/>
      <c r="I346" s="879"/>
      <c r="J346" s="879"/>
      <c r="K346" s="879"/>
      <c r="L346" s="879"/>
      <c r="M346" s="879"/>
      <c r="N346" s="879"/>
      <c r="O346" s="879"/>
      <c r="P346" s="879"/>
      <c r="Q346" s="879"/>
      <c r="R346" s="879"/>
      <c r="S346" s="879"/>
      <c r="T346" s="879"/>
      <c r="U346" s="879"/>
      <c r="V346" s="879"/>
      <c r="W346" s="879"/>
      <c r="X346" s="879"/>
      <c r="Y346" s="879"/>
      <c r="Z346" s="879"/>
    </row>
    <row r="347" spans="1:26" ht="12.75" customHeight="1">
      <c r="A347" s="879"/>
      <c r="B347" s="879"/>
      <c r="C347" s="879"/>
      <c r="D347" s="879"/>
      <c r="E347" s="879"/>
      <c r="F347" s="879"/>
      <c r="G347" s="879"/>
      <c r="H347" s="879"/>
      <c r="I347" s="879"/>
      <c r="J347" s="879"/>
      <c r="K347" s="879"/>
      <c r="L347" s="879"/>
      <c r="M347" s="879"/>
      <c r="N347" s="879"/>
      <c r="O347" s="879"/>
      <c r="P347" s="879"/>
      <c r="Q347" s="879"/>
      <c r="R347" s="879"/>
      <c r="S347" s="879"/>
      <c r="T347" s="879"/>
      <c r="U347" s="879"/>
      <c r="V347" s="879"/>
      <c r="W347" s="879"/>
      <c r="X347" s="879"/>
      <c r="Y347" s="879"/>
      <c r="Z347" s="879"/>
    </row>
    <row r="348" spans="1:26" ht="12.75" customHeight="1">
      <c r="A348" s="879"/>
      <c r="B348" s="879"/>
      <c r="C348" s="879"/>
      <c r="D348" s="879"/>
      <c r="E348" s="879"/>
      <c r="F348" s="879"/>
      <c r="G348" s="879"/>
      <c r="H348" s="879"/>
      <c r="I348" s="879"/>
      <c r="J348" s="879"/>
      <c r="K348" s="879"/>
      <c r="L348" s="879"/>
      <c r="M348" s="879"/>
      <c r="N348" s="879"/>
      <c r="O348" s="879"/>
      <c r="P348" s="879"/>
      <c r="Q348" s="879"/>
      <c r="R348" s="879"/>
      <c r="S348" s="879"/>
      <c r="T348" s="879"/>
      <c r="U348" s="879"/>
      <c r="V348" s="879"/>
      <c r="W348" s="879"/>
      <c r="X348" s="879"/>
      <c r="Y348" s="879"/>
      <c r="Z348" s="879"/>
    </row>
    <row r="349" spans="1:26" ht="12.75" customHeight="1">
      <c r="A349" s="879"/>
      <c r="B349" s="879"/>
      <c r="C349" s="879"/>
      <c r="D349" s="879"/>
      <c r="E349" s="879"/>
      <c r="F349" s="879"/>
      <c r="G349" s="879"/>
      <c r="H349" s="879"/>
      <c r="I349" s="879"/>
      <c r="J349" s="879"/>
      <c r="K349" s="879"/>
      <c r="L349" s="879"/>
      <c r="M349" s="879"/>
      <c r="N349" s="879"/>
      <c r="O349" s="879"/>
      <c r="P349" s="879"/>
      <c r="Q349" s="879"/>
      <c r="R349" s="879"/>
      <c r="S349" s="879"/>
      <c r="T349" s="879"/>
      <c r="U349" s="879"/>
      <c r="V349" s="879"/>
      <c r="W349" s="879"/>
      <c r="X349" s="879"/>
      <c r="Y349" s="879"/>
      <c r="Z349" s="879"/>
    </row>
    <row r="350" spans="1:26" ht="12.75" customHeight="1">
      <c r="A350" s="879"/>
      <c r="B350" s="879"/>
      <c r="C350" s="879"/>
      <c r="D350" s="879"/>
      <c r="E350" s="879"/>
      <c r="F350" s="879"/>
      <c r="G350" s="879"/>
      <c r="H350" s="879"/>
      <c r="I350" s="879"/>
      <c r="J350" s="879"/>
      <c r="K350" s="879"/>
      <c r="L350" s="879"/>
      <c r="M350" s="879"/>
      <c r="N350" s="879"/>
      <c r="O350" s="879"/>
      <c r="P350" s="879"/>
      <c r="Q350" s="879"/>
      <c r="R350" s="879"/>
      <c r="S350" s="879"/>
      <c r="T350" s="879"/>
      <c r="U350" s="879"/>
      <c r="V350" s="879"/>
      <c r="W350" s="879"/>
      <c r="X350" s="879"/>
      <c r="Y350" s="879"/>
      <c r="Z350" s="879"/>
    </row>
    <row r="351" spans="1:26" ht="12.75" customHeight="1">
      <c r="A351" s="879"/>
      <c r="B351" s="879"/>
      <c r="C351" s="879"/>
      <c r="D351" s="879"/>
      <c r="E351" s="879"/>
      <c r="F351" s="879"/>
      <c r="G351" s="879"/>
      <c r="H351" s="879"/>
      <c r="I351" s="879"/>
      <c r="J351" s="879"/>
      <c r="K351" s="879"/>
      <c r="L351" s="879"/>
      <c r="M351" s="879"/>
      <c r="N351" s="879"/>
      <c r="O351" s="879"/>
      <c r="P351" s="879"/>
      <c r="Q351" s="879"/>
      <c r="R351" s="879"/>
      <c r="S351" s="879"/>
      <c r="T351" s="879"/>
      <c r="U351" s="879"/>
      <c r="V351" s="879"/>
      <c r="W351" s="879"/>
      <c r="X351" s="879"/>
      <c r="Y351" s="879"/>
      <c r="Z351" s="879"/>
    </row>
    <row r="352" spans="1:26" ht="12.75" customHeight="1">
      <c r="A352" s="879"/>
      <c r="B352" s="879"/>
      <c r="C352" s="879"/>
      <c r="D352" s="879"/>
      <c r="E352" s="879"/>
      <c r="F352" s="879"/>
      <c r="G352" s="879"/>
      <c r="H352" s="879"/>
      <c r="I352" s="879"/>
      <c r="J352" s="879"/>
      <c r="K352" s="879"/>
      <c r="L352" s="879"/>
      <c r="M352" s="879"/>
      <c r="N352" s="879"/>
      <c r="O352" s="879"/>
      <c r="P352" s="879"/>
      <c r="Q352" s="879"/>
      <c r="R352" s="879"/>
      <c r="S352" s="879"/>
      <c r="T352" s="879"/>
      <c r="U352" s="879"/>
      <c r="V352" s="879"/>
      <c r="W352" s="879"/>
      <c r="X352" s="879"/>
      <c r="Y352" s="879"/>
      <c r="Z352" s="879"/>
    </row>
    <row r="353" spans="1:26" ht="12.75" customHeight="1">
      <c r="A353" s="879"/>
      <c r="B353" s="879"/>
      <c r="C353" s="879"/>
      <c r="D353" s="879"/>
      <c r="E353" s="879"/>
      <c r="F353" s="879"/>
      <c r="G353" s="879"/>
      <c r="H353" s="879"/>
      <c r="I353" s="879"/>
      <c r="J353" s="879"/>
      <c r="K353" s="879"/>
      <c r="L353" s="879"/>
      <c r="M353" s="879"/>
      <c r="N353" s="879"/>
      <c r="O353" s="879"/>
      <c r="P353" s="879"/>
      <c r="Q353" s="879"/>
      <c r="R353" s="879"/>
      <c r="S353" s="879"/>
      <c r="T353" s="879"/>
      <c r="U353" s="879"/>
      <c r="V353" s="879"/>
      <c r="W353" s="879"/>
      <c r="X353" s="879"/>
      <c r="Y353" s="879"/>
      <c r="Z353" s="879"/>
    </row>
    <row r="354" spans="1:26" ht="12.75" customHeight="1">
      <c r="A354" s="879"/>
      <c r="B354" s="879"/>
      <c r="C354" s="879"/>
      <c r="D354" s="879"/>
      <c r="E354" s="879"/>
      <c r="F354" s="879"/>
      <c r="G354" s="879"/>
      <c r="H354" s="879"/>
      <c r="I354" s="879"/>
      <c r="J354" s="879"/>
      <c r="K354" s="879"/>
      <c r="L354" s="879"/>
      <c r="M354" s="879"/>
      <c r="N354" s="879"/>
      <c r="O354" s="879"/>
      <c r="P354" s="879"/>
      <c r="Q354" s="879"/>
      <c r="R354" s="879"/>
      <c r="S354" s="879"/>
      <c r="T354" s="879"/>
      <c r="U354" s="879"/>
      <c r="V354" s="879"/>
      <c r="W354" s="879"/>
      <c r="X354" s="879"/>
      <c r="Y354" s="879"/>
      <c r="Z354" s="879"/>
    </row>
    <row r="355" spans="1:26" ht="12.75" customHeight="1">
      <c r="A355" s="879"/>
      <c r="B355" s="879"/>
      <c r="C355" s="879"/>
      <c r="D355" s="879"/>
      <c r="E355" s="879"/>
      <c r="F355" s="879"/>
      <c r="G355" s="879"/>
      <c r="H355" s="879"/>
      <c r="I355" s="879"/>
      <c r="J355" s="879"/>
      <c r="K355" s="879"/>
      <c r="L355" s="879"/>
      <c r="M355" s="879"/>
      <c r="N355" s="879"/>
      <c r="O355" s="879"/>
      <c r="P355" s="879"/>
      <c r="Q355" s="879"/>
      <c r="R355" s="879"/>
      <c r="S355" s="879"/>
      <c r="T355" s="879"/>
      <c r="U355" s="879"/>
      <c r="V355" s="879"/>
      <c r="W355" s="879"/>
      <c r="X355" s="879"/>
      <c r="Y355" s="879"/>
      <c r="Z355" s="879"/>
    </row>
    <row r="356" spans="1:26" ht="12.75" customHeight="1">
      <c r="A356" s="879"/>
      <c r="B356" s="879"/>
      <c r="C356" s="879"/>
      <c r="D356" s="879"/>
      <c r="E356" s="879"/>
      <c r="F356" s="879"/>
      <c r="G356" s="879"/>
      <c r="H356" s="879"/>
      <c r="I356" s="879"/>
      <c r="J356" s="879"/>
      <c r="K356" s="879"/>
      <c r="L356" s="879"/>
      <c r="M356" s="879"/>
      <c r="N356" s="879"/>
      <c r="O356" s="879"/>
      <c r="P356" s="879"/>
      <c r="Q356" s="879"/>
      <c r="R356" s="879"/>
      <c r="S356" s="879"/>
      <c r="T356" s="879"/>
      <c r="U356" s="879"/>
      <c r="V356" s="879"/>
      <c r="W356" s="879"/>
      <c r="X356" s="879"/>
      <c r="Y356" s="879"/>
      <c r="Z356" s="879"/>
    </row>
    <row r="357" spans="1:26" ht="12.75" customHeight="1">
      <c r="A357" s="879"/>
      <c r="B357" s="879"/>
      <c r="C357" s="879"/>
      <c r="D357" s="879"/>
      <c r="E357" s="879"/>
      <c r="F357" s="879"/>
      <c r="G357" s="879"/>
      <c r="H357" s="879"/>
      <c r="I357" s="879"/>
      <c r="J357" s="879"/>
      <c r="K357" s="879"/>
      <c r="L357" s="879"/>
      <c r="M357" s="879"/>
      <c r="N357" s="879"/>
      <c r="O357" s="879"/>
      <c r="P357" s="879"/>
      <c r="Q357" s="879"/>
      <c r="R357" s="879"/>
      <c r="S357" s="879"/>
      <c r="T357" s="879"/>
      <c r="U357" s="879"/>
      <c r="V357" s="879"/>
      <c r="W357" s="879"/>
      <c r="X357" s="879"/>
      <c r="Y357" s="879"/>
      <c r="Z357" s="879"/>
    </row>
    <row r="358" spans="1:26" ht="12.75" customHeight="1">
      <c r="A358" s="879"/>
      <c r="B358" s="879"/>
      <c r="C358" s="879"/>
      <c r="D358" s="879"/>
      <c r="E358" s="879"/>
      <c r="F358" s="879"/>
      <c r="G358" s="879"/>
      <c r="H358" s="879"/>
      <c r="I358" s="879"/>
      <c r="J358" s="879"/>
      <c r="K358" s="879"/>
      <c r="L358" s="879"/>
      <c r="M358" s="879"/>
      <c r="N358" s="879"/>
      <c r="O358" s="879"/>
      <c r="P358" s="879"/>
      <c r="Q358" s="879"/>
      <c r="R358" s="879"/>
      <c r="S358" s="879"/>
      <c r="T358" s="879"/>
      <c r="U358" s="879"/>
      <c r="V358" s="879"/>
      <c r="W358" s="879"/>
      <c r="X358" s="879"/>
      <c r="Y358" s="879"/>
      <c r="Z358" s="879"/>
    </row>
    <row r="359" spans="1:26" ht="12.75" customHeight="1">
      <c r="A359" s="879"/>
      <c r="B359" s="879"/>
      <c r="C359" s="879"/>
      <c r="D359" s="879"/>
      <c r="E359" s="879"/>
      <c r="F359" s="879"/>
      <c r="G359" s="879"/>
      <c r="H359" s="879"/>
      <c r="I359" s="879"/>
      <c r="J359" s="879"/>
      <c r="K359" s="879"/>
      <c r="L359" s="879"/>
      <c r="M359" s="879"/>
      <c r="N359" s="879"/>
      <c r="O359" s="879"/>
      <c r="P359" s="879"/>
      <c r="Q359" s="879"/>
      <c r="R359" s="879"/>
      <c r="S359" s="879"/>
      <c r="T359" s="879"/>
      <c r="U359" s="879"/>
      <c r="V359" s="879"/>
      <c r="W359" s="879"/>
      <c r="X359" s="879"/>
      <c r="Y359" s="879"/>
      <c r="Z359" s="879"/>
    </row>
    <row r="360" spans="1:26" ht="12.75" customHeight="1">
      <c r="A360" s="879"/>
      <c r="B360" s="879"/>
      <c r="C360" s="879"/>
      <c r="D360" s="879"/>
      <c r="E360" s="879"/>
      <c r="F360" s="879"/>
      <c r="G360" s="879"/>
      <c r="H360" s="879"/>
      <c r="I360" s="879"/>
      <c r="J360" s="879"/>
      <c r="K360" s="879"/>
      <c r="L360" s="879"/>
      <c r="M360" s="879"/>
      <c r="N360" s="879"/>
      <c r="O360" s="879"/>
      <c r="P360" s="879"/>
      <c r="Q360" s="879"/>
      <c r="R360" s="879"/>
      <c r="S360" s="879"/>
      <c r="T360" s="879"/>
      <c r="U360" s="879"/>
      <c r="V360" s="879"/>
      <c r="W360" s="879"/>
      <c r="X360" s="879"/>
      <c r="Y360" s="879"/>
      <c r="Z360" s="879"/>
    </row>
    <row r="361" spans="1:26" ht="12.75" customHeight="1">
      <c r="A361" s="879"/>
      <c r="B361" s="879"/>
      <c r="C361" s="879"/>
      <c r="D361" s="879"/>
      <c r="E361" s="879"/>
      <c r="F361" s="879"/>
      <c r="G361" s="879"/>
      <c r="H361" s="879"/>
      <c r="I361" s="879"/>
      <c r="J361" s="879"/>
      <c r="K361" s="879"/>
      <c r="L361" s="879"/>
      <c r="M361" s="879"/>
      <c r="N361" s="879"/>
      <c r="O361" s="879"/>
      <c r="P361" s="879"/>
      <c r="Q361" s="879"/>
      <c r="R361" s="879"/>
      <c r="S361" s="879"/>
      <c r="T361" s="879"/>
      <c r="U361" s="879"/>
      <c r="V361" s="879"/>
      <c r="W361" s="879"/>
      <c r="X361" s="879"/>
      <c r="Y361" s="879"/>
      <c r="Z361" s="879"/>
    </row>
    <row r="362" spans="1:26" ht="12.75" customHeight="1">
      <c r="A362" s="879"/>
      <c r="B362" s="879"/>
      <c r="C362" s="879"/>
      <c r="D362" s="879"/>
      <c r="E362" s="879"/>
      <c r="F362" s="879"/>
      <c r="G362" s="879"/>
      <c r="H362" s="879"/>
      <c r="I362" s="879"/>
      <c r="J362" s="879"/>
      <c r="K362" s="879"/>
      <c r="L362" s="879"/>
      <c r="M362" s="879"/>
      <c r="N362" s="879"/>
      <c r="O362" s="879"/>
      <c r="P362" s="879"/>
      <c r="Q362" s="879"/>
      <c r="R362" s="879"/>
      <c r="S362" s="879"/>
      <c r="T362" s="879"/>
      <c r="U362" s="879"/>
      <c r="V362" s="879"/>
      <c r="W362" s="879"/>
      <c r="X362" s="879"/>
      <c r="Y362" s="879"/>
      <c r="Z362" s="879"/>
    </row>
    <row r="363" spans="1:26" ht="12.75" customHeight="1">
      <c r="A363" s="879"/>
      <c r="B363" s="879"/>
      <c r="C363" s="879"/>
      <c r="D363" s="879"/>
      <c r="E363" s="879"/>
      <c r="F363" s="879"/>
      <c r="G363" s="879"/>
      <c r="H363" s="879"/>
      <c r="I363" s="879"/>
      <c r="J363" s="879"/>
      <c r="K363" s="879"/>
      <c r="L363" s="879"/>
      <c r="M363" s="879"/>
      <c r="N363" s="879"/>
      <c r="O363" s="879"/>
      <c r="P363" s="879"/>
      <c r="Q363" s="879"/>
      <c r="R363" s="879"/>
      <c r="S363" s="879"/>
      <c r="T363" s="879"/>
      <c r="U363" s="879"/>
      <c r="V363" s="879"/>
      <c r="W363" s="879"/>
      <c r="X363" s="879"/>
      <c r="Y363" s="879"/>
      <c r="Z363" s="879"/>
    </row>
    <row r="364" spans="1:26" ht="12.75" customHeight="1">
      <c r="A364" s="879"/>
      <c r="B364" s="879"/>
      <c r="C364" s="879"/>
      <c r="D364" s="879"/>
      <c r="E364" s="879"/>
      <c r="F364" s="879"/>
      <c r="G364" s="879"/>
      <c r="H364" s="879"/>
      <c r="I364" s="879"/>
      <c r="J364" s="879"/>
      <c r="K364" s="879"/>
      <c r="L364" s="879"/>
      <c r="M364" s="879"/>
      <c r="N364" s="879"/>
      <c r="O364" s="879"/>
      <c r="P364" s="879"/>
      <c r="Q364" s="879"/>
      <c r="R364" s="879"/>
      <c r="S364" s="879"/>
      <c r="T364" s="879"/>
      <c r="U364" s="879"/>
      <c r="V364" s="879"/>
      <c r="W364" s="879"/>
      <c r="X364" s="879"/>
      <c r="Y364" s="879"/>
      <c r="Z364" s="879"/>
    </row>
    <row r="365" spans="1:26" ht="12.75" customHeight="1">
      <c r="A365" s="879"/>
      <c r="B365" s="879"/>
      <c r="C365" s="879"/>
      <c r="D365" s="879"/>
      <c r="E365" s="879"/>
      <c r="F365" s="879"/>
      <c r="G365" s="879"/>
      <c r="H365" s="879"/>
      <c r="I365" s="879"/>
      <c r="J365" s="879"/>
      <c r="K365" s="879"/>
      <c r="L365" s="879"/>
      <c r="M365" s="879"/>
      <c r="N365" s="879"/>
      <c r="O365" s="879"/>
      <c r="P365" s="879"/>
      <c r="Q365" s="879"/>
      <c r="R365" s="879"/>
      <c r="S365" s="879"/>
      <c r="T365" s="879"/>
      <c r="U365" s="879"/>
      <c r="V365" s="879"/>
      <c r="W365" s="879"/>
      <c r="X365" s="879"/>
      <c r="Y365" s="879"/>
      <c r="Z365" s="879"/>
    </row>
    <row r="366" spans="1:26" ht="12.75" customHeight="1">
      <c r="A366" s="879"/>
      <c r="B366" s="879"/>
      <c r="C366" s="879"/>
      <c r="D366" s="879"/>
      <c r="E366" s="879"/>
      <c r="F366" s="879"/>
      <c r="G366" s="879"/>
      <c r="H366" s="879"/>
      <c r="I366" s="879"/>
      <c r="J366" s="879"/>
      <c r="K366" s="879"/>
      <c r="L366" s="879"/>
      <c r="M366" s="879"/>
      <c r="N366" s="879"/>
      <c r="O366" s="879"/>
      <c r="P366" s="879"/>
      <c r="Q366" s="879"/>
      <c r="R366" s="879"/>
      <c r="S366" s="879"/>
      <c r="T366" s="879"/>
      <c r="U366" s="879"/>
      <c r="V366" s="879"/>
      <c r="W366" s="879"/>
      <c r="X366" s="879"/>
      <c r="Y366" s="879"/>
      <c r="Z366" s="879"/>
    </row>
    <row r="367" spans="1:26" ht="12.75" customHeight="1">
      <c r="A367" s="879"/>
      <c r="B367" s="879"/>
      <c r="C367" s="879"/>
      <c r="D367" s="879"/>
      <c r="E367" s="879"/>
      <c r="F367" s="879"/>
      <c r="G367" s="879"/>
      <c r="H367" s="879"/>
      <c r="I367" s="879"/>
      <c r="J367" s="879"/>
      <c r="K367" s="879"/>
      <c r="L367" s="879"/>
      <c r="M367" s="879"/>
      <c r="N367" s="879"/>
      <c r="O367" s="879"/>
      <c r="P367" s="879"/>
      <c r="Q367" s="879"/>
      <c r="R367" s="879"/>
      <c r="S367" s="879"/>
      <c r="T367" s="879"/>
      <c r="U367" s="879"/>
      <c r="V367" s="879"/>
      <c r="W367" s="879"/>
      <c r="X367" s="879"/>
      <c r="Y367" s="879"/>
      <c r="Z367" s="879"/>
    </row>
    <row r="368" spans="1:26" ht="12.75" customHeight="1">
      <c r="A368" s="879"/>
      <c r="B368" s="879"/>
      <c r="C368" s="879"/>
      <c r="D368" s="879"/>
      <c r="E368" s="879"/>
      <c r="F368" s="879"/>
      <c r="G368" s="879"/>
      <c r="H368" s="879"/>
      <c r="I368" s="879"/>
      <c r="J368" s="879"/>
      <c r="K368" s="879"/>
      <c r="L368" s="879"/>
      <c r="M368" s="879"/>
      <c r="N368" s="879"/>
      <c r="O368" s="879"/>
      <c r="P368" s="879"/>
      <c r="Q368" s="879"/>
      <c r="R368" s="879"/>
      <c r="S368" s="879"/>
      <c r="T368" s="879"/>
      <c r="U368" s="879"/>
      <c r="V368" s="879"/>
      <c r="W368" s="879"/>
      <c r="X368" s="879"/>
      <c r="Y368" s="879"/>
      <c r="Z368" s="879"/>
    </row>
    <row r="369" spans="1:26" ht="12.75" customHeight="1">
      <c r="A369" s="879"/>
      <c r="B369" s="879"/>
      <c r="C369" s="879"/>
      <c r="D369" s="879"/>
      <c r="E369" s="879"/>
      <c r="F369" s="879"/>
      <c r="G369" s="879"/>
      <c r="H369" s="879"/>
      <c r="I369" s="879"/>
      <c r="J369" s="879"/>
      <c r="K369" s="879"/>
      <c r="L369" s="879"/>
      <c r="M369" s="879"/>
      <c r="N369" s="879"/>
      <c r="O369" s="879"/>
      <c r="P369" s="879"/>
      <c r="Q369" s="879"/>
      <c r="R369" s="879"/>
      <c r="S369" s="879"/>
      <c r="T369" s="879"/>
      <c r="U369" s="879"/>
      <c r="V369" s="879"/>
      <c r="W369" s="879"/>
      <c r="X369" s="879"/>
      <c r="Y369" s="879"/>
      <c r="Z369" s="879"/>
    </row>
    <row r="370" spans="1:26" ht="12.75" customHeight="1">
      <c r="A370" s="879"/>
      <c r="B370" s="879"/>
      <c r="C370" s="879"/>
      <c r="D370" s="879"/>
      <c r="E370" s="879"/>
      <c r="F370" s="879"/>
      <c r="G370" s="879"/>
      <c r="H370" s="879"/>
      <c r="I370" s="879"/>
      <c r="J370" s="879"/>
      <c r="K370" s="879"/>
      <c r="L370" s="879"/>
      <c r="M370" s="879"/>
      <c r="N370" s="879"/>
      <c r="O370" s="879"/>
      <c r="P370" s="879"/>
      <c r="Q370" s="879"/>
      <c r="R370" s="879"/>
      <c r="S370" s="879"/>
      <c r="T370" s="879"/>
      <c r="U370" s="879"/>
      <c r="V370" s="879"/>
      <c r="W370" s="879"/>
      <c r="X370" s="879"/>
      <c r="Y370" s="879"/>
      <c r="Z370" s="879"/>
    </row>
    <row r="371" spans="1:26" ht="12.75" customHeight="1">
      <c r="A371" s="879"/>
      <c r="B371" s="879"/>
      <c r="C371" s="879"/>
      <c r="D371" s="879"/>
      <c r="E371" s="879"/>
      <c r="F371" s="879"/>
      <c r="G371" s="879"/>
      <c r="H371" s="879"/>
      <c r="I371" s="879"/>
      <c r="J371" s="879"/>
      <c r="K371" s="879"/>
      <c r="L371" s="879"/>
      <c r="M371" s="879"/>
      <c r="N371" s="879"/>
      <c r="O371" s="879"/>
      <c r="P371" s="879"/>
      <c r="Q371" s="879"/>
      <c r="R371" s="879"/>
      <c r="S371" s="879"/>
      <c r="T371" s="879"/>
      <c r="U371" s="879"/>
      <c r="V371" s="879"/>
      <c r="W371" s="879"/>
      <c r="X371" s="879"/>
      <c r="Y371" s="879"/>
      <c r="Z371" s="879"/>
    </row>
    <row r="372" spans="1:26" ht="12.75" customHeight="1">
      <c r="A372" s="879"/>
      <c r="B372" s="879"/>
      <c r="C372" s="879"/>
      <c r="D372" s="879"/>
      <c r="E372" s="879"/>
      <c r="F372" s="879"/>
      <c r="G372" s="879"/>
      <c r="H372" s="879"/>
      <c r="I372" s="879"/>
      <c r="J372" s="879"/>
      <c r="K372" s="879"/>
      <c r="L372" s="879"/>
      <c r="M372" s="879"/>
      <c r="N372" s="879"/>
      <c r="O372" s="879"/>
      <c r="P372" s="879"/>
      <c r="Q372" s="879"/>
      <c r="R372" s="879"/>
      <c r="S372" s="879"/>
      <c r="T372" s="879"/>
      <c r="U372" s="879"/>
      <c r="V372" s="879"/>
      <c r="W372" s="879"/>
      <c r="X372" s="879"/>
      <c r="Y372" s="879"/>
      <c r="Z372" s="879"/>
    </row>
    <row r="373" spans="1:26" ht="12.75" customHeight="1">
      <c r="A373" s="879"/>
      <c r="B373" s="879"/>
      <c r="C373" s="879"/>
      <c r="D373" s="879"/>
      <c r="E373" s="879"/>
      <c r="F373" s="879"/>
      <c r="G373" s="879"/>
      <c r="H373" s="879"/>
      <c r="I373" s="879"/>
      <c r="J373" s="879"/>
      <c r="K373" s="879"/>
      <c r="L373" s="879"/>
      <c r="M373" s="879"/>
      <c r="N373" s="879"/>
      <c r="O373" s="879"/>
      <c r="P373" s="879"/>
      <c r="Q373" s="879"/>
      <c r="R373" s="879"/>
      <c r="S373" s="879"/>
      <c r="T373" s="879"/>
      <c r="U373" s="879"/>
      <c r="V373" s="879"/>
      <c r="W373" s="879"/>
      <c r="X373" s="879"/>
      <c r="Y373" s="879"/>
      <c r="Z373" s="879"/>
    </row>
    <row r="374" spans="1:26" ht="12.75" customHeight="1">
      <c r="A374" s="879"/>
      <c r="B374" s="879"/>
      <c r="C374" s="879"/>
      <c r="D374" s="879"/>
      <c r="E374" s="879"/>
      <c r="F374" s="879"/>
      <c r="G374" s="879"/>
      <c r="H374" s="879"/>
      <c r="I374" s="879"/>
      <c r="J374" s="879"/>
      <c r="K374" s="879"/>
      <c r="L374" s="879"/>
      <c r="M374" s="879"/>
      <c r="N374" s="879"/>
      <c r="O374" s="879"/>
      <c r="P374" s="879"/>
      <c r="Q374" s="879"/>
      <c r="R374" s="879"/>
      <c r="S374" s="879"/>
      <c r="T374" s="879"/>
      <c r="U374" s="879"/>
      <c r="V374" s="879"/>
      <c r="W374" s="879"/>
      <c r="X374" s="879"/>
      <c r="Y374" s="879"/>
      <c r="Z374" s="879"/>
    </row>
    <row r="375" spans="1:26" ht="12.75" customHeight="1">
      <c r="A375" s="879"/>
      <c r="B375" s="879"/>
      <c r="C375" s="879"/>
      <c r="D375" s="879"/>
      <c r="E375" s="879"/>
      <c r="F375" s="879"/>
      <c r="G375" s="879"/>
      <c r="H375" s="879"/>
      <c r="I375" s="879"/>
      <c r="J375" s="879"/>
      <c r="K375" s="879"/>
      <c r="L375" s="879"/>
      <c r="M375" s="879"/>
      <c r="N375" s="879"/>
      <c r="O375" s="879"/>
      <c r="P375" s="879"/>
      <c r="Q375" s="879"/>
      <c r="R375" s="879"/>
      <c r="S375" s="879"/>
      <c r="T375" s="879"/>
      <c r="U375" s="879"/>
      <c r="V375" s="879"/>
      <c r="W375" s="879"/>
      <c r="X375" s="879"/>
      <c r="Y375" s="879"/>
      <c r="Z375" s="879"/>
    </row>
    <row r="376" spans="1:26" ht="12.75" customHeight="1">
      <c r="A376" s="879"/>
      <c r="B376" s="879"/>
      <c r="C376" s="879"/>
      <c r="D376" s="879"/>
      <c r="E376" s="879"/>
      <c r="F376" s="879"/>
      <c r="G376" s="879"/>
      <c r="H376" s="879"/>
      <c r="I376" s="879"/>
      <c r="J376" s="879"/>
      <c r="K376" s="879"/>
      <c r="L376" s="879"/>
      <c r="M376" s="879"/>
      <c r="N376" s="879"/>
      <c r="O376" s="879"/>
      <c r="P376" s="879"/>
      <c r="Q376" s="879"/>
      <c r="R376" s="879"/>
      <c r="S376" s="879"/>
      <c r="T376" s="879"/>
      <c r="U376" s="879"/>
      <c r="V376" s="879"/>
      <c r="W376" s="879"/>
      <c r="X376" s="879"/>
      <c r="Y376" s="879"/>
      <c r="Z376" s="879"/>
    </row>
    <row r="377" spans="1:26" ht="12.75" customHeight="1">
      <c r="A377" s="879"/>
      <c r="B377" s="879"/>
      <c r="C377" s="879"/>
      <c r="D377" s="879"/>
      <c r="E377" s="879"/>
      <c r="F377" s="879"/>
      <c r="G377" s="879"/>
      <c r="H377" s="879"/>
      <c r="I377" s="879"/>
      <c r="J377" s="879"/>
      <c r="K377" s="879"/>
      <c r="L377" s="879"/>
      <c r="M377" s="879"/>
      <c r="N377" s="879"/>
      <c r="O377" s="879"/>
      <c r="P377" s="879"/>
      <c r="Q377" s="879"/>
      <c r="R377" s="879"/>
      <c r="S377" s="879"/>
      <c r="T377" s="879"/>
      <c r="U377" s="879"/>
      <c r="V377" s="879"/>
      <c r="W377" s="879"/>
      <c r="X377" s="879"/>
      <c r="Y377" s="879"/>
      <c r="Z377" s="879"/>
    </row>
    <row r="378" spans="1:26" ht="12.75" customHeight="1">
      <c r="A378" s="879"/>
      <c r="B378" s="879"/>
      <c r="C378" s="879"/>
      <c r="D378" s="879"/>
      <c r="E378" s="879"/>
      <c r="F378" s="879"/>
      <c r="G378" s="879"/>
      <c r="H378" s="879"/>
      <c r="I378" s="879"/>
      <c r="J378" s="879"/>
      <c r="K378" s="879"/>
      <c r="L378" s="879"/>
      <c r="M378" s="879"/>
      <c r="N378" s="879"/>
      <c r="O378" s="879"/>
      <c r="P378" s="879"/>
      <c r="Q378" s="879"/>
      <c r="R378" s="879"/>
      <c r="S378" s="879"/>
      <c r="T378" s="879"/>
      <c r="U378" s="879"/>
      <c r="V378" s="879"/>
      <c r="W378" s="879"/>
      <c r="X378" s="879"/>
      <c r="Y378" s="879"/>
      <c r="Z378" s="879"/>
    </row>
    <row r="379" spans="1:26" ht="12.75" customHeight="1">
      <c r="A379" s="879"/>
      <c r="B379" s="879"/>
      <c r="C379" s="879"/>
      <c r="D379" s="879"/>
      <c r="E379" s="879"/>
      <c r="F379" s="879"/>
      <c r="G379" s="879"/>
      <c r="H379" s="879"/>
      <c r="I379" s="879"/>
      <c r="J379" s="879"/>
      <c r="K379" s="879"/>
      <c r="L379" s="879"/>
      <c r="M379" s="879"/>
      <c r="N379" s="879"/>
      <c r="O379" s="879"/>
      <c r="P379" s="879"/>
      <c r="Q379" s="879"/>
      <c r="R379" s="879"/>
      <c r="S379" s="879"/>
      <c r="T379" s="879"/>
      <c r="U379" s="879"/>
      <c r="V379" s="879"/>
      <c r="W379" s="879"/>
      <c r="X379" s="879"/>
      <c r="Y379" s="879"/>
      <c r="Z379" s="879"/>
    </row>
    <row r="380" spans="1:26" ht="12.75" customHeight="1">
      <c r="A380" s="879"/>
      <c r="B380" s="879"/>
      <c r="C380" s="879"/>
      <c r="D380" s="879"/>
      <c r="E380" s="879"/>
      <c r="F380" s="879"/>
      <c r="G380" s="879"/>
      <c r="H380" s="879"/>
      <c r="I380" s="879"/>
      <c r="J380" s="879"/>
      <c r="K380" s="879"/>
      <c r="L380" s="879"/>
      <c r="M380" s="879"/>
      <c r="N380" s="879"/>
      <c r="O380" s="879"/>
      <c r="P380" s="879"/>
      <c r="Q380" s="879"/>
      <c r="R380" s="879"/>
      <c r="S380" s="879"/>
      <c r="T380" s="879"/>
      <c r="U380" s="879"/>
      <c r="V380" s="879"/>
      <c r="W380" s="879"/>
      <c r="X380" s="879"/>
      <c r="Y380" s="879"/>
      <c r="Z380" s="879"/>
    </row>
    <row r="381" spans="1:26" ht="12.75" customHeight="1">
      <c r="A381" s="879"/>
      <c r="B381" s="879"/>
      <c r="C381" s="879"/>
      <c r="D381" s="879"/>
      <c r="E381" s="879"/>
      <c r="F381" s="879"/>
      <c r="G381" s="879"/>
      <c r="H381" s="879"/>
      <c r="I381" s="879"/>
      <c r="J381" s="879"/>
      <c r="K381" s="879"/>
      <c r="L381" s="879"/>
      <c r="M381" s="879"/>
      <c r="N381" s="879"/>
      <c r="O381" s="879"/>
      <c r="P381" s="879"/>
      <c r="Q381" s="879"/>
      <c r="R381" s="879"/>
      <c r="S381" s="879"/>
      <c r="T381" s="879"/>
      <c r="U381" s="879"/>
      <c r="V381" s="879"/>
      <c r="W381" s="879"/>
      <c r="X381" s="879"/>
      <c r="Y381" s="879"/>
      <c r="Z381" s="879"/>
    </row>
    <row r="382" spans="1:26" ht="12.75" customHeight="1">
      <c r="A382" s="879"/>
      <c r="B382" s="879"/>
      <c r="C382" s="879"/>
      <c r="D382" s="879"/>
      <c r="E382" s="879"/>
      <c r="F382" s="879"/>
      <c r="G382" s="879"/>
      <c r="H382" s="879"/>
      <c r="I382" s="879"/>
      <c r="J382" s="879"/>
      <c r="K382" s="879"/>
      <c r="L382" s="879"/>
      <c r="M382" s="879"/>
      <c r="N382" s="879"/>
      <c r="O382" s="879"/>
      <c r="P382" s="879"/>
      <c r="Q382" s="879"/>
      <c r="R382" s="879"/>
      <c r="S382" s="879"/>
      <c r="T382" s="879"/>
      <c r="U382" s="879"/>
      <c r="V382" s="879"/>
      <c r="W382" s="879"/>
      <c r="X382" s="879"/>
      <c r="Y382" s="879"/>
      <c r="Z382" s="879"/>
    </row>
    <row r="383" spans="1:26" ht="12.75" customHeight="1">
      <c r="A383" s="879"/>
      <c r="B383" s="879"/>
      <c r="C383" s="879"/>
      <c r="D383" s="879"/>
      <c r="E383" s="879"/>
      <c r="F383" s="879"/>
      <c r="G383" s="879"/>
      <c r="H383" s="879"/>
      <c r="I383" s="879"/>
      <c r="J383" s="879"/>
      <c r="K383" s="879"/>
      <c r="L383" s="879"/>
      <c r="M383" s="879"/>
      <c r="N383" s="879"/>
      <c r="O383" s="879"/>
      <c r="P383" s="879"/>
      <c r="Q383" s="879"/>
      <c r="R383" s="879"/>
      <c r="S383" s="879"/>
      <c r="T383" s="879"/>
      <c r="U383" s="879"/>
      <c r="V383" s="879"/>
      <c r="W383" s="879"/>
      <c r="X383" s="879"/>
      <c r="Y383" s="879"/>
      <c r="Z383" s="879"/>
    </row>
    <row r="384" spans="1:26" ht="12.75" customHeight="1">
      <c r="A384" s="879"/>
      <c r="B384" s="879"/>
      <c r="C384" s="879"/>
      <c r="D384" s="879"/>
      <c r="E384" s="879"/>
      <c r="F384" s="879"/>
      <c r="G384" s="879"/>
      <c r="H384" s="879"/>
      <c r="I384" s="879"/>
      <c r="J384" s="879"/>
      <c r="K384" s="879"/>
      <c r="L384" s="879"/>
      <c r="M384" s="879"/>
      <c r="N384" s="879"/>
      <c r="O384" s="879"/>
      <c r="P384" s="879"/>
      <c r="Q384" s="879"/>
      <c r="R384" s="879"/>
      <c r="S384" s="879"/>
      <c r="T384" s="879"/>
      <c r="U384" s="879"/>
      <c r="V384" s="879"/>
      <c r="W384" s="879"/>
      <c r="X384" s="879"/>
      <c r="Y384" s="879"/>
      <c r="Z384" s="879"/>
    </row>
    <row r="385" spans="1:26" ht="12.75" customHeight="1">
      <c r="A385" s="879"/>
      <c r="B385" s="879"/>
      <c r="C385" s="879"/>
      <c r="D385" s="879"/>
      <c r="E385" s="879"/>
      <c r="F385" s="879"/>
      <c r="G385" s="879"/>
      <c r="H385" s="879"/>
      <c r="I385" s="879"/>
      <c r="J385" s="879"/>
      <c r="K385" s="879"/>
      <c r="L385" s="879"/>
      <c r="M385" s="879"/>
      <c r="N385" s="879"/>
      <c r="O385" s="879"/>
      <c r="P385" s="879"/>
      <c r="Q385" s="879"/>
      <c r="R385" s="879"/>
      <c r="S385" s="879"/>
      <c r="T385" s="879"/>
      <c r="U385" s="879"/>
      <c r="V385" s="879"/>
      <c r="W385" s="879"/>
      <c r="X385" s="879"/>
      <c r="Y385" s="879"/>
      <c r="Z385" s="879"/>
    </row>
    <row r="386" spans="1:26" ht="12.75" customHeight="1">
      <c r="A386" s="879"/>
      <c r="B386" s="879"/>
      <c r="C386" s="879"/>
      <c r="D386" s="879"/>
      <c r="E386" s="879"/>
      <c r="F386" s="879"/>
      <c r="G386" s="879"/>
      <c r="H386" s="879"/>
      <c r="I386" s="879"/>
      <c r="J386" s="879"/>
      <c r="K386" s="879"/>
      <c r="L386" s="879"/>
      <c r="M386" s="879"/>
      <c r="N386" s="879"/>
      <c r="O386" s="879"/>
      <c r="P386" s="879"/>
      <c r="Q386" s="879"/>
      <c r="R386" s="879"/>
      <c r="S386" s="879"/>
      <c r="T386" s="879"/>
      <c r="U386" s="879"/>
      <c r="V386" s="879"/>
      <c r="W386" s="879"/>
      <c r="X386" s="879"/>
      <c r="Y386" s="879"/>
      <c r="Z386" s="879"/>
    </row>
    <row r="387" spans="1:26" ht="12.75" customHeight="1">
      <c r="A387" s="879"/>
      <c r="B387" s="879"/>
      <c r="C387" s="879"/>
      <c r="D387" s="879"/>
      <c r="E387" s="879"/>
      <c r="F387" s="879"/>
      <c r="G387" s="879"/>
      <c r="H387" s="879"/>
      <c r="I387" s="879"/>
      <c r="J387" s="879"/>
      <c r="K387" s="879"/>
      <c r="L387" s="879"/>
      <c r="M387" s="879"/>
      <c r="N387" s="879"/>
      <c r="O387" s="879"/>
      <c r="P387" s="879"/>
      <c r="Q387" s="879"/>
      <c r="R387" s="879"/>
      <c r="S387" s="879"/>
      <c r="T387" s="879"/>
      <c r="U387" s="879"/>
      <c r="V387" s="879"/>
      <c r="W387" s="879"/>
      <c r="X387" s="879"/>
      <c r="Y387" s="879"/>
      <c r="Z387" s="879"/>
    </row>
    <row r="388" spans="1:26" ht="12.75" customHeight="1">
      <c r="A388" s="879"/>
      <c r="B388" s="879"/>
      <c r="C388" s="879"/>
      <c r="D388" s="879"/>
      <c r="E388" s="879"/>
      <c r="F388" s="879"/>
      <c r="G388" s="879"/>
      <c r="H388" s="879"/>
      <c r="I388" s="879"/>
      <c r="J388" s="879"/>
      <c r="K388" s="879"/>
      <c r="L388" s="879"/>
      <c r="M388" s="879"/>
      <c r="N388" s="879"/>
      <c r="O388" s="879"/>
      <c r="P388" s="879"/>
      <c r="Q388" s="879"/>
      <c r="R388" s="879"/>
      <c r="S388" s="879"/>
      <c r="T388" s="879"/>
      <c r="U388" s="879"/>
      <c r="V388" s="879"/>
      <c r="W388" s="879"/>
      <c r="X388" s="879"/>
      <c r="Y388" s="879"/>
      <c r="Z388" s="879"/>
    </row>
    <row r="389" spans="1:26" ht="12.75" customHeight="1">
      <c r="A389" s="879"/>
      <c r="B389" s="879"/>
      <c r="C389" s="879"/>
      <c r="D389" s="879"/>
      <c r="E389" s="879"/>
      <c r="F389" s="879"/>
      <c r="G389" s="879"/>
      <c r="H389" s="879"/>
      <c r="I389" s="879"/>
      <c r="J389" s="879"/>
      <c r="K389" s="879"/>
      <c r="L389" s="879"/>
      <c r="M389" s="879"/>
      <c r="N389" s="879"/>
      <c r="O389" s="879"/>
      <c r="P389" s="879"/>
      <c r="Q389" s="879"/>
      <c r="R389" s="879"/>
      <c r="S389" s="879"/>
      <c r="T389" s="879"/>
      <c r="U389" s="879"/>
      <c r="V389" s="879"/>
      <c r="W389" s="879"/>
      <c r="X389" s="879"/>
      <c r="Y389" s="879"/>
      <c r="Z389" s="879"/>
    </row>
    <row r="390" spans="1:26" ht="12.75" customHeight="1">
      <c r="A390" s="879"/>
      <c r="B390" s="879"/>
      <c r="C390" s="879"/>
      <c r="D390" s="879"/>
      <c r="E390" s="879"/>
      <c r="F390" s="879"/>
      <c r="G390" s="879"/>
      <c r="H390" s="879"/>
      <c r="I390" s="879"/>
      <c r="J390" s="879"/>
      <c r="K390" s="879"/>
      <c r="L390" s="879"/>
      <c r="M390" s="879"/>
      <c r="N390" s="879"/>
      <c r="O390" s="879"/>
      <c r="P390" s="879"/>
      <c r="Q390" s="879"/>
      <c r="R390" s="879"/>
      <c r="S390" s="879"/>
      <c r="T390" s="879"/>
      <c r="U390" s="879"/>
      <c r="V390" s="879"/>
      <c r="W390" s="879"/>
      <c r="X390" s="879"/>
      <c r="Y390" s="879"/>
      <c r="Z390" s="879"/>
    </row>
    <row r="391" spans="1:26" ht="12.75" customHeight="1">
      <c r="A391" s="879"/>
      <c r="B391" s="879"/>
      <c r="C391" s="879"/>
      <c r="D391" s="879"/>
      <c r="E391" s="879"/>
      <c r="F391" s="879"/>
      <c r="G391" s="879"/>
      <c r="H391" s="879"/>
      <c r="I391" s="879"/>
      <c r="J391" s="879"/>
      <c r="K391" s="879"/>
      <c r="L391" s="879"/>
      <c r="M391" s="879"/>
      <c r="N391" s="879"/>
      <c r="O391" s="879"/>
      <c r="P391" s="879"/>
      <c r="Q391" s="879"/>
      <c r="R391" s="879"/>
      <c r="S391" s="879"/>
      <c r="T391" s="879"/>
      <c r="U391" s="879"/>
      <c r="V391" s="879"/>
      <c r="W391" s="879"/>
      <c r="X391" s="879"/>
      <c r="Y391" s="879"/>
      <c r="Z391" s="879"/>
    </row>
    <row r="392" spans="1:26" ht="12.75" customHeight="1">
      <c r="A392" s="879"/>
      <c r="B392" s="879"/>
      <c r="C392" s="879"/>
      <c r="D392" s="879"/>
      <c r="E392" s="879"/>
      <c r="F392" s="879"/>
      <c r="G392" s="879"/>
      <c r="H392" s="879"/>
      <c r="I392" s="879"/>
      <c r="J392" s="879"/>
      <c r="K392" s="879"/>
      <c r="L392" s="879"/>
      <c r="M392" s="879"/>
      <c r="N392" s="879"/>
      <c r="O392" s="879"/>
      <c r="P392" s="879"/>
      <c r="Q392" s="879"/>
      <c r="R392" s="879"/>
      <c r="S392" s="879"/>
      <c r="T392" s="879"/>
      <c r="U392" s="879"/>
      <c r="V392" s="879"/>
      <c r="W392" s="879"/>
      <c r="X392" s="879"/>
      <c r="Y392" s="879"/>
      <c r="Z392" s="879"/>
    </row>
    <row r="393" spans="1:26" ht="12.75" customHeight="1">
      <c r="A393" s="879"/>
      <c r="B393" s="879"/>
      <c r="C393" s="879"/>
      <c r="D393" s="879"/>
      <c r="E393" s="879"/>
      <c r="F393" s="879"/>
      <c r="G393" s="879"/>
      <c r="H393" s="879"/>
      <c r="I393" s="879"/>
      <c r="J393" s="879"/>
      <c r="K393" s="879"/>
      <c r="L393" s="879"/>
      <c r="M393" s="879"/>
      <c r="N393" s="879"/>
      <c r="O393" s="879"/>
      <c r="P393" s="879"/>
      <c r="Q393" s="879"/>
      <c r="R393" s="879"/>
      <c r="S393" s="879"/>
      <c r="T393" s="879"/>
      <c r="U393" s="879"/>
      <c r="V393" s="879"/>
      <c r="W393" s="879"/>
      <c r="X393" s="879"/>
      <c r="Y393" s="879"/>
      <c r="Z393" s="879"/>
    </row>
    <row r="394" spans="1:26" ht="12.75" customHeight="1">
      <c r="A394" s="879"/>
      <c r="B394" s="879"/>
      <c r="C394" s="879"/>
      <c r="D394" s="879"/>
      <c r="E394" s="879"/>
      <c r="F394" s="879"/>
      <c r="G394" s="879"/>
      <c r="H394" s="879"/>
      <c r="I394" s="879"/>
      <c r="J394" s="879"/>
      <c r="K394" s="879"/>
      <c r="L394" s="879"/>
      <c r="M394" s="879"/>
      <c r="N394" s="879"/>
      <c r="O394" s="879"/>
      <c r="P394" s="879"/>
      <c r="Q394" s="879"/>
      <c r="R394" s="879"/>
      <c r="S394" s="879"/>
      <c r="T394" s="879"/>
      <c r="U394" s="879"/>
      <c r="V394" s="879"/>
      <c r="W394" s="879"/>
      <c r="X394" s="879"/>
      <c r="Y394" s="879"/>
      <c r="Z394" s="879"/>
    </row>
    <row r="395" spans="1:26" ht="12.75" customHeight="1">
      <c r="A395" s="879"/>
      <c r="B395" s="879"/>
      <c r="C395" s="879"/>
      <c r="D395" s="879"/>
      <c r="E395" s="879"/>
      <c r="F395" s="879"/>
      <c r="G395" s="879"/>
      <c r="H395" s="879"/>
      <c r="I395" s="879"/>
      <c r="J395" s="879"/>
      <c r="K395" s="879"/>
      <c r="L395" s="879"/>
      <c r="M395" s="879"/>
      <c r="N395" s="879"/>
      <c r="O395" s="879"/>
      <c r="P395" s="879"/>
      <c r="Q395" s="879"/>
      <c r="R395" s="879"/>
      <c r="S395" s="879"/>
      <c r="T395" s="879"/>
      <c r="U395" s="879"/>
      <c r="V395" s="879"/>
      <c r="W395" s="879"/>
      <c r="X395" s="879"/>
      <c r="Y395" s="879"/>
      <c r="Z395" s="879"/>
    </row>
    <row r="396" spans="1:26" ht="12.75" customHeight="1">
      <c r="A396" s="879"/>
      <c r="B396" s="879"/>
      <c r="C396" s="879"/>
      <c r="D396" s="879"/>
      <c r="E396" s="879"/>
      <c r="F396" s="879"/>
      <c r="G396" s="879"/>
      <c r="H396" s="879"/>
      <c r="I396" s="879"/>
      <c r="J396" s="879"/>
      <c r="K396" s="879"/>
      <c r="L396" s="879"/>
      <c r="M396" s="879"/>
      <c r="N396" s="879"/>
      <c r="O396" s="879"/>
      <c r="P396" s="879"/>
      <c r="Q396" s="879"/>
      <c r="R396" s="879"/>
      <c r="S396" s="879"/>
      <c r="T396" s="879"/>
      <c r="U396" s="879"/>
      <c r="V396" s="879"/>
      <c r="W396" s="879"/>
      <c r="X396" s="879"/>
      <c r="Y396" s="879"/>
      <c r="Z396" s="879"/>
    </row>
    <row r="397" spans="1:26" ht="12.75" customHeight="1">
      <c r="A397" s="879"/>
      <c r="B397" s="879"/>
      <c r="C397" s="879"/>
      <c r="D397" s="879"/>
      <c r="E397" s="879"/>
      <c r="F397" s="879"/>
      <c r="G397" s="879"/>
      <c r="H397" s="879"/>
      <c r="I397" s="879"/>
      <c r="J397" s="879"/>
      <c r="K397" s="879"/>
      <c r="L397" s="879"/>
      <c r="M397" s="879"/>
      <c r="N397" s="879"/>
      <c r="O397" s="879"/>
      <c r="P397" s="879"/>
      <c r="Q397" s="879"/>
      <c r="R397" s="879"/>
      <c r="S397" s="879"/>
      <c r="T397" s="879"/>
      <c r="U397" s="879"/>
      <c r="V397" s="879"/>
      <c r="W397" s="879"/>
      <c r="X397" s="879"/>
      <c r="Y397" s="879"/>
      <c r="Z397" s="879"/>
    </row>
    <row r="398" spans="1:26" ht="12.75" customHeight="1">
      <c r="A398" s="879"/>
      <c r="B398" s="879"/>
      <c r="C398" s="879"/>
      <c r="D398" s="879"/>
      <c r="E398" s="879"/>
      <c r="F398" s="879"/>
      <c r="G398" s="879"/>
      <c r="H398" s="879"/>
      <c r="I398" s="879"/>
      <c r="J398" s="879"/>
      <c r="K398" s="879"/>
      <c r="L398" s="879"/>
      <c r="M398" s="879"/>
      <c r="N398" s="879"/>
      <c r="O398" s="879"/>
      <c r="P398" s="879"/>
      <c r="Q398" s="879"/>
      <c r="R398" s="879"/>
      <c r="S398" s="879"/>
      <c r="T398" s="879"/>
      <c r="U398" s="879"/>
      <c r="V398" s="879"/>
      <c r="W398" s="879"/>
      <c r="X398" s="879"/>
      <c r="Y398" s="879"/>
      <c r="Z398" s="879"/>
    </row>
    <row r="399" spans="1:26" ht="12.75" customHeight="1">
      <c r="A399" s="879"/>
      <c r="B399" s="879"/>
      <c r="C399" s="879"/>
      <c r="D399" s="879"/>
      <c r="E399" s="879"/>
      <c r="F399" s="879"/>
      <c r="G399" s="879"/>
      <c r="H399" s="879"/>
      <c r="I399" s="879"/>
      <c r="J399" s="879"/>
      <c r="K399" s="879"/>
      <c r="L399" s="879"/>
      <c r="M399" s="879"/>
      <c r="N399" s="879"/>
      <c r="O399" s="879"/>
      <c r="P399" s="879"/>
      <c r="Q399" s="879"/>
      <c r="R399" s="879"/>
      <c r="S399" s="879"/>
      <c r="T399" s="879"/>
      <c r="U399" s="879"/>
      <c r="V399" s="879"/>
      <c r="W399" s="879"/>
      <c r="X399" s="879"/>
      <c r="Y399" s="879"/>
      <c r="Z399" s="879"/>
    </row>
    <row r="400" spans="1:26" ht="12.75" customHeight="1">
      <c r="A400" s="879"/>
      <c r="B400" s="879"/>
      <c r="C400" s="879"/>
      <c r="D400" s="879"/>
      <c r="E400" s="879"/>
      <c r="F400" s="879"/>
      <c r="G400" s="879"/>
      <c r="H400" s="879"/>
      <c r="I400" s="879"/>
      <c r="J400" s="879"/>
      <c r="K400" s="879"/>
      <c r="L400" s="879"/>
      <c r="M400" s="879"/>
      <c r="N400" s="879"/>
      <c r="O400" s="879"/>
      <c r="P400" s="879"/>
      <c r="Q400" s="879"/>
      <c r="R400" s="879"/>
      <c r="S400" s="879"/>
      <c r="T400" s="879"/>
      <c r="U400" s="879"/>
      <c r="V400" s="879"/>
      <c r="W400" s="879"/>
      <c r="X400" s="879"/>
      <c r="Y400" s="879"/>
      <c r="Z400" s="879"/>
    </row>
    <row r="401" spans="1:26" ht="12.75" customHeight="1">
      <c r="A401" s="879"/>
      <c r="B401" s="879"/>
      <c r="C401" s="879"/>
      <c r="D401" s="879"/>
      <c r="E401" s="879"/>
      <c r="F401" s="879"/>
      <c r="G401" s="879"/>
      <c r="H401" s="879"/>
      <c r="I401" s="879"/>
      <c r="J401" s="879"/>
      <c r="K401" s="879"/>
      <c r="L401" s="879"/>
      <c r="M401" s="879"/>
      <c r="N401" s="879"/>
      <c r="O401" s="879"/>
      <c r="P401" s="879"/>
      <c r="Q401" s="879"/>
      <c r="R401" s="879"/>
      <c r="S401" s="879"/>
      <c r="T401" s="879"/>
      <c r="U401" s="879"/>
      <c r="V401" s="879"/>
      <c r="W401" s="879"/>
      <c r="X401" s="879"/>
      <c r="Y401" s="879"/>
      <c r="Z401" s="879"/>
    </row>
    <row r="402" spans="1:26" ht="12.75" customHeight="1">
      <c r="A402" s="879"/>
      <c r="B402" s="879"/>
      <c r="C402" s="879"/>
      <c r="D402" s="879"/>
      <c r="E402" s="879"/>
      <c r="F402" s="879"/>
      <c r="G402" s="879"/>
      <c r="H402" s="879"/>
      <c r="I402" s="879"/>
      <c r="J402" s="879"/>
      <c r="K402" s="879"/>
      <c r="L402" s="879"/>
      <c r="M402" s="879"/>
      <c r="N402" s="879"/>
      <c r="O402" s="879"/>
      <c r="P402" s="879"/>
      <c r="Q402" s="879"/>
      <c r="R402" s="879"/>
      <c r="S402" s="879"/>
      <c r="T402" s="879"/>
      <c r="U402" s="879"/>
      <c r="V402" s="879"/>
      <c r="W402" s="879"/>
      <c r="X402" s="879"/>
      <c r="Y402" s="879"/>
      <c r="Z402" s="879"/>
    </row>
    <row r="403" spans="1:26" ht="12.75" customHeight="1">
      <c r="A403" s="879"/>
      <c r="B403" s="879"/>
      <c r="C403" s="879"/>
      <c r="D403" s="879"/>
      <c r="E403" s="879"/>
      <c r="F403" s="879"/>
      <c r="G403" s="879"/>
      <c r="H403" s="879"/>
      <c r="I403" s="879"/>
      <c r="J403" s="879"/>
      <c r="K403" s="879"/>
      <c r="L403" s="879"/>
      <c r="M403" s="879"/>
      <c r="N403" s="879"/>
      <c r="O403" s="879"/>
      <c r="P403" s="879"/>
      <c r="Q403" s="879"/>
      <c r="R403" s="879"/>
      <c r="S403" s="879"/>
      <c r="T403" s="879"/>
      <c r="U403" s="879"/>
      <c r="V403" s="879"/>
      <c r="W403" s="879"/>
      <c r="X403" s="879"/>
      <c r="Y403" s="879"/>
      <c r="Z403" s="879"/>
    </row>
    <row r="404" spans="1:26" ht="12.75" customHeight="1">
      <c r="A404" s="879"/>
      <c r="B404" s="879"/>
      <c r="C404" s="879"/>
      <c r="D404" s="879"/>
      <c r="E404" s="879"/>
      <c r="F404" s="879"/>
      <c r="G404" s="879"/>
      <c r="H404" s="879"/>
      <c r="I404" s="879"/>
      <c r="J404" s="879"/>
      <c r="K404" s="879"/>
      <c r="L404" s="879"/>
      <c r="M404" s="879"/>
      <c r="N404" s="879"/>
      <c r="O404" s="879"/>
      <c r="P404" s="879"/>
      <c r="Q404" s="879"/>
      <c r="R404" s="879"/>
      <c r="S404" s="879"/>
      <c r="T404" s="879"/>
      <c r="U404" s="879"/>
      <c r="V404" s="879"/>
      <c r="W404" s="879"/>
      <c r="X404" s="879"/>
      <c r="Y404" s="879"/>
      <c r="Z404" s="879"/>
    </row>
    <row r="405" spans="1:26" ht="12.75" customHeight="1">
      <c r="A405" s="879"/>
      <c r="B405" s="879"/>
      <c r="C405" s="879"/>
      <c r="D405" s="879"/>
      <c r="E405" s="879"/>
      <c r="F405" s="879"/>
      <c r="G405" s="879"/>
      <c r="H405" s="879"/>
      <c r="I405" s="879"/>
      <c r="J405" s="879"/>
      <c r="K405" s="879"/>
      <c r="L405" s="879"/>
      <c r="M405" s="879"/>
      <c r="N405" s="879"/>
      <c r="O405" s="879"/>
      <c r="P405" s="879"/>
      <c r="Q405" s="879"/>
      <c r="R405" s="879"/>
      <c r="S405" s="879"/>
      <c r="T405" s="879"/>
      <c r="U405" s="879"/>
      <c r="V405" s="879"/>
      <c r="W405" s="879"/>
      <c r="X405" s="879"/>
      <c r="Y405" s="879"/>
      <c r="Z405" s="879"/>
    </row>
    <row r="406" spans="1:26" ht="12.75" customHeight="1">
      <c r="A406" s="879"/>
      <c r="B406" s="879"/>
      <c r="C406" s="879"/>
      <c r="D406" s="879"/>
      <c r="E406" s="879"/>
      <c r="F406" s="879"/>
      <c r="G406" s="879"/>
      <c r="H406" s="879"/>
      <c r="I406" s="879"/>
      <c r="J406" s="879"/>
      <c r="K406" s="879"/>
      <c r="L406" s="879"/>
      <c r="M406" s="879"/>
      <c r="N406" s="879"/>
      <c r="O406" s="879"/>
      <c r="P406" s="879"/>
      <c r="Q406" s="879"/>
      <c r="R406" s="879"/>
      <c r="S406" s="879"/>
      <c r="T406" s="879"/>
      <c r="U406" s="879"/>
      <c r="V406" s="879"/>
      <c r="W406" s="879"/>
      <c r="X406" s="879"/>
      <c r="Y406" s="879"/>
      <c r="Z406" s="879"/>
    </row>
    <row r="407" spans="1:26" ht="12.75" customHeight="1">
      <c r="A407" s="879"/>
      <c r="B407" s="879"/>
      <c r="C407" s="879"/>
      <c r="D407" s="879"/>
      <c r="E407" s="879"/>
      <c r="F407" s="879"/>
      <c r="G407" s="879"/>
      <c r="H407" s="879"/>
      <c r="I407" s="879"/>
      <c r="J407" s="879"/>
      <c r="K407" s="879"/>
      <c r="L407" s="879"/>
      <c r="M407" s="879"/>
      <c r="N407" s="879"/>
      <c r="O407" s="879"/>
      <c r="P407" s="879"/>
      <c r="Q407" s="879"/>
      <c r="R407" s="879"/>
      <c r="S407" s="879"/>
      <c r="T407" s="879"/>
      <c r="U407" s="879"/>
      <c r="V407" s="879"/>
      <c r="W407" s="879"/>
      <c r="X407" s="879"/>
      <c r="Y407" s="879"/>
      <c r="Z407" s="879"/>
    </row>
    <row r="408" spans="1:26" ht="12.75" customHeight="1">
      <c r="A408" s="879"/>
      <c r="B408" s="879"/>
      <c r="C408" s="879"/>
      <c r="D408" s="879"/>
      <c r="E408" s="879"/>
      <c r="F408" s="879"/>
      <c r="G408" s="879"/>
      <c r="H408" s="879"/>
      <c r="I408" s="879"/>
      <c r="J408" s="879"/>
      <c r="K408" s="879"/>
      <c r="L408" s="879"/>
      <c r="M408" s="879"/>
      <c r="N408" s="879"/>
      <c r="O408" s="879"/>
      <c r="P408" s="879"/>
      <c r="Q408" s="879"/>
      <c r="R408" s="879"/>
      <c r="S408" s="879"/>
      <c r="T408" s="879"/>
      <c r="U408" s="879"/>
      <c r="V408" s="879"/>
      <c r="W408" s="879"/>
      <c r="X408" s="879"/>
      <c r="Y408" s="879"/>
      <c r="Z408" s="879"/>
    </row>
    <row r="409" spans="1:26" ht="12.75" customHeight="1">
      <c r="A409" s="879"/>
      <c r="B409" s="879"/>
      <c r="C409" s="879"/>
      <c r="D409" s="879"/>
      <c r="E409" s="879"/>
      <c r="F409" s="879"/>
      <c r="G409" s="879"/>
      <c r="H409" s="879"/>
      <c r="I409" s="879"/>
      <c r="J409" s="879"/>
      <c r="K409" s="879"/>
      <c r="L409" s="879"/>
      <c r="M409" s="879"/>
      <c r="N409" s="879"/>
      <c r="O409" s="879"/>
      <c r="P409" s="879"/>
      <c r="Q409" s="879"/>
      <c r="R409" s="879"/>
      <c r="S409" s="879"/>
      <c r="T409" s="879"/>
      <c r="U409" s="879"/>
      <c r="V409" s="879"/>
      <c r="W409" s="879"/>
      <c r="X409" s="879"/>
      <c r="Y409" s="879"/>
      <c r="Z409" s="879"/>
    </row>
    <row r="410" spans="1:26" ht="12.75" customHeight="1">
      <c r="A410" s="879"/>
      <c r="B410" s="879"/>
      <c r="C410" s="879"/>
      <c r="D410" s="879"/>
      <c r="E410" s="879"/>
      <c r="F410" s="879"/>
      <c r="G410" s="879"/>
      <c r="H410" s="879"/>
      <c r="I410" s="879"/>
      <c r="J410" s="879"/>
      <c r="K410" s="879"/>
      <c r="L410" s="879"/>
      <c r="M410" s="879"/>
      <c r="N410" s="879"/>
      <c r="O410" s="879"/>
      <c r="P410" s="879"/>
      <c r="Q410" s="879"/>
      <c r="R410" s="879"/>
      <c r="S410" s="879"/>
      <c r="T410" s="879"/>
      <c r="U410" s="879"/>
      <c r="V410" s="879"/>
      <c r="W410" s="879"/>
      <c r="X410" s="879"/>
      <c r="Y410" s="879"/>
      <c r="Z410" s="879"/>
    </row>
    <row r="411" spans="1:26" ht="12.75" customHeight="1">
      <c r="A411" s="879"/>
      <c r="B411" s="879"/>
      <c r="C411" s="879"/>
      <c r="D411" s="879"/>
      <c r="E411" s="879"/>
      <c r="F411" s="879"/>
      <c r="G411" s="879"/>
      <c r="H411" s="879"/>
      <c r="I411" s="879"/>
      <c r="J411" s="879"/>
      <c r="K411" s="879"/>
      <c r="L411" s="879"/>
      <c r="M411" s="879"/>
      <c r="N411" s="879"/>
      <c r="O411" s="879"/>
      <c r="P411" s="879"/>
      <c r="Q411" s="879"/>
      <c r="R411" s="879"/>
      <c r="S411" s="879"/>
      <c r="T411" s="879"/>
      <c r="U411" s="879"/>
      <c r="V411" s="879"/>
      <c r="W411" s="879"/>
      <c r="X411" s="879"/>
      <c r="Y411" s="879"/>
      <c r="Z411" s="879"/>
    </row>
    <row r="412" spans="1:26" ht="12.75" customHeight="1">
      <c r="A412" s="879"/>
      <c r="B412" s="879"/>
      <c r="C412" s="879"/>
      <c r="D412" s="879"/>
      <c r="E412" s="879"/>
      <c r="F412" s="879"/>
      <c r="G412" s="879"/>
      <c r="H412" s="879"/>
      <c r="I412" s="879"/>
      <c r="J412" s="879"/>
      <c r="K412" s="879"/>
      <c r="L412" s="879"/>
      <c r="M412" s="879"/>
      <c r="N412" s="879"/>
      <c r="O412" s="879"/>
      <c r="P412" s="879"/>
      <c r="Q412" s="879"/>
      <c r="R412" s="879"/>
      <c r="S412" s="879"/>
      <c r="T412" s="879"/>
      <c r="U412" s="879"/>
      <c r="V412" s="879"/>
      <c r="W412" s="879"/>
      <c r="X412" s="879"/>
      <c r="Y412" s="879"/>
      <c r="Z412" s="879"/>
    </row>
    <row r="413" spans="1:26" ht="12.75" customHeight="1">
      <c r="A413" s="879"/>
      <c r="B413" s="879"/>
      <c r="C413" s="879"/>
      <c r="D413" s="879"/>
      <c r="E413" s="879"/>
      <c r="F413" s="879"/>
      <c r="G413" s="879"/>
      <c r="H413" s="879"/>
      <c r="I413" s="879"/>
      <c r="J413" s="879"/>
      <c r="K413" s="879"/>
      <c r="L413" s="879"/>
      <c r="M413" s="879"/>
      <c r="N413" s="879"/>
      <c r="O413" s="879"/>
      <c r="P413" s="879"/>
      <c r="Q413" s="879"/>
      <c r="R413" s="879"/>
      <c r="S413" s="879"/>
      <c r="T413" s="879"/>
      <c r="U413" s="879"/>
      <c r="V413" s="879"/>
      <c r="W413" s="879"/>
      <c r="X413" s="879"/>
      <c r="Y413" s="879"/>
      <c r="Z413" s="879"/>
    </row>
    <row r="414" spans="1:26" ht="12.75" customHeight="1">
      <c r="A414" s="879"/>
      <c r="B414" s="879"/>
      <c r="C414" s="879"/>
      <c r="D414" s="879"/>
      <c r="E414" s="879"/>
      <c r="F414" s="879"/>
      <c r="G414" s="879"/>
      <c r="H414" s="879"/>
      <c r="I414" s="879"/>
      <c r="J414" s="879"/>
      <c r="K414" s="879"/>
      <c r="L414" s="879"/>
      <c r="M414" s="879"/>
      <c r="N414" s="879"/>
      <c r="O414" s="879"/>
      <c r="P414" s="879"/>
      <c r="Q414" s="879"/>
      <c r="R414" s="879"/>
      <c r="S414" s="879"/>
      <c r="T414" s="879"/>
      <c r="U414" s="879"/>
      <c r="V414" s="879"/>
      <c r="W414" s="879"/>
      <c r="X414" s="879"/>
      <c r="Y414" s="879"/>
      <c r="Z414" s="879"/>
    </row>
    <row r="415" spans="1:26" ht="12.75" customHeight="1">
      <c r="A415" s="879"/>
      <c r="B415" s="879"/>
      <c r="C415" s="879"/>
      <c r="D415" s="879"/>
      <c r="E415" s="879"/>
      <c r="F415" s="879"/>
      <c r="G415" s="879"/>
      <c r="H415" s="879"/>
      <c r="I415" s="879"/>
      <c r="J415" s="879"/>
      <c r="K415" s="879"/>
      <c r="L415" s="879"/>
      <c r="M415" s="879"/>
      <c r="N415" s="879"/>
      <c r="O415" s="879"/>
      <c r="P415" s="879"/>
      <c r="Q415" s="879"/>
      <c r="R415" s="879"/>
      <c r="S415" s="879"/>
      <c r="T415" s="879"/>
      <c r="U415" s="879"/>
      <c r="V415" s="879"/>
      <c r="W415" s="879"/>
      <c r="X415" s="879"/>
      <c r="Y415" s="879"/>
      <c r="Z415" s="879"/>
    </row>
    <row r="416" spans="1:26" ht="12.75" customHeight="1">
      <c r="A416" s="879"/>
      <c r="B416" s="879"/>
      <c r="C416" s="879"/>
      <c r="D416" s="879"/>
      <c r="E416" s="879"/>
      <c r="F416" s="879"/>
      <c r="G416" s="879"/>
      <c r="H416" s="879"/>
      <c r="I416" s="879"/>
      <c r="J416" s="879"/>
      <c r="K416" s="879"/>
      <c r="L416" s="879"/>
      <c r="M416" s="879"/>
      <c r="N416" s="879"/>
      <c r="O416" s="879"/>
      <c r="P416" s="879"/>
      <c r="Q416" s="879"/>
      <c r="R416" s="879"/>
      <c r="S416" s="879"/>
      <c r="T416" s="879"/>
      <c r="U416" s="879"/>
      <c r="V416" s="879"/>
      <c r="W416" s="879"/>
      <c r="X416" s="879"/>
      <c r="Y416" s="879"/>
      <c r="Z416" s="879"/>
    </row>
    <row r="417" spans="1:26" ht="12.75" customHeight="1">
      <c r="A417" s="879"/>
      <c r="B417" s="879"/>
      <c r="C417" s="879"/>
      <c r="D417" s="879"/>
      <c r="E417" s="879"/>
      <c r="F417" s="879"/>
      <c r="G417" s="879"/>
      <c r="H417" s="879"/>
      <c r="I417" s="879"/>
      <c r="J417" s="879"/>
      <c r="K417" s="879"/>
      <c r="L417" s="879"/>
      <c r="M417" s="879"/>
      <c r="N417" s="879"/>
      <c r="O417" s="879"/>
      <c r="P417" s="879"/>
      <c r="Q417" s="879"/>
      <c r="R417" s="879"/>
      <c r="S417" s="879"/>
      <c r="T417" s="879"/>
      <c r="U417" s="879"/>
      <c r="V417" s="879"/>
      <c r="W417" s="879"/>
      <c r="X417" s="879"/>
      <c r="Y417" s="879"/>
      <c r="Z417" s="879"/>
    </row>
    <row r="418" spans="1:26" ht="12.75" customHeight="1">
      <c r="A418" s="879"/>
      <c r="B418" s="879"/>
      <c r="C418" s="879"/>
      <c r="D418" s="879"/>
      <c r="E418" s="879"/>
      <c r="F418" s="879"/>
      <c r="G418" s="879"/>
      <c r="H418" s="879"/>
      <c r="I418" s="879"/>
      <c r="J418" s="879"/>
      <c r="K418" s="879"/>
      <c r="L418" s="879"/>
      <c r="M418" s="879"/>
      <c r="N418" s="879"/>
      <c r="O418" s="879"/>
      <c r="P418" s="879"/>
      <c r="Q418" s="879"/>
      <c r="R418" s="879"/>
      <c r="S418" s="879"/>
      <c r="T418" s="879"/>
      <c r="U418" s="879"/>
      <c r="V418" s="879"/>
      <c r="W418" s="879"/>
      <c r="X418" s="879"/>
      <c r="Y418" s="879"/>
      <c r="Z418" s="879"/>
    </row>
    <row r="419" spans="1:26" ht="12.75" customHeight="1">
      <c r="A419" s="879"/>
      <c r="B419" s="879"/>
      <c r="C419" s="879"/>
      <c r="D419" s="879"/>
      <c r="E419" s="879"/>
      <c r="F419" s="879"/>
      <c r="G419" s="879"/>
      <c r="H419" s="879"/>
      <c r="I419" s="879"/>
      <c r="J419" s="879"/>
      <c r="K419" s="879"/>
      <c r="L419" s="879"/>
      <c r="M419" s="879"/>
      <c r="N419" s="879"/>
      <c r="O419" s="879"/>
      <c r="P419" s="879"/>
      <c r="Q419" s="879"/>
      <c r="R419" s="879"/>
      <c r="S419" s="879"/>
      <c r="T419" s="879"/>
      <c r="U419" s="879"/>
      <c r="V419" s="879"/>
      <c r="W419" s="879"/>
      <c r="X419" s="879"/>
      <c r="Y419" s="879"/>
      <c r="Z419" s="879"/>
    </row>
    <row r="420" spans="1:26" ht="12.75" customHeight="1">
      <c r="A420" s="879"/>
      <c r="B420" s="879"/>
      <c r="C420" s="879"/>
      <c r="D420" s="879"/>
      <c r="E420" s="879"/>
      <c r="F420" s="879"/>
      <c r="G420" s="879"/>
      <c r="H420" s="879"/>
      <c r="I420" s="879"/>
      <c r="J420" s="879"/>
      <c r="K420" s="879"/>
      <c r="L420" s="879"/>
      <c r="M420" s="879"/>
      <c r="N420" s="879"/>
      <c r="O420" s="879"/>
      <c r="P420" s="879"/>
      <c r="Q420" s="879"/>
      <c r="R420" s="879"/>
      <c r="S420" s="879"/>
      <c r="T420" s="879"/>
      <c r="U420" s="879"/>
      <c r="V420" s="879"/>
      <c r="W420" s="879"/>
      <c r="X420" s="879"/>
      <c r="Y420" s="879"/>
      <c r="Z420" s="879"/>
    </row>
    <row r="421" spans="1:26" ht="12.75" customHeight="1">
      <c r="A421" s="879"/>
      <c r="B421" s="879"/>
      <c r="C421" s="879"/>
      <c r="D421" s="879"/>
      <c r="E421" s="879"/>
      <c r="F421" s="879"/>
      <c r="G421" s="879"/>
      <c r="H421" s="879"/>
      <c r="I421" s="879"/>
      <c r="J421" s="879"/>
      <c r="K421" s="879"/>
      <c r="L421" s="879"/>
      <c r="M421" s="879"/>
      <c r="N421" s="879"/>
      <c r="O421" s="879"/>
      <c r="P421" s="879"/>
      <c r="Q421" s="879"/>
      <c r="R421" s="879"/>
      <c r="S421" s="879"/>
      <c r="T421" s="879"/>
      <c r="U421" s="879"/>
      <c r="V421" s="879"/>
      <c r="W421" s="879"/>
      <c r="X421" s="879"/>
      <c r="Y421" s="879"/>
      <c r="Z421" s="879"/>
    </row>
    <row r="422" spans="1:26" ht="12.75" customHeight="1">
      <c r="A422" s="879"/>
      <c r="B422" s="879"/>
      <c r="C422" s="879"/>
      <c r="D422" s="879"/>
      <c r="E422" s="879"/>
      <c r="F422" s="879"/>
      <c r="G422" s="879"/>
      <c r="H422" s="879"/>
      <c r="I422" s="879"/>
      <c r="J422" s="879"/>
      <c r="K422" s="879"/>
      <c r="L422" s="879"/>
      <c r="M422" s="879"/>
      <c r="N422" s="879"/>
      <c r="O422" s="879"/>
      <c r="P422" s="879"/>
      <c r="Q422" s="879"/>
      <c r="R422" s="879"/>
      <c r="S422" s="879"/>
      <c r="T422" s="879"/>
      <c r="U422" s="879"/>
      <c r="V422" s="879"/>
      <c r="W422" s="879"/>
      <c r="X422" s="879"/>
      <c r="Y422" s="879"/>
      <c r="Z422" s="879"/>
    </row>
    <row r="423" spans="1:26" ht="12.75" customHeight="1">
      <c r="A423" s="879"/>
      <c r="B423" s="879"/>
      <c r="C423" s="879"/>
      <c r="D423" s="879"/>
      <c r="E423" s="879"/>
      <c r="F423" s="879"/>
      <c r="G423" s="879"/>
      <c r="H423" s="879"/>
      <c r="I423" s="879"/>
      <c r="J423" s="879"/>
      <c r="K423" s="879"/>
      <c r="L423" s="879"/>
      <c r="M423" s="879"/>
      <c r="N423" s="879"/>
      <c r="O423" s="879"/>
      <c r="P423" s="879"/>
      <c r="Q423" s="879"/>
      <c r="R423" s="879"/>
      <c r="S423" s="879"/>
      <c r="T423" s="879"/>
      <c r="U423" s="879"/>
      <c r="V423" s="879"/>
      <c r="W423" s="879"/>
      <c r="X423" s="879"/>
      <c r="Y423" s="879"/>
      <c r="Z423" s="879"/>
    </row>
    <row r="424" spans="1:26" ht="12.75" customHeight="1">
      <c r="A424" s="879"/>
      <c r="B424" s="879"/>
      <c r="C424" s="879"/>
      <c r="D424" s="879"/>
      <c r="E424" s="879"/>
      <c r="F424" s="879"/>
      <c r="G424" s="879"/>
      <c r="H424" s="879"/>
      <c r="I424" s="879"/>
      <c r="J424" s="879"/>
      <c r="K424" s="879"/>
      <c r="L424" s="879"/>
      <c r="M424" s="879"/>
      <c r="N424" s="879"/>
      <c r="O424" s="879"/>
      <c r="P424" s="879"/>
      <c r="Q424" s="879"/>
      <c r="R424" s="879"/>
      <c r="S424" s="879"/>
      <c r="T424" s="879"/>
      <c r="U424" s="879"/>
      <c r="V424" s="879"/>
      <c r="W424" s="879"/>
      <c r="X424" s="879"/>
      <c r="Y424" s="879"/>
      <c r="Z424" s="879"/>
    </row>
    <row r="425" spans="1:26" ht="12.75" customHeight="1">
      <c r="A425" s="879"/>
      <c r="B425" s="879"/>
      <c r="C425" s="879"/>
      <c r="D425" s="879"/>
      <c r="E425" s="879"/>
      <c r="F425" s="879"/>
      <c r="G425" s="879"/>
      <c r="H425" s="879"/>
      <c r="I425" s="879"/>
      <c r="J425" s="879"/>
      <c r="K425" s="879"/>
      <c r="L425" s="879"/>
      <c r="M425" s="879"/>
      <c r="N425" s="879"/>
      <c r="O425" s="879"/>
      <c r="P425" s="879"/>
      <c r="Q425" s="879"/>
      <c r="R425" s="879"/>
      <c r="S425" s="879"/>
      <c r="T425" s="879"/>
      <c r="U425" s="879"/>
      <c r="V425" s="879"/>
      <c r="W425" s="879"/>
      <c r="X425" s="879"/>
      <c r="Y425" s="879"/>
      <c r="Z425" s="879"/>
    </row>
    <row r="426" spans="1:26" ht="12.75" customHeight="1">
      <c r="A426" s="879"/>
      <c r="B426" s="879"/>
      <c r="C426" s="879"/>
      <c r="D426" s="879"/>
      <c r="E426" s="879"/>
      <c r="F426" s="879"/>
      <c r="G426" s="879"/>
      <c r="H426" s="879"/>
      <c r="I426" s="879"/>
      <c r="J426" s="879"/>
      <c r="K426" s="879"/>
      <c r="L426" s="879"/>
      <c r="M426" s="879"/>
      <c r="N426" s="879"/>
      <c r="O426" s="879"/>
      <c r="P426" s="879"/>
      <c r="Q426" s="879"/>
      <c r="R426" s="879"/>
      <c r="S426" s="879"/>
      <c r="T426" s="879"/>
      <c r="U426" s="879"/>
      <c r="V426" s="879"/>
      <c r="W426" s="879"/>
      <c r="X426" s="879"/>
      <c r="Y426" s="879"/>
      <c r="Z426" s="879"/>
    </row>
    <row r="427" spans="1:26" ht="12.75" customHeight="1">
      <c r="A427" s="879"/>
      <c r="B427" s="879"/>
      <c r="C427" s="879"/>
      <c r="D427" s="879"/>
      <c r="E427" s="879"/>
      <c r="F427" s="879"/>
      <c r="G427" s="879"/>
      <c r="H427" s="879"/>
      <c r="I427" s="879"/>
      <c r="J427" s="879"/>
      <c r="K427" s="879"/>
      <c r="L427" s="879"/>
      <c r="M427" s="879"/>
      <c r="N427" s="879"/>
      <c r="O427" s="879"/>
      <c r="P427" s="879"/>
      <c r="Q427" s="879"/>
      <c r="R427" s="879"/>
      <c r="S427" s="879"/>
      <c r="T427" s="879"/>
      <c r="U427" s="879"/>
      <c r="V427" s="879"/>
      <c r="W427" s="879"/>
      <c r="X427" s="879"/>
      <c r="Y427" s="879"/>
      <c r="Z427" s="879"/>
    </row>
    <row r="428" spans="1:26" ht="12.75" customHeight="1">
      <c r="A428" s="879"/>
      <c r="B428" s="879"/>
      <c r="C428" s="879"/>
      <c r="D428" s="879"/>
      <c r="E428" s="879"/>
      <c r="F428" s="879"/>
      <c r="G428" s="879"/>
      <c r="H428" s="879"/>
      <c r="I428" s="879"/>
      <c r="J428" s="879"/>
      <c r="K428" s="879"/>
      <c r="L428" s="879"/>
      <c r="M428" s="879"/>
      <c r="N428" s="879"/>
      <c r="O428" s="879"/>
      <c r="P428" s="879"/>
      <c r="Q428" s="879"/>
      <c r="R428" s="879"/>
      <c r="S428" s="879"/>
      <c r="T428" s="879"/>
      <c r="U428" s="879"/>
      <c r="V428" s="879"/>
      <c r="W428" s="879"/>
      <c r="X428" s="879"/>
      <c r="Y428" s="879"/>
      <c r="Z428" s="879"/>
    </row>
    <row r="429" spans="1:26" ht="12.75" customHeight="1">
      <c r="A429" s="879"/>
      <c r="B429" s="879"/>
      <c r="C429" s="879"/>
      <c r="D429" s="879"/>
      <c r="E429" s="879"/>
      <c r="F429" s="879"/>
      <c r="G429" s="879"/>
      <c r="H429" s="879"/>
      <c r="I429" s="879"/>
      <c r="J429" s="879"/>
      <c r="K429" s="879"/>
      <c r="L429" s="879"/>
      <c r="M429" s="879"/>
      <c r="N429" s="879"/>
      <c r="O429" s="879"/>
      <c r="P429" s="879"/>
      <c r="Q429" s="879"/>
      <c r="R429" s="879"/>
      <c r="S429" s="879"/>
      <c r="T429" s="879"/>
      <c r="U429" s="879"/>
      <c r="V429" s="879"/>
      <c r="W429" s="879"/>
      <c r="X429" s="879"/>
      <c r="Y429" s="879"/>
      <c r="Z429" s="879"/>
    </row>
    <row r="430" spans="1:26" ht="12.75" customHeight="1">
      <c r="A430" s="879"/>
      <c r="B430" s="879"/>
      <c r="C430" s="879"/>
      <c r="D430" s="879"/>
      <c r="E430" s="879"/>
      <c r="F430" s="879"/>
      <c r="G430" s="879"/>
      <c r="H430" s="879"/>
      <c r="I430" s="879"/>
      <c r="J430" s="879"/>
      <c r="K430" s="879"/>
      <c r="L430" s="879"/>
      <c r="M430" s="879"/>
      <c r="N430" s="879"/>
      <c r="O430" s="879"/>
      <c r="P430" s="879"/>
      <c r="Q430" s="879"/>
      <c r="R430" s="879"/>
      <c r="S430" s="879"/>
      <c r="T430" s="879"/>
      <c r="U430" s="879"/>
      <c r="V430" s="879"/>
      <c r="W430" s="879"/>
      <c r="X430" s="879"/>
      <c r="Y430" s="879"/>
      <c r="Z430" s="879"/>
    </row>
    <row r="431" spans="1:26" ht="12.75" customHeight="1">
      <c r="A431" s="879"/>
      <c r="B431" s="879"/>
      <c r="C431" s="879"/>
      <c r="D431" s="879"/>
      <c r="E431" s="879"/>
      <c r="F431" s="879"/>
      <c r="G431" s="879"/>
      <c r="H431" s="879"/>
      <c r="I431" s="879"/>
      <c r="J431" s="879"/>
      <c r="K431" s="879"/>
      <c r="L431" s="879"/>
      <c r="M431" s="879"/>
      <c r="N431" s="879"/>
      <c r="O431" s="879"/>
      <c r="P431" s="879"/>
      <c r="Q431" s="879"/>
      <c r="R431" s="879"/>
      <c r="S431" s="879"/>
      <c r="T431" s="879"/>
      <c r="U431" s="879"/>
      <c r="V431" s="879"/>
      <c r="W431" s="879"/>
      <c r="X431" s="879"/>
      <c r="Y431" s="879"/>
      <c r="Z431" s="879"/>
    </row>
    <row r="432" spans="1:26" ht="12.75" customHeight="1">
      <c r="A432" s="879"/>
      <c r="B432" s="879"/>
      <c r="C432" s="879"/>
      <c r="D432" s="879"/>
      <c r="E432" s="879"/>
      <c r="F432" s="879"/>
      <c r="G432" s="879"/>
      <c r="H432" s="879"/>
      <c r="I432" s="879"/>
      <c r="J432" s="879"/>
      <c r="K432" s="879"/>
      <c r="L432" s="879"/>
      <c r="M432" s="879"/>
      <c r="N432" s="879"/>
      <c r="O432" s="879"/>
      <c r="P432" s="879"/>
      <c r="Q432" s="879"/>
      <c r="R432" s="879"/>
      <c r="S432" s="879"/>
      <c r="T432" s="879"/>
      <c r="U432" s="879"/>
      <c r="V432" s="879"/>
      <c r="W432" s="879"/>
      <c r="X432" s="879"/>
      <c r="Y432" s="879"/>
      <c r="Z432" s="879"/>
    </row>
    <row r="433" spans="1:26" ht="12.75" customHeight="1">
      <c r="A433" s="879"/>
      <c r="B433" s="879"/>
      <c r="C433" s="879"/>
      <c r="D433" s="879"/>
      <c r="E433" s="879"/>
      <c r="F433" s="879"/>
      <c r="G433" s="879"/>
      <c r="H433" s="879"/>
      <c r="I433" s="879"/>
      <c r="J433" s="879"/>
      <c r="K433" s="879"/>
      <c r="L433" s="879"/>
      <c r="M433" s="879"/>
      <c r="N433" s="879"/>
      <c r="O433" s="879"/>
      <c r="P433" s="879"/>
      <c r="Q433" s="879"/>
      <c r="R433" s="879"/>
      <c r="S433" s="879"/>
      <c r="T433" s="879"/>
      <c r="U433" s="879"/>
      <c r="V433" s="879"/>
      <c r="W433" s="879"/>
      <c r="X433" s="879"/>
      <c r="Y433" s="879"/>
      <c r="Z433" s="879"/>
    </row>
    <row r="434" spans="1:26" ht="12.75" customHeight="1">
      <c r="A434" s="879"/>
      <c r="B434" s="879"/>
      <c r="C434" s="879"/>
      <c r="D434" s="879"/>
      <c r="E434" s="879"/>
      <c r="F434" s="879"/>
      <c r="G434" s="879"/>
      <c r="H434" s="879"/>
      <c r="I434" s="879"/>
      <c r="J434" s="879"/>
      <c r="K434" s="879"/>
      <c r="L434" s="879"/>
      <c r="M434" s="879"/>
      <c r="N434" s="879"/>
      <c r="O434" s="879"/>
      <c r="P434" s="879"/>
      <c r="Q434" s="879"/>
      <c r="R434" s="879"/>
      <c r="S434" s="879"/>
      <c r="T434" s="879"/>
      <c r="U434" s="879"/>
      <c r="V434" s="879"/>
      <c r="W434" s="879"/>
      <c r="X434" s="879"/>
      <c r="Y434" s="879"/>
      <c r="Z434" s="879"/>
    </row>
    <row r="435" spans="1:26" ht="12.75" customHeight="1">
      <c r="A435" s="879"/>
      <c r="B435" s="879"/>
      <c r="C435" s="879"/>
      <c r="D435" s="879"/>
      <c r="E435" s="879"/>
      <c r="F435" s="879"/>
      <c r="G435" s="879"/>
      <c r="H435" s="879"/>
      <c r="I435" s="879"/>
      <c r="J435" s="879"/>
      <c r="K435" s="879"/>
      <c r="L435" s="879"/>
      <c r="M435" s="879"/>
      <c r="N435" s="879"/>
      <c r="O435" s="879"/>
      <c r="P435" s="879"/>
      <c r="Q435" s="879"/>
      <c r="R435" s="879"/>
      <c r="S435" s="879"/>
      <c r="T435" s="879"/>
      <c r="U435" s="879"/>
      <c r="V435" s="879"/>
      <c r="W435" s="879"/>
      <c r="X435" s="879"/>
      <c r="Y435" s="879"/>
      <c r="Z435" s="879"/>
    </row>
    <row r="436" spans="1:26" ht="12.75" customHeight="1">
      <c r="A436" s="879"/>
      <c r="B436" s="879"/>
      <c r="C436" s="879"/>
      <c r="D436" s="879"/>
      <c r="E436" s="879"/>
      <c r="F436" s="879"/>
      <c r="G436" s="879"/>
      <c r="H436" s="879"/>
      <c r="I436" s="879"/>
      <c r="J436" s="879"/>
      <c r="K436" s="879"/>
      <c r="L436" s="879"/>
      <c r="M436" s="879"/>
      <c r="N436" s="879"/>
      <c r="O436" s="879"/>
      <c r="P436" s="879"/>
      <c r="Q436" s="879"/>
      <c r="R436" s="879"/>
      <c r="S436" s="879"/>
      <c r="T436" s="879"/>
      <c r="U436" s="879"/>
      <c r="V436" s="879"/>
      <c r="W436" s="879"/>
      <c r="X436" s="879"/>
      <c r="Y436" s="879"/>
      <c r="Z436" s="879"/>
    </row>
    <row r="437" spans="1:26" ht="12.75" customHeight="1">
      <c r="A437" s="879"/>
      <c r="B437" s="879"/>
      <c r="C437" s="879"/>
      <c r="D437" s="879"/>
      <c r="E437" s="879"/>
      <c r="F437" s="879"/>
      <c r="G437" s="879"/>
      <c r="H437" s="879"/>
      <c r="I437" s="879"/>
      <c r="J437" s="879"/>
      <c r="K437" s="879"/>
      <c r="L437" s="879"/>
      <c r="M437" s="879"/>
      <c r="N437" s="879"/>
      <c r="O437" s="879"/>
      <c r="P437" s="879"/>
      <c r="Q437" s="879"/>
      <c r="R437" s="879"/>
      <c r="S437" s="879"/>
      <c r="T437" s="879"/>
      <c r="U437" s="879"/>
      <c r="V437" s="879"/>
      <c r="W437" s="879"/>
      <c r="X437" s="879"/>
      <c r="Y437" s="879"/>
      <c r="Z437" s="879"/>
    </row>
    <row r="438" spans="1:26" ht="12.75" customHeight="1">
      <c r="A438" s="879"/>
      <c r="B438" s="879"/>
      <c r="C438" s="879"/>
      <c r="D438" s="879"/>
      <c r="E438" s="879"/>
      <c r="F438" s="879"/>
      <c r="G438" s="879"/>
      <c r="H438" s="879"/>
      <c r="I438" s="879"/>
      <c r="J438" s="879"/>
      <c r="K438" s="879"/>
      <c r="L438" s="879"/>
      <c r="M438" s="879"/>
      <c r="N438" s="879"/>
      <c r="O438" s="879"/>
      <c r="P438" s="879"/>
      <c r="Q438" s="879"/>
      <c r="R438" s="879"/>
      <c r="S438" s="879"/>
      <c r="T438" s="879"/>
      <c r="U438" s="879"/>
      <c r="V438" s="879"/>
      <c r="W438" s="879"/>
      <c r="X438" s="879"/>
      <c r="Y438" s="879"/>
      <c r="Z438" s="879"/>
    </row>
    <row r="439" spans="1:26" ht="12.75" customHeight="1">
      <c r="A439" s="879"/>
      <c r="B439" s="879"/>
      <c r="C439" s="879"/>
      <c r="D439" s="879"/>
      <c r="E439" s="879"/>
      <c r="F439" s="879"/>
      <c r="G439" s="879"/>
      <c r="H439" s="879"/>
      <c r="I439" s="879"/>
      <c r="J439" s="879"/>
      <c r="K439" s="879"/>
      <c r="L439" s="879"/>
      <c r="M439" s="879"/>
      <c r="N439" s="879"/>
      <c r="O439" s="879"/>
      <c r="P439" s="879"/>
      <c r="Q439" s="879"/>
      <c r="R439" s="879"/>
      <c r="S439" s="879"/>
      <c r="T439" s="879"/>
      <c r="U439" s="879"/>
      <c r="V439" s="879"/>
      <c r="W439" s="879"/>
      <c r="X439" s="879"/>
      <c r="Y439" s="879"/>
      <c r="Z439" s="879"/>
    </row>
    <row r="440" spans="1:26" ht="12.75" customHeight="1">
      <c r="A440" s="879"/>
      <c r="B440" s="879"/>
      <c r="C440" s="879"/>
      <c r="D440" s="879"/>
      <c r="E440" s="879"/>
      <c r="F440" s="879"/>
      <c r="G440" s="879"/>
      <c r="H440" s="879"/>
      <c r="I440" s="879"/>
      <c r="J440" s="879"/>
      <c r="K440" s="879"/>
      <c r="L440" s="879"/>
      <c r="M440" s="879"/>
      <c r="N440" s="879"/>
      <c r="O440" s="879"/>
      <c r="P440" s="879"/>
      <c r="Q440" s="879"/>
      <c r="R440" s="879"/>
      <c r="S440" s="879"/>
      <c r="T440" s="879"/>
      <c r="U440" s="879"/>
      <c r="V440" s="879"/>
      <c r="W440" s="879"/>
      <c r="X440" s="879"/>
      <c r="Y440" s="879"/>
      <c r="Z440" s="879"/>
    </row>
    <row r="441" spans="1:26" ht="12.75" customHeight="1">
      <c r="A441" s="879"/>
      <c r="B441" s="879"/>
      <c r="C441" s="879"/>
      <c r="D441" s="879"/>
      <c r="E441" s="879"/>
      <c r="F441" s="879"/>
      <c r="G441" s="879"/>
      <c r="H441" s="879"/>
      <c r="I441" s="879"/>
      <c r="J441" s="879"/>
      <c r="K441" s="879"/>
      <c r="L441" s="879"/>
      <c r="M441" s="879"/>
      <c r="N441" s="879"/>
      <c r="O441" s="879"/>
      <c r="P441" s="879"/>
      <c r="Q441" s="879"/>
      <c r="R441" s="879"/>
      <c r="S441" s="879"/>
      <c r="T441" s="879"/>
      <c r="U441" s="879"/>
      <c r="V441" s="879"/>
      <c r="W441" s="879"/>
      <c r="X441" s="879"/>
      <c r="Y441" s="879"/>
      <c r="Z441" s="879"/>
    </row>
    <row r="442" spans="1:26" ht="12.75" customHeight="1">
      <c r="A442" s="879"/>
      <c r="B442" s="879"/>
      <c r="C442" s="879"/>
      <c r="D442" s="879"/>
      <c r="E442" s="879"/>
      <c r="F442" s="879"/>
      <c r="G442" s="879"/>
      <c r="H442" s="879"/>
      <c r="I442" s="879"/>
      <c r="J442" s="879"/>
      <c r="K442" s="879"/>
      <c r="L442" s="879"/>
      <c r="M442" s="879"/>
      <c r="N442" s="879"/>
      <c r="O442" s="879"/>
      <c r="P442" s="879"/>
      <c r="Q442" s="879"/>
      <c r="R442" s="879"/>
      <c r="S442" s="879"/>
      <c r="T442" s="879"/>
      <c r="U442" s="879"/>
      <c r="V442" s="879"/>
      <c r="W442" s="879"/>
      <c r="X442" s="879"/>
      <c r="Y442" s="879"/>
      <c r="Z442" s="879"/>
    </row>
    <row r="443" spans="1:26" ht="12.75" customHeight="1">
      <c r="A443" s="879"/>
      <c r="B443" s="879"/>
      <c r="C443" s="879"/>
      <c r="D443" s="879"/>
      <c r="E443" s="879"/>
      <c r="F443" s="879"/>
      <c r="G443" s="879"/>
      <c r="H443" s="879"/>
      <c r="I443" s="879"/>
      <c r="J443" s="879"/>
      <c r="K443" s="879"/>
      <c r="L443" s="879"/>
      <c r="M443" s="879"/>
      <c r="N443" s="879"/>
      <c r="O443" s="879"/>
      <c r="P443" s="879"/>
      <c r="Q443" s="879"/>
      <c r="R443" s="879"/>
      <c r="S443" s="879"/>
      <c r="T443" s="879"/>
      <c r="U443" s="879"/>
      <c r="V443" s="879"/>
      <c r="W443" s="879"/>
      <c r="X443" s="879"/>
      <c r="Y443" s="879"/>
      <c r="Z443" s="879"/>
    </row>
    <row r="444" spans="1:26" ht="12.75" customHeight="1">
      <c r="A444" s="879"/>
      <c r="B444" s="879"/>
      <c r="C444" s="879"/>
      <c r="D444" s="879"/>
      <c r="E444" s="879"/>
      <c r="F444" s="879"/>
      <c r="G444" s="879"/>
      <c r="H444" s="879"/>
      <c r="I444" s="879"/>
      <c r="J444" s="879"/>
      <c r="K444" s="879"/>
      <c r="L444" s="879"/>
      <c r="M444" s="879"/>
      <c r="N444" s="879"/>
      <c r="O444" s="879"/>
      <c r="P444" s="879"/>
      <c r="Q444" s="879"/>
      <c r="R444" s="879"/>
      <c r="S444" s="879"/>
      <c r="T444" s="879"/>
      <c r="U444" s="879"/>
      <c r="V444" s="879"/>
      <c r="W444" s="879"/>
      <c r="X444" s="879"/>
      <c r="Y444" s="879"/>
      <c r="Z444" s="879"/>
    </row>
    <row r="445" spans="1:26" ht="12.75" customHeight="1">
      <c r="A445" s="879"/>
      <c r="B445" s="879"/>
      <c r="C445" s="879"/>
      <c r="D445" s="879"/>
      <c r="E445" s="879"/>
      <c r="F445" s="879"/>
      <c r="G445" s="879"/>
      <c r="H445" s="879"/>
      <c r="I445" s="879"/>
      <c r="J445" s="879"/>
      <c r="K445" s="879"/>
      <c r="L445" s="879"/>
      <c r="M445" s="879"/>
      <c r="N445" s="879"/>
      <c r="O445" s="879"/>
      <c r="P445" s="879"/>
      <c r="Q445" s="879"/>
      <c r="R445" s="879"/>
      <c r="S445" s="879"/>
      <c r="T445" s="879"/>
      <c r="U445" s="879"/>
      <c r="V445" s="879"/>
      <c r="W445" s="879"/>
      <c r="X445" s="879"/>
      <c r="Y445" s="879"/>
      <c r="Z445" s="879"/>
    </row>
    <row r="446" spans="1:26" ht="12.75" customHeight="1">
      <c r="A446" s="879"/>
      <c r="B446" s="879"/>
      <c r="C446" s="879"/>
      <c r="D446" s="879"/>
      <c r="E446" s="879"/>
      <c r="F446" s="879"/>
      <c r="G446" s="879"/>
      <c r="H446" s="879"/>
      <c r="I446" s="879"/>
      <c r="J446" s="879"/>
      <c r="K446" s="879"/>
      <c r="L446" s="879"/>
      <c r="M446" s="879"/>
      <c r="N446" s="879"/>
      <c r="O446" s="879"/>
      <c r="P446" s="879"/>
      <c r="Q446" s="879"/>
      <c r="R446" s="879"/>
      <c r="S446" s="879"/>
      <c r="T446" s="879"/>
      <c r="U446" s="879"/>
      <c r="V446" s="879"/>
      <c r="W446" s="879"/>
      <c r="X446" s="879"/>
      <c r="Y446" s="879"/>
      <c r="Z446" s="879"/>
    </row>
    <row r="447" spans="1:26" ht="12.75" customHeight="1">
      <c r="A447" s="879"/>
      <c r="B447" s="879"/>
      <c r="C447" s="879"/>
      <c r="D447" s="879"/>
      <c r="E447" s="879"/>
      <c r="F447" s="879"/>
      <c r="G447" s="879"/>
      <c r="H447" s="879"/>
      <c r="I447" s="879"/>
      <c r="J447" s="879"/>
      <c r="K447" s="879"/>
      <c r="L447" s="879"/>
      <c r="M447" s="879"/>
      <c r="N447" s="879"/>
      <c r="O447" s="879"/>
      <c r="P447" s="879"/>
      <c r="Q447" s="879"/>
      <c r="R447" s="879"/>
      <c r="S447" s="879"/>
      <c r="T447" s="879"/>
      <c r="U447" s="879"/>
      <c r="V447" s="879"/>
      <c r="W447" s="879"/>
      <c r="X447" s="879"/>
      <c r="Y447" s="879"/>
      <c r="Z447" s="879"/>
    </row>
    <row r="448" spans="1:26" ht="12.75" customHeight="1">
      <c r="A448" s="879"/>
      <c r="B448" s="879"/>
      <c r="C448" s="879"/>
      <c r="D448" s="879"/>
      <c r="E448" s="879"/>
      <c r="F448" s="879"/>
      <c r="G448" s="879"/>
      <c r="H448" s="879"/>
      <c r="I448" s="879"/>
      <c r="J448" s="879"/>
      <c r="K448" s="879"/>
      <c r="L448" s="879"/>
      <c r="M448" s="879"/>
      <c r="N448" s="879"/>
      <c r="O448" s="879"/>
      <c r="P448" s="879"/>
      <c r="Q448" s="879"/>
      <c r="R448" s="879"/>
      <c r="S448" s="879"/>
      <c r="T448" s="879"/>
      <c r="U448" s="879"/>
      <c r="V448" s="879"/>
      <c r="W448" s="879"/>
      <c r="X448" s="879"/>
      <c r="Y448" s="879"/>
      <c r="Z448" s="879"/>
    </row>
    <row r="449" spans="1:26" ht="12.75" customHeight="1">
      <c r="A449" s="879"/>
      <c r="B449" s="879"/>
      <c r="C449" s="879"/>
      <c r="D449" s="879"/>
      <c r="E449" s="879"/>
      <c r="F449" s="879"/>
      <c r="G449" s="879"/>
      <c r="H449" s="879"/>
      <c r="I449" s="879"/>
      <c r="J449" s="879"/>
      <c r="K449" s="879"/>
      <c r="L449" s="879"/>
      <c r="M449" s="879"/>
      <c r="N449" s="879"/>
      <c r="O449" s="879"/>
      <c r="P449" s="879"/>
      <c r="Q449" s="879"/>
      <c r="R449" s="879"/>
      <c r="S449" s="879"/>
      <c r="T449" s="879"/>
      <c r="U449" s="879"/>
      <c r="V449" s="879"/>
      <c r="W449" s="879"/>
      <c r="X449" s="879"/>
      <c r="Y449" s="879"/>
      <c r="Z449" s="879"/>
    </row>
    <row r="450" spans="1:26" ht="12.75" customHeight="1">
      <c r="A450" s="879"/>
      <c r="B450" s="879"/>
      <c r="C450" s="879"/>
      <c r="D450" s="879"/>
      <c r="E450" s="879"/>
      <c r="F450" s="879"/>
      <c r="G450" s="879"/>
      <c r="H450" s="879"/>
      <c r="I450" s="879"/>
      <c r="J450" s="879"/>
      <c r="K450" s="879"/>
      <c r="L450" s="879"/>
      <c r="M450" s="879"/>
      <c r="N450" s="879"/>
      <c r="O450" s="879"/>
      <c r="P450" s="879"/>
      <c r="Q450" s="879"/>
      <c r="R450" s="879"/>
      <c r="S450" s="879"/>
      <c r="T450" s="879"/>
      <c r="U450" s="879"/>
      <c r="V450" s="879"/>
      <c r="W450" s="879"/>
      <c r="X450" s="879"/>
      <c r="Y450" s="879"/>
      <c r="Z450" s="879"/>
    </row>
    <row r="451" spans="1:26" ht="12.75" customHeight="1">
      <c r="A451" s="879"/>
      <c r="B451" s="879"/>
      <c r="C451" s="879"/>
      <c r="D451" s="879"/>
      <c r="E451" s="879"/>
      <c r="F451" s="879"/>
      <c r="G451" s="879"/>
      <c r="H451" s="879"/>
      <c r="I451" s="879"/>
      <c r="J451" s="879"/>
      <c r="K451" s="879"/>
      <c r="L451" s="879"/>
      <c r="M451" s="879"/>
      <c r="N451" s="879"/>
      <c r="O451" s="879"/>
      <c r="P451" s="879"/>
      <c r="Q451" s="879"/>
      <c r="R451" s="879"/>
      <c r="S451" s="879"/>
      <c r="T451" s="879"/>
      <c r="U451" s="879"/>
      <c r="V451" s="879"/>
      <c r="W451" s="879"/>
      <c r="X451" s="879"/>
      <c r="Y451" s="879"/>
      <c r="Z451" s="879"/>
    </row>
    <row r="452" spans="1:26" ht="12.75" customHeight="1">
      <c r="A452" s="879"/>
      <c r="B452" s="879"/>
      <c r="C452" s="879"/>
      <c r="D452" s="879"/>
      <c r="E452" s="879"/>
      <c r="F452" s="879"/>
      <c r="G452" s="879"/>
      <c r="H452" s="879"/>
      <c r="I452" s="879"/>
      <c r="J452" s="879"/>
      <c r="K452" s="879"/>
      <c r="L452" s="879"/>
      <c r="M452" s="879"/>
      <c r="N452" s="879"/>
      <c r="O452" s="879"/>
      <c r="P452" s="879"/>
      <c r="Q452" s="879"/>
      <c r="R452" s="879"/>
      <c r="S452" s="879"/>
      <c r="T452" s="879"/>
      <c r="U452" s="879"/>
      <c r="V452" s="879"/>
      <c r="W452" s="879"/>
      <c r="X452" s="879"/>
      <c r="Y452" s="879"/>
      <c r="Z452" s="879"/>
    </row>
    <row r="453" spans="1:26" ht="12.75" customHeight="1">
      <c r="A453" s="879"/>
      <c r="B453" s="879"/>
      <c r="C453" s="879"/>
      <c r="D453" s="879"/>
      <c r="E453" s="879"/>
      <c r="F453" s="879"/>
      <c r="G453" s="879"/>
      <c r="H453" s="879"/>
      <c r="I453" s="879"/>
      <c r="J453" s="879"/>
      <c r="K453" s="879"/>
      <c r="L453" s="879"/>
      <c r="M453" s="879"/>
      <c r="N453" s="879"/>
      <c r="O453" s="879"/>
      <c r="P453" s="879"/>
      <c r="Q453" s="879"/>
      <c r="R453" s="879"/>
      <c r="S453" s="879"/>
      <c r="T453" s="879"/>
      <c r="U453" s="879"/>
      <c r="V453" s="879"/>
      <c r="W453" s="879"/>
      <c r="X453" s="879"/>
      <c r="Y453" s="879"/>
      <c r="Z453" s="879"/>
    </row>
    <row r="454" spans="1:26" ht="12.75" customHeight="1">
      <c r="A454" s="879"/>
      <c r="B454" s="879"/>
      <c r="C454" s="879"/>
      <c r="D454" s="879"/>
      <c r="E454" s="879"/>
      <c r="F454" s="879"/>
      <c r="G454" s="879"/>
      <c r="H454" s="879"/>
      <c r="I454" s="879"/>
      <c r="J454" s="879"/>
      <c r="K454" s="879"/>
      <c r="L454" s="879"/>
      <c r="M454" s="879"/>
      <c r="N454" s="879"/>
      <c r="O454" s="879"/>
      <c r="P454" s="879"/>
      <c r="Q454" s="879"/>
      <c r="R454" s="879"/>
      <c r="S454" s="879"/>
      <c r="T454" s="879"/>
      <c r="U454" s="879"/>
      <c r="V454" s="879"/>
      <c r="W454" s="879"/>
      <c r="X454" s="879"/>
      <c r="Y454" s="879"/>
      <c r="Z454" s="879"/>
    </row>
    <row r="455" spans="1:26" ht="12.75" customHeight="1">
      <c r="A455" s="879"/>
      <c r="B455" s="879"/>
      <c r="C455" s="879"/>
      <c r="D455" s="879"/>
      <c r="E455" s="879"/>
      <c r="F455" s="879"/>
      <c r="G455" s="879"/>
      <c r="H455" s="879"/>
      <c r="I455" s="879"/>
      <c r="J455" s="879"/>
      <c r="K455" s="879"/>
      <c r="L455" s="879"/>
      <c r="M455" s="879"/>
      <c r="N455" s="879"/>
      <c r="O455" s="879"/>
      <c r="P455" s="879"/>
      <c r="Q455" s="879"/>
      <c r="R455" s="879"/>
      <c r="S455" s="879"/>
      <c r="T455" s="879"/>
      <c r="U455" s="879"/>
      <c r="V455" s="879"/>
      <c r="W455" s="879"/>
      <c r="X455" s="879"/>
      <c r="Y455" s="879"/>
      <c r="Z455" s="879"/>
    </row>
    <row r="456" spans="1:26" ht="12.75" customHeight="1">
      <c r="A456" s="879"/>
      <c r="B456" s="879"/>
      <c r="C456" s="879"/>
      <c r="D456" s="879"/>
      <c r="E456" s="879"/>
      <c r="F456" s="879"/>
      <c r="G456" s="879"/>
      <c r="H456" s="879"/>
      <c r="I456" s="879"/>
      <c r="J456" s="879"/>
      <c r="K456" s="879"/>
      <c r="L456" s="879"/>
      <c r="M456" s="879"/>
      <c r="N456" s="879"/>
      <c r="O456" s="879"/>
      <c r="P456" s="879"/>
      <c r="Q456" s="879"/>
      <c r="R456" s="879"/>
      <c r="S456" s="879"/>
      <c r="T456" s="879"/>
      <c r="U456" s="879"/>
      <c r="V456" s="879"/>
      <c r="W456" s="879"/>
      <c r="X456" s="879"/>
      <c r="Y456" s="879"/>
      <c r="Z456" s="879"/>
    </row>
    <row r="457" spans="1:26" ht="12.75" customHeight="1">
      <c r="A457" s="879"/>
      <c r="B457" s="879"/>
      <c r="C457" s="879"/>
      <c r="D457" s="879"/>
      <c r="E457" s="879"/>
      <c r="F457" s="879"/>
      <c r="G457" s="879"/>
      <c r="H457" s="879"/>
      <c r="I457" s="879"/>
      <c r="J457" s="879"/>
      <c r="K457" s="879"/>
      <c r="L457" s="879"/>
      <c r="M457" s="879"/>
      <c r="N457" s="879"/>
      <c r="O457" s="879"/>
      <c r="P457" s="879"/>
      <c r="Q457" s="879"/>
      <c r="R457" s="879"/>
      <c r="S457" s="879"/>
      <c r="T457" s="879"/>
      <c r="U457" s="879"/>
      <c r="V457" s="879"/>
      <c r="W457" s="879"/>
      <c r="X457" s="879"/>
      <c r="Y457" s="879"/>
      <c r="Z457" s="879"/>
    </row>
    <row r="458" spans="1:26" ht="12.75" customHeight="1">
      <c r="A458" s="879"/>
      <c r="B458" s="879"/>
      <c r="C458" s="879"/>
      <c r="D458" s="879"/>
      <c r="E458" s="879"/>
      <c r="F458" s="879"/>
      <c r="G458" s="879"/>
      <c r="H458" s="879"/>
      <c r="I458" s="879"/>
      <c r="J458" s="879"/>
      <c r="K458" s="879"/>
      <c r="L458" s="879"/>
      <c r="M458" s="879"/>
      <c r="N458" s="879"/>
      <c r="O458" s="879"/>
      <c r="P458" s="879"/>
      <c r="Q458" s="879"/>
      <c r="R458" s="879"/>
      <c r="S458" s="879"/>
      <c r="T458" s="879"/>
      <c r="U458" s="879"/>
      <c r="V458" s="879"/>
      <c r="W458" s="879"/>
      <c r="X458" s="879"/>
      <c r="Y458" s="879"/>
      <c r="Z458" s="879"/>
    </row>
    <row r="459" spans="1:26" ht="12.75" customHeight="1">
      <c r="A459" s="879"/>
      <c r="B459" s="879"/>
      <c r="C459" s="879"/>
      <c r="D459" s="879"/>
      <c r="E459" s="879"/>
      <c r="F459" s="879"/>
      <c r="G459" s="879"/>
      <c r="H459" s="879"/>
      <c r="I459" s="879"/>
      <c r="J459" s="879"/>
      <c r="K459" s="879"/>
      <c r="L459" s="879"/>
      <c r="M459" s="879"/>
      <c r="N459" s="879"/>
      <c r="O459" s="879"/>
      <c r="P459" s="879"/>
      <c r="Q459" s="879"/>
      <c r="R459" s="879"/>
      <c r="S459" s="879"/>
      <c r="T459" s="879"/>
      <c r="U459" s="879"/>
      <c r="V459" s="879"/>
      <c r="W459" s="879"/>
      <c r="X459" s="879"/>
      <c r="Y459" s="879"/>
      <c r="Z459" s="879"/>
    </row>
    <row r="460" spans="1:26" ht="12.75" customHeight="1">
      <c r="A460" s="879"/>
      <c r="B460" s="879"/>
      <c r="C460" s="879"/>
      <c r="D460" s="879"/>
      <c r="E460" s="879"/>
      <c r="F460" s="879"/>
      <c r="G460" s="879"/>
      <c r="H460" s="879"/>
      <c r="I460" s="879"/>
      <c r="J460" s="879"/>
      <c r="K460" s="879"/>
      <c r="L460" s="879"/>
      <c r="M460" s="879"/>
      <c r="N460" s="879"/>
      <c r="O460" s="879"/>
      <c r="P460" s="879"/>
      <c r="Q460" s="879"/>
      <c r="R460" s="879"/>
      <c r="S460" s="879"/>
      <c r="T460" s="879"/>
      <c r="U460" s="879"/>
      <c r="V460" s="879"/>
      <c r="W460" s="879"/>
      <c r="X460" s="879"/>
      <c r="Y460" s="879"/>
      <c r="Z460" s="879"/>
    </row>
    <row r="461" spans="1:26" ht="12.75" customHeight="1">
      <c r="A461" s="879"/>
      <c r="B461" s="879"/>
      <c r="C461" s="879"/>
      <c r="D461" s="879"/>
      <c r="E461" s="879"/>
      <c r="F461" s="879"/>
      <c r="G461" s="879"/>
      <c r="H461" s="879"/>
      <c r="I461" s="879"/>
      <c r="J461" s="879"/>
      <c r="K461" s="879"/>
      <c r="L461" s="879"/>
      <c r="M461" s="879"/>
      <c r="N461" s="879"/>
      <c r="O461" s="879"/>
      <c r="P461" s="879"/>
      <c r="Q461" s="879"/>
      <c r="R461" s="879"/>
      <c r="S461" s="879"/>
      <c r="T461" s="879"/>
      <c r="U461" s="879"/>
      <c r="V461" s="879"/>
      <c r="W461" s="879"/>
      <c r="X461" s="879"/>
      <c r="Y461" s="879"/>
      <c r="Z461" s="879"/>
    </row>
    <row r="462" spans="1:26" ht="12.75" customHeight="1">
      <c r="A462" s="879"/>
      <c r="B462" s="879"/>
      <c r="C462" s="879"/>
      <c r="D462" s="879"/>
      <c r="E462" s="879"/>
      <c r="F462" s="879"/>
      <c r="G462" s="879"/>
      <c r="H462" s="879"/>
      <c r="I462" s="879"/>
      <c r="J462" s="879"/>
      <c r="K462" s="879"/>
      <c r="L462" s="879"/>
      <c r="M462" s="879"/>
      <c r="N462" s="879"/>
      <c r="O462" s="879"/>
      <c r="P462" s="879"/>
      <c r="Q462" s="879"/>
      <c r="R462" s="879"/>
      <c r="S462" s="879"/>
      <c r="T462" s="879"/>
      <c r="U462" s="879"/>
      <c r="V462" s="879"/>
      <c r="W462" s="879"/>
      <c r="X462" s="879"/>
      <c r="Y462" s="879"/>
      <c r="Z462" s="879"/>
    </row>
    <row r="463" spans="1:26" ht="12.75" customHeight="1">
      <c r="A463" s="879"/>
      <c r="B463" s="879"/>
      <c r="C463" s="879"/>
      <c r="D463" s="879"/>
      <c r="E463" s="879"/>
      <c r="F463" s="879"/>
      <c r="G463" s="879"/>
      <c r="H463" s="879"/>
      <c r="I463" s="879"/>
      <c r="J463" s="879"/>
      <c r="K463" s="879"/>
      <c r="L463" s="879"/>
      <c r="M463" s="879"/>
      <c r="N463" s="879"/>
      <c r="O463" s="879"/>
      <c r="P463" s="879"/>
      <c r="Q463" s="879"/>
      <c r="R463" s="879"/>
      <c r="S463" s="879"/>
      <c r="T463" s="879"/>
      <c r="U463" s="879"/>
      <c r="V463" s="879"/>
      <c r="W463" s="879"/>
      <c r="X463" s="879"/>
      <c r="Y463" s="879"/>
      <c r="Z463" s="879"/>
    </row>
    <row r="464" spans="1:26" ht="12.75" customHeight="1">
      <c r="A464" s="879"/>
      <c r="B464" s="879"/>
      <c r="C464" s="879"/>
      <c r="D464" s="879"/>
      <c r="E464" s="879"/>
      <c r="F464" s="879"/>
      <c r="G464" s="879"/>
      <c r="H464" s="879"/>
      <c r="I464" s="879"/>
      <c r="J464" s="879"/>
      <c r="K464" s="879"/>
      <c r="L464" s="879"/>
      <c r="M464" s="879"/>
      <c r="N464" s="879"/>
      <c r="O464" s="879"/>
      <c r="P464" s="879"/>
      <c r="Q464" s="879"/>
      <c r="R464" s="879"/>
      <c r="S464" s="879"/>
      <c r="T464" s="879"/>
      <c r="U464" s="879"/>
      <c r="V464" s="879"/>
      <c r="W464" s="879"/>
      <c r="X464" s="879"/>
      <c r="Y464" s="879"/>
      <c r="Z464" s="879"/>
    </row>
    <row r="465" spans="1:26" ht="12.75" customHeight="1">
      <c r="A465" s="879"/>
      <c r="B465" s="879"/>
      <c r="C465" s="879"/>
      <c r="D465" s="879"/>
      <c r="E465" s="879"/>
      <c r="F465" s="879"/>
      <c r="G465" s="879"/>
      <c r="H465" s="879"/>
      <c r="I465" s="879"/>
      <c r="J465" s="879"/>
      <c r="K465" s="879"/>
      <c r="L465" s="879"/>
      <c r="M465" s="879"/>
      <c r="N465" s="879"/>
      <c r="O465" s="879"/>
      <c r="P465" s="879"/>
      <c r="Q465" s="879"/>
      <c r="R465" s="879"/>
      <c r="S465" s="879"/>
      <c r="T465" s="879"/>
      <c r="U465" s="879"/>
      <c r="V465" s="879"/>
      <c r="W465" s="879"/>
      <c r="X465" s="879"/>
      <c r="Y465" s="879"/>
      <c r="Z465" s="879"/>
    </row>
    <row r="466" spans="1:26" ht="12.75" customHeight="1">
      <c r="A466" s="879"/>
      <c r="B466" s="879"/>
      <c r="C466" s="879"/>
      <c r="D466" s="879"/>
      <c r="E466" s="879"/>
      <c r="F466" s="879"/>
      <c r="G466" s="879"/>
      <c r="H466" s="879"/>
      <c r="I466" s="879"/>
      <c r="J466" s="879"/>
      <c r="K466" s="879"/>
      <c r="L466" s="879"/>
      <c r="M466" s="879"/>
      <c r="N466" s="879"/>
      <c r="O466" s="879"/>
      <c r="P466" s="879"/>
      <c r="Q466" s="879"/>
      <c r="R466" s="879"/>
      <c r="S466" s="879"/>
      <c r="T466" s="879"/>
      <c r="U466" s="879"/>
      <c r="V466" s="879"/>
      <c r="W466" s="879"/>
      <c r="X466" s="879"/>
      <c r="Y466" s="879"/>
      <c r="Z466" s="879"/>
    </row>
    <row r="467" spans="1:26" ht="12.75" customHeight="1">
      <c r="A467" s="879"/>
      <c r="B467" s="879"/>
      <c r="C467" s="879"/>
      <c r="D467" s="879"/>
      <c r="E467" s="879"/>
      <c r="F467" s="879"/>
      <c r="G467" s="879"/>
      <c r="H467" s="879"/>
      <c r="I467" s="879"/>
      <c r="J467" s="879"/>
      <c r="K467" s="879"/>
      <c r="L467" s="879"/>
      <c r="M467" s="879"/>
      <c r="N467" s="879"/>
      <c r="O467" s="879"/>
      <c r="P467" s="879"/>
      <c r="Q467" s="879"/>
      <c r="R467" s="879"/>
      <c r="S467" s="879"/>
      <c r="T467" s="879"/>
      <c r="U467" s="879"/>
      <c r="V467" s="879"/>
      <c r="W467" s="879"/>
      <c r="X467" s="879"/>
      <c r="Y467" s="879"/>
      <c r="Z467" s="879"/>
    </row>
    <row r="468" spans="1:26" ht="12.75" customHeight="1">
      <c r="A468" s="879"/>
      <c r="B468" s="879"/>
      <c r="C468" s="879"/>
      <c r="D468" s="879"/>
      <c r="E468" s="879"/>
      <c r="F468" s="879"/>
      <c r="G468" s="879"/>
      <c r="H468" s="879"/>
      <c r="I468" s="879"/>
      <c r="J468" s="879"/>
      <c r="K468" s="879"/>
      <c r="L468" s="879"/>
      <c r="M468" s="879"/>
      <c r="N468" s="879"/>
      <c r="O468" s="879"/>
      <c r="P468" s="879"/>
      <c r="Q468" s="879"/>
      <c r="R468" s="879"/>
      <c r="S468" s="879"/>
      <c r="T468" s="879"/>
      <c r="U468" s="879"/>
      <c r="V468" s="879"/>
      <c r="W468" s="879"/>
      <c r="X468" s="879"/>
      <c r="Y468" s="879"/>
      <c r="Z468" s="879"/>
    </row>
    <row r="469" spans="1:26" ht="12.75" customHeight="1">
      <c r="A469" s="879"/>
      <c r="B469" s="879"/>
      <c r="C469" s="879"/>
      <c r="D469" s="879"/>
      <c r="E469" s="879"/>
      <c r="F469" s="879"/>
      <c r="G469" s="879"/>
      <c r="H469" s="879"/>
      <c r="I469" s="879"/>
      <c r="J469" s="879"/>
      <c r="K469" s="879"/>
      <c r="L469" s="879"/>
      <c r="M469" s="879"/>
      <c r="N469" s="879"/>
      <c r="O469" s="879"/>
      <c r="P469" s="879"/>
      <c r="Q469" s="879"/>
      <c r="R469" s="879"/>
      <c r="S469" s="879"/>
      <c r="T469" s="879"/>
      <c r="U469" s="879"/>
      <c r="V469" s="879"/>
      <c r="W469" s="879"/>
      <c r="X469" s="879"/>
      <c r="Y469" s="879"/>
      <c r="Z469" s="879"/>
    </row>
    <row r="470" spans="1:26" ht="12.75" customHeight="1">
      <c r="A470" s="879"/>
      <c r="B470" s="879"/>
      <c r="C470" s="879"/>
      <c r="D470" s="879"/>
      <c r="E470" s="879"/>
      <c r="F470" s="879"/>
      <c r="G470" s="879"/>
      <c r="H470" s="879"/>
      <c r="I470" s="879"/>
      <c r="J470" s="879"/>
      <c r="K470" s="879"/>
      <c r="L470" s="879"/>
      <c r="M470" s="879"/>
      <c r="N470" s="879"/>
      <c r="O470" s="879"/>
      <c r="P470" s="879"/>
      <c r="Q470" s="879"/>
      <c r="R470" s="879"/>
      <c r="S470" s="879"/>
      <c r="T470" s="879"/>
      <c r="U470" s="879"/>
      <c r="V470" s="879"/>
      <c r="W470" s="879"/>
      <c r="X470" s="879"/>
      <c r="Y470" s="879"/>
      <c r="Z470" s="879"/>
    </row>
    <row r="471" spans="1:26" ht="12.75" customHeight="1">
      <c r="A471" s="879"/>
      <c r="B471" s="879"/>
      <c r="C471" s="879"/>
      <c r="D471" s="879"/>
      <c r="E471" s="879"/>
      <c r="F471" s="879"/>
      <c r="G471" s="879"/>
      <c r="H471" s="879"/>
      <c r="I471" s="879"/>
      <c r="J471" s="879"/>
      <c r="K471" s="879"/>
      <c r="L471" s="879"/>
      <c r="M471" s="879"/>
      <c r="N471" s="879"/>
      <c r="O471" s="879"/>
      <c r="P471" s="879"/>
      <c r="Q471" s="879"/>
      <c r="R471" s="879"/>
      <c r="S471" s="879"/>
      <c r="T471" s="879"/>
      <c r="U471" s="879"/>
      <c r="V471" s="879"/>
      <c r="W471" s="879"/>
      <c r="X471" s="879"/>
      <c r="Y471" s="879"/>
      <c r="Z471" s="879"/>
    </row>
    <row r="472" spans="1:26" ht="12.75" customHeight="1">
      <c r="A472" s="879"/>
      <c r="B472" s="879"/>
      <c r="C472" s="879"/>
      <c r="D472" s="879"/>
      <c r="E472" s="879"/>
      <c r="F472" s="879"/>
      <c r="G472" s="879"/>
      <c r="H472" s="879"/>
      <c r="I472" s="879"/>
      <c r="J472" s="879"/>
      <c r="K472" s="879"/>
      <c r="L472" s="879"/>
      <c r="M472" s="879"/>
      <c r="N472" s="879"/>
      <c r="O472" s="879"/>
      <c r="P472" s="879"/>
      <c r="Q472" s="879"/>
      <c r="R472" s="879"/>
      <c r="S472" s="879"/>
      <c r="T472" s="879"/>
      <c r="U472" s="879"/>
      <c r="V472" s="879"/>
      <c r="W472" s="879"/>
      <c r="X472" s="879"/>
      <c r="Y472" s="879"/>
      <c r="Z472" s="879"/>
    </row>
    <row r="473" spans="1:26" ht="12.75" customHeight="1">
      <c r="A473" s="879"/>
      <c r="B473" s="879"/>
      <c r="C473" s="879"/>
      <c r="D473" s="879"/>
      <c r="E473" s="879"/>
      <c r="F473" s="879"/>
      <c r="G473" s="879"/>
      <c r="H473" s="879"/>
      <c r="I473" s="879"/>
      <c r="J473" s="879"/>
      <c r="K473" s="879"/>
      <c r="L473" s="879"/>
      <c r="M473" s="879"/>
      <c r="N473" s="879"/>
      <c r="O473" s="879"/>
      <c r="P473" s="879"/>
      <c r="Q473" s="879"/>
      <c r="R473" s="879"/>
      <c r="S473" s="879"/>
      <c r="T473" s="879"/>
      <c r="U473" s="879"/>
      <c r="V473" s="879"/>
      <c r="W473" s="879"/>
      <c r="X473" s="879"/>
      <c r="Y473" s="879"/>
      <c r="Z473" s="879"/>
    </row>
    <row r="474" spans="1:26" ht="12.75" customHeight="1">
      <c r="A474" s="879"/>
      <c r="B474" s="879"/>
      <c r="C474" s="879"/>
      <c r="D474" s="879"/>
      <c r="E474" s="879"/>
      <c r="F474" s="879"/>
      <c r="G474" s="879"/>
      <c r="H474" s="879"/>
      <c r="I474" s="879"/>
      <c r="J474" s="879"/>
      <c r="K474" s="879"/>
      <c r="L474" s="879"/>
      <c r="M474" s="879"/>
      <c r="N474" s="879"/>
      <c r="O474" s="879"/>
      <c r="P474" s="879"/>
      <c r="Q474" s="879"/>
      <c r="R474" s="879"/>
      <c r="S474" s="879"/>
      <c r="T474" s="879"/>
      <c r="U474" s="879"/>
      <c r="V474" s="879"/>
      <c r="W474" s="879"/>
      <c r="X474" s="879"/>
      <c r="Y474" s="879"/>
      <c r="Z474" s="879"/>
    </row>
    <row r="475" spans="1:26" ht="12.75" customHeight="1">
      <c r="A475" s="879"/>
      <c r="B475" s="879"/>
      <c r="C475" s="879"/>
      <c r="D475" s="879"/>
      <c r="E475" s="879"/>
      <c r="F475" s="879"/>
      <c r="G475" s="879"/>
      <c r="H475" s="879"/>
      <c r="I475" s="879"/>
      <c r="J475" s="879"/>
      <c r="K475" s="879"/>
      <c r="L475" s="879"/>
      <c r="M475" s="879"/>
      <c r="N475" s="879"/>
      <c r="O475" s="879"/>
      <c r="P475" s="879"/>
      <c r="Q475" s="879"/>
      <c r="R475" s="879"/>
      <c r="S475" s="879"/>
      <c r="T475" s="879"/>
      <c r="U475" s="879"/>
      <c r="V475" s="879"/>
      <c r="W475" s="879"/>
      <c r="X475" s="879"/>
      <c r="Y475" s="879"/>
      <c r="Z475" s="879"/>
    </row>
    <row r="476" spans="1:26" ht="12.75" customHeight="1">
      <c r="A476" s="879"/>
      <c r="B476" s="879"/>
      <c r="C476" s="879"/>
      <c r="D476" s="879"/>
      <c r="E476" s="879"/>
      <c r="F476" s="879"/>
      <c r="G476" s="879"/>
      <c r="H476" s="879"/>
      <c r="I476" s="879"/>
      <c r="J476" s="879"/>
      <c r="K476" s="879"/>
      <c r="L476" s="879"/>
      <c r="M476" s="879"/>
      <c r="N476" s="879"/>
      <c r="O476" s="879"/>
      <c r="P476" s="879"/>
      <c r="Q476" s="879"/>
      <c r="R476" s="879"/>
      <c r="S476" s="879"/>
      <c r="T476" s="879"/>
      <c r="U476" s="879"/>
      <c r="V476" s="879"/>
      <c r="W476" s="879"/>
      <c r="X476" s="879"/>
      <c r="Y476" s="879"/>
      <c r="Z476" s="879"/>
    </row>
    <row r="477" spans="1:26" ht="12.75" customHeight="1">
      <c r="A477" s="879"/>
      <c r="B477" s="879"/>
      <c r="C477" s="879"/>
      <c r="D477" s="879"/>
      <c r="E477" s="879"/>
      <c r="F477" s="879"/>
      <c r="G477" s="879"/>
      <c r="H477" s="879"/>
      <c r="I477" s="879"/>
      <c r="J477" s="879"/>
      <c r="K477" s="879"/>
      <c r="L477" s="879"/>
      <c r="M477" s="879"/>
      <c r="N477" s="879"/>
      <c r="O477" s="879"/>
      <c r="P477" s="879"/>
      <c r="Q477" s="879"/>
      <c r="R477" s="879"/>
      <c r="S477" s="879"/>
      <c r="T477" s="879"/>
      <c r="U477" s="879"/>
      <c r="V477" s="879"/>
      <c r="W477" s="879"/>
      <c r="X477" s="879"/>
      <c r="Y477" s="879"/>
      <c r="Z477" s="879"/>
    </row>
    <row r="478" spans="1:26" ht="12.75" customHeight="1">
      <c r="A478" s="879"/>
      <c r="B478" s="879"/>
      <c r="C478" s="879"/>
      <c r="D478" s="879"/>
      <c r="E478" s="879"/>
      <c r="F478" s="879"/>
      <c r="G478" s="879"/>
      <c r="H478" s="879"/>
      <c r="I478" s="879"/>
      <c r="J478" s="879"/>
      <c r="K478" s="879"/>
      <c r="L478" s="879"/>
      <c r="M478" s="879"/>
      <c r="N478" s="879"/>
      <c r="O478" s="879"/>
      <c r="P478" s="879"/>
      <c r="Q478" s="879"/>
      <c r="R478" s="879"/>
      <c r="S478" s="879"/>
      <c r="T478" s="879"/>
      <c r="U478" s="879"/>
      <c r="V478" s="879"/>
      <c r="W478" s="879"/>
      <c r="X478" s="879"/>
      <c r="Y478" s="879"/>
      <c r="Z478" s="879"/>
    </row>
    <row r="479" spans="1:26" ht="12.75" customHeight="1">
      <c r="A479" s="879"/>
      <c r="B479" s="879"/>
      <c r="C479" s="879"/>
      <c r="D479" s="879"/>
      <c r="E479" s="879"/>
      <c r="F479" s="879"/>
      <c r="G479" s="879"/>
      <c r="H479" s="879"/>
      <c r="I479" s="879"/>
      <c r="J479" s="879"/>
      <c r="K479" s="879"/>
      <c r="L479" s="879"/>
      <c r="M479" s="879"/>
      <c r="N479" s="879"/>
      <c r="O479" s="879"/>
      <c r="P479" s="879"/>
      <c r="Q479" s="879"/>
      <c r="R479" s="879"/>
      <c r="S479" s="879"/>
      <c r="T479" s="879"/>
      <c r="U479" s="879"/>
      <c r="V479" s="879"/>
      <c r="W479" s="879"/>
      <c r="X479" s="879"/>
      <c r="Y479" s="879"/>
      <c r="Z479" s="879"/>
    </row>
    <row r="480" spans="1:26" ht="12.75" customHeight="1">
      <c r="A480" s="879"/>
      <c r="B480" s="879"/>
      <c r="C480" s="879"/>
      <c r="D480" s="879"/>
      <c r="E480" s="879"/>
      <c r="F480" s="879"/>
      <c r="G480" s="879"/>
      <c r="H480" s="879"/>
      <c r="I480" s="879"/>
      <c r="J480" s="879"/>
      <c r="K480" s="879"/>
      <c r="L480" s="879"/>
      <c r="M480" s="879"/>
      <c r="N480" s="879"/>
      <c r="O480" s="879"/>
      <c r="P480" s="879"/>
      <c r="Q480" s="879"/>
      <c r="R480" s="879"/>
      <c r="S480" s="879"/>
      <c r="T480" s="879"/>
      <c r="U480" s="879"/>
      <c r="V480" s="879"/>
      <c r="W480" s="879"/>
      <c r="X480" s="879"/>
      <c r="Y480" s="879"/>
      <c r="Z480" s="879"/>
    </row>
    <row r="481" spans="1:26" ht="12.75" customHeight="1">
      <c r="A481" s="879"/>
      <c r="B481" s="879"/>
      <c r="C481" s="879"/>
      <c r="D481" s="879"/>
      <c r="E481" s="879"/>
      <c r="F481" s="879"/>
      <c r="G481" s="879"/>
      <c r="H481" s="879"/>
      <c r="I481" s="879"/>
      <c r="J481" s="879"/>
      <c r="K481" s="879"/>
      <c r="L481" s="879"/>
      <c r="M481" s="879"/>
      <c r="N481" s="879"/>
      <c r="O481" s="879"/>
      <c r="P481" s="879"/>
      <c r="Q481" s="879"/>
      <c r="R481" s="879"/>
      <c r="S481" s="879"/>
      <c r="T481" s="879"/>
      <c r="U481" s="879"/>
      <c r="V481" s="879"/>
      <c r="W481" s="879"/>
      <c r="X481" s="879"/>
      <c r="Y481" s="879"/>
      <c r="Z481" s="879"/>
    </row>
    <row r="482" spans="1:26" ht="12.75" customHeight="1">
      <c r="A482" s="879"/>
      <c r="B482" s="879"/>
      <c r="C482" s="879"/>
      <c r="D482" s="879"/>
      <c r="E482" s="879"/>
      <c r="F482" s="879"/>
      <c r="G482" s="879"/>
      <c r="H482" s="879"/>
      <c r="I482" s="879"/>
      <c r="J482" s="879"/>
      <c r="K482" s="879"/>
      <c r="L482" s="879"/>
      <c r="M482" s="879"/>
      <c r="N482" s="879"/>
      <c r="O482" s="879"/>
      <c r="P482" s="879"/>
      <c r="Q482" s="879"/>
      <c r="R482" s="879"/>
      <c r="S482" s="879"/>
      <c r="T482" s="879"/>
      <c r="U482" s="879"/>
      <c r="V482" s="879"/>
      <c r="W482" s="879"/>
      <c r="X482" s="879"/>
      <c r="Y482" s="879"/>
      <c r="Z482" s="879"/>
    </row>
    <row r="483" spans="1:26" ht="12.75" customHeight="1">
      <c r="A483" s="879"/>
      <c r="B483" s="879"/>
      <c r="C483" s="879"/>
      <c r="D483" s="879"/>
      <c r="E483" s="879"/>
      <c r="F483" s="879"/>
      <c r="G483" s="879"/>
      <c r="H483" s="879"/>
      <c r="I483" s="879"/>
      <c r="J483" s="879"/>
      <c r="K483" s="879"/>
      <c r="L483" s="879"/>
      <c r="M483" s="879"/>
      <c r="N483" s="879"/>
      <c r="O483" s="879"/>
      <c r="P483" s="879"/>
      <c r="Q483" s="879"/>
      <c r="R483" s="879"/>
      <c r="S483" s="879"/>
      <c r="T483" s="879"/>
      <c r="U483" s="879"/>
      <c r="V483" s="879"/>
      <c r="W483" s="879"/>
      <c r="X483" s="879"/>
      <c r="Y483" s="879"/>
      <c r="Z483" s="879"/>
    </row>
    <row r="484" spans="1:26" ht="12.75" customHeight="1">
      <c r="A484" s="879"/>
      <c r="B484" s="879"/>
      <c r="C484" s="879"/>
      <c r="D484" s="879"/>
      <c r="E484" s="879"/>
      <c r="F484" s="879"/>
      <c r="G484" s="879"/>
      <c r="H484" s="879"/>
      <c r="I484" s="879"/>
      <c r="J484" s="879"/>
      <c r="K484" s="879"/>
      <c r="L484" s="879"/>
      <c r="M484" s="879"/>
      <c r="N484" s="879"/>
      <c r="O484" s="879"/>
      <c r="P484" s="879"/>
      <c r="Q484" s="879"/>
      <c r="R484" s="879"/>
      <c r="S484" s="879"/>
      <c r="T484" s="879"/>
      <c r="U484" s="879"/>
      <c r="V484" s="879"/>
      <c r="W484" s="879"/>
      <c r="X484" s="879"/>
      <c r="Y484" s="879"/>
      <c r="Z484" s="879"/>
    </row>
    <row r="485" spans="1:26" ht="12.75" customHeight="1">
      <c r="A485" s="879"/>
      <c r="B485" s="879"/>
      <c r="C485" s="879"/>
      <c r="D485" s="879"/>
      <c r="E485" s="879"/>
      <c r="F485" s="879"/>
      <c r="G485" s="879"/>
      <c r="H485" s="879"/>
      <c r="I485" s="879"/>
      <c r="J485" s="879"/>
      <c r="K485" s="879"/>
      <c r="L485" s="879"/>
      <c r="M485" s="879"/>
      <c r="N485" s="879"/>
      <c r="O485" s="879"/>
      <c r="P485" s="879"/>
      <c r="Q485" s="879"/>
      <c r="R485" s="879"/>
      <c r="S485" s="879"/>
      <c r="T485" s="879"/>
      <c r="U485" s="879"/>
      <c r="V485" s="879"/>
      <c r="W485" s="879"/>
      <c r="X485" s="879"/>
      <c r="Y485" s="879"/>
      <c r="Z485" s="879"/>
    </row>
    <row r="486" spans="1:26" ht="12.75" customHeight="1">
      <c r="A486" s="879"/>
      <c r="B486" s="879"/>
      <c r="C486" s="879"/>
      <c r="D486" s="879"/>
      <c r="E486" s="879"/>
      <c r="F486" s="879"/>
      <c r="G486" s="879"/>
      <c r="H486" s="879"/>
      <c r="I486" s="879"/>
      <c r="J486" s="879"/>
      <c r="K486" s="879"/>
      <c r="L486" s="879"/>
      <c r="M486" s="879"/>
      <c r="N486" s="879"/>
      <c r="O486" s="879"/>
      <c r="P486" s="879"/>
      <c r="Q486" s="879"/>
      <c r="R486" s="879"/>
      <c r="S486" s="879"/>
      <c r="T486" s="879"/>
      <c r="U486" s="879"/>
      <c r="V486" s="879"/>
      <c r="W486" s="879"/>
      <c r="X486" s="879"/>
      <c r="Y486" s="879"/>
      <c r="Z486" s="879"/>
    </row>
    <row r="487" spans="1:26" ht="12.75" customHeight="1">
      <c r="A487" s="879"/>
      <c r="B487" s="879"/>
      <c r="C487" s="879"/>
      <c r="D487" s="879"/>
      <c r="E487" s="879"/>
      <c r="F487" s="879"/>
      <c r="G487" s="879"/>
      <c r="H487" s="879"/>
      <c r="I487" s="879"/>
      <c r="J487" s="879"/>
      <c r="K487" s="879"/>
      <c r="L487" s="879"/>
      <c r="M487" s="879"/>
      <c r="N487" s="879"/>
      <c r="O487" s="879"/>
      <c r="P487" s="879"/>
      <c r="Q487" s="879"/>
      <c r="R487" s="879"/>
      <c r="S487" s="879"/>
      <c r="T487" s="879"/>
      <c r="U487" s="879"/>
      <c r="V487" s="879"/>
      <c r="W487" s="879"/>
      <c r="X487" s="879"/>
      <c r="Y487" s="879"/>
      <c r="Z487" s="879"/>
    </row>
    <row r="488" spans="1:26" ht="12.75" customHeight="1">
      <c r="A488" s="879"/>
      <c r="B488" s="879"/>
      <c r="C488" s="879"/>
      <c r="D488" s="879"/>
      <c r="E488" s="879"/>
      <c r="F488" s="879"/>
      <c r="G488" s="879"/>
      <c r="H488" s="879"/>
      <c r="I488" s="879"/>
      <c r="J488" s="879"/>
      <c r="K488" s="879"/>
      <c r="L488" s="879"/>
      <c r="M488" s="879"/>
      <c r="N488" s="879"/>
      <c r="O488" s="879"/>
      <c r="P488" s="879"/>
      <c r="Q488" s="879"/>
      <c r="R488" s="879"/>
      <c r="S488" s="879"/>
      <c r="T488" s="879"/>
      <c r="U488" s="879"/>
      <c r="V488" s="879"/>
      <c r="W488" s="879"/>
      <c r="X488" s="879"/>
      <c r="Y488" s="879"/>
      <c r="Z488" s="879"/>
    </row>
    <row r="489" spans="1:26" ht="12.75" customHeight="1">
      <c r="A489" s="879"/>
      <c r="B489" s="879"/>
      <c r="C489" s="879"/>
      <c r="D489" s="879"/>
      <c r="E489" s="879"/>
      <c r="F489" s="879"/>
      <c r="G489" s="879"/>
      <c r="H489" s="879"/>
      <c r="I489" s="879"/>
      <c r="J489" s="879"/>
      <c r="K489" s="879"/>
      <c r="L489" s="879"/>
      <c r="M489" s="879"/>
      <c r="N489" s="879"/>
      <c r="O489" s="879"/>
      <c r="P489" s="879"/>
      <c r="Q489" s="879"/>
      <c r="R489" s="879"/>
      <c r="S489" s="879"/>
      <c r="T489" s="879"/>
      <c r="U489" s="879"/>
      <c r="V489" s="879"/>
      <c r="W489" s="879"/>
      <c r="X489" s="879"/>
      <c r="Y489" s="879"/>
      <c r="Z489" s="879"/>
    </row>
    <row r="490" spans="1:26" ht="12.75" customHeight="1">
      <c r="A490" s="879"/>
      <c r="B490" s="879"/>
      <c r="C490" s="879"/>
      <c r="D490" s="879"/>
      <c r="E490" s="879"/>
      <c r="F490" s="879"/>
      <c r="G490" s="879"/>
      <c r="H490" s="879"/>
      <c r="I490" s="879"/>
      <c r="J490" s="879"/>
      <c r="K490" s="879"/>
      <c r="L490" s="879"/>
      <c r="M490" s="879"/>
      <c r="N490" s="879"/>
      <c r="O490" s="879"/>
      <c r="P490" s="879"/>
      <c r="Q490" s="879"/>
      <c r="R490" s="879"/>
      <c r="S490" s="879"/>
      <c r="T490" s="879"/>
      <c r="U490" s="879"/>
      <c r="V490" s="879"/>
      <c r="W490" s="879"/>
      <c r="X490" s="879"/>
      <c r="Y490" s="879"/>
      <c r="Z490" s="879"/>
    </row>
    <row r="491" spans="1:26" ht="12.75" customHeight="1">
      <c r="A491" s="879"/>
      <c r="B491" s="879"/>
      <c r="C491" s="879"/>
      <c r="D491" s="879"/>
      <c r="E491" s="879"/>
      <c r="F491" s="879"/>
      <c r="G491" s="879"/>
      <c r="H491" s="879"/>
      <c r="I491" s="879"/>
      <c r="J491" s="879"/>
      <c r="K491" s="879"/>
      <c r="L491" s="879"/>
      <c r="M491" s="879"/>
      <c r="N491" s="879"/>
      <c r="O491" s="879"/>
      <c r="P491" s="879"/>
      <c r="Q491" s="879"/>
      <c r="R491" s="879"/>
      <c r="S491" s="879"/>
      <c r="T491" s="879"/>
      <c r="U491" s="879"/>
      <c r="V491" s="879"/>
      <c r="W491" s="879"/>
      <c r="X491" s="879"/>
      <c r="Y491" s="879"/>
      <c r="Z491" s="879"/>
    </row>
    <row r="492" spans="1:26" ht="12.75" customHeight="1">
      <c r="A492" s="879"/>
      <c r="B492" s="879"/>
      <c r="C492" s="879"/>
      <c r="D492" s="879"/>
      <c r="E492" s="879"/>
      <c r="F492" s="879"/>
      <c r="G492" s="879"/>
      <c r="H492" s="879"/>
      <c r="I492" s="879"/>
      <c r="J492" s="879"/>
      <c r="K492" s="879"/>
      <c r="L492" s="879"/>
      <c r="M492" s="879"/>
      <c r="N492" s="879"/>
      <c r="O492" s="879"/>
      <c r="P492" s="879"/>
      <c r="Q492" s="879"/>
      <c r="R492" s="879"/>
      <c r="S492" s="879"/>
      <c r="T492" s="879"/>
      <c r="U492" s="879"/>
      <c r="V492" s="879"/>
      <c r="W492" s="879"/>
      <c r="X492" s="879"/>
      <c r="Y492" s="879"/>
      <c r="Z492" s="879"/>
    </row>
    <row r="493" spans="1:26" ht="12.75" customHeight="1">
      <c r="A493" s="879"/>
      <c r="B493" s="879"/>
      <c r="C493" s="879"/>
      <c r="D493" s="879"/>
      <c r="E493" s="879"/>
      <c r="F493" s="879"/>
      <c r="G493" s="879"/>
      <c r="H493" s="879"/>
      <c r="I493" s="879"/>
      <c r="J493" s="879"/>
      <c r="K493" s="879"/>
      <c r="L493" s="879"/>
      <c r="M493" s="879"/>
      <c r="N493" s="879"/>
      <c r="O493" s="879"/>
      <c r="P493" s="879"/>
      <c r="Q493" s="879"/>
      <c r="R493" s="879"/>
      <c r="S493" s="879"/>
      <c r="T493" s="879"/>
      <c r="U493" s="879"/>
      <c r="V493" s="879"/>
      <c r="W493" s="879"/>
      <c r="X493" s="879"/>
      <c r="Y493" s="879"/>
      <c r="Z493" s="879"/>
    </row>
    <row r="494" spans="1:26" ht="12.75" customHeight="1">
      <c r="A494" s="879"/>
      <c r="B494" s="879"/>
      <c r="C494" s="879"/>
      <c r="D494" s="879"/>
      <c r="E494" s="879"/>
      <c r="F494" s="879"/>
      <c r="G494" s="879"/>
      <c r="H494" s="879"/>
      <c r="I494" s="879"/>
      <c r="J494" s="879"/>
      <c r="K494" s="879"/>
      <c r="L494" s="879"/>
      <c r="M494" s="879"/>
      <c r="N494" s="879"/>
      <c r="O494" s="879"/>
      <c r="P494" s="879"/>
      <c r="Q494" s="879"/>
      <c r="R494" s="879"/>
      <c r="S494" s="879"/>
      <c r="T494" s="879"/>
      <c r="U494" s="879"/>
      <c r="V494" s="879"/>
      <c r="W494" s="879"/>
      <c r="X494" s="879"/>
      <c r="Y494" s="879"/>
      <c r="Z494" s="879"/>
    </row>
    <row r="495" spans="1:26" ht="12.75" customHeight="1">
      <c r="A495" s="879"/>
      <c r="B495" s="879"/>
      <c r="C495" s="879"/>
      <c r="D495" s="879"/>
      <c r="E495" s="879"/>
      <c r="F495" s="879"/>
      <c r="G495" s="879"/>
      <c r="H495" s="879"/>
      <c r="I495" s="879"/>
      <c r="J495" s="879"/>
      <c r="K495" s="879"/>
      <c r="L495" s="879"/>
      <c r="M495" s="879"/>
      <c r="N495" s="879"/>
      <c r="O495" s="879"/>
      <c r="P495" s="879"/>
      <c r="Q495" s="879"/>
      <c r="R495" s="879"/>
      <c r="S495" s="879"/>
      <c r="T495" s="879"/>
      <c r="U495" s="879"/>
      <c r="V495" s="879"/>
      <c r="W495" s="879"/>
      <c r="X495" s="879"/>
      <c r="Y495" s="879"/>
      <c r="Z495" s="879"/>
    </row>
    <row r="496" spans="1:26" ht="12.75" customHeight="1">
      <c r="A496" s="879"/>
      <c r="B496" s="879"/>
      <c r="C496" s="879"/>
      <c r="D496" s="879"/>
      <c r="E496" s="879"/>
      <c r="F496" s="879"/>
      <c r="G496" s="879"/>
      <c r="H496" s="879"/>
      <c r="I496" s="879"/>
      <c r="J496" s="879"/>
      <c r="K496" s="879"/>
      <c r="L496" s="879"/>
      <c r="M496" s="879"/>
      <c r="N496" s="879"/>
      <c r="O496" s="879"/>
      <c r="P496" s="879"/>
      <c r="Q496" s="879"/>
      <c r="R496" s="879"/>
      <c r="S496" s="879"/>
      <c r="T496" s="879"/>
      <c r="U496" s="879"/>
      <c r="V496" s="879"/>
      <c r="W496" s="879"/>
      <c r="X496" s="879"/>
      <c r="Y496" s="879"/>
      <c r="Z496" s="879"/>
    </row>
    <row r="497" spans="1:26" ht="12.75" customHeight="1">
      <c r="A497" s="879"/>
      <c r="B497" s="879"/>
      <c r="C497" s="879"/>
      <c r="D497" s="879"/>
      <c r="E497" s="879"/>
      <c r="F497" s="879"/>
      <c r="G497" s="879"/>
      <c r="H497" s="879"/>
      <c r="I497" s="879"/>
      <c r="J497" s="879"/>
      <c r="K497" s="879"/>
      <c r="L497" s="879"/>
      <c r="M497" s="879"/>
      <c r="N497" s="879"/>
      <c r="O497" s="879"/>
      <c r="P497" s="879"/>
      <c r="Q497" s="879"/>
      <c r="R497" s="879"/>
      <c r="S497" s="879"/>
      <c r="T497" s="879"/>
      <c r="U497" s="879"/>
      <c r="V497" s="879"/>
      <c r="W497" s="879"/>
      <c r="X497" s="879"/>
      <c r="Y497" s="879"/>
      <c r="Z497" s="879"/>
    </row>
    <row r="498" spans="1:26" ht="12.75" customHeight="1">
      <c r="A498" s="879"/>
      <c r="B498" s="879"/>
      <c r="C498" s="879"/>
      <c r="D498" s="879"/>
      <c r="E498" s="879"/>
      <c r="F498" s="879"/>
      <c r="G498" s="879"/>
      <c r="H498" s="879"/>
      <c r="I498" s="879"/>
      <c r="J498" s="879"/>
      <c r="K498" s="879"/>
      <c r="L498" s="879"/>
      <c r="M498" s="879"/>
      <c r="N498" s="879"/>
      <c r="O498" s="879"/>
      <c r="P498" s="879"/>
      <c r="Q498" s="879"/>
      <c r="R498" s="879"/>
      <c r="S498" s="879"/>
      <c r="T498" s="879"/>
      <c r="U498" s="879"/>
      <c r="V498" s="879"/>
      <c r="W498" s="879"/>
      <c r="X498" s="879"/>
      <c r="Y498" s="879"/>
      <c r="Z498" s="879"/>
    </row>
    <row r="499" spans="1:26" ht="12.75" customHeight="1">
      <c r="A499" s="879"/>
      <c r="B499" s="879"/>
      <c r="C499" s="879"/>
      <c r="D499" s="879"/>
      <c r="E499" s="879"/>
      <c r="F499" s="879"/>
      <c r="G499" s="879"/>
      <c r="H499" s="879"/>
      <c r="I499" s="879"/>
      <c r="J499" s="879"/>
      <c r="K499" s="879"/>
      <c r="L499" s="879"/>
      <c r="M499" s="879"/>
      <c r="N499" s="879"/>
      <c r="O499" s="879"/>
      <c r="P499" s="879"/>
      <c r="Q499" s="879"/>
      <c r="R499" s="879"/>
      <c r="S499" s="879"/>
      <c r="T499" s="879"/>
      <c r="U499" s="879"/>
      <c r="V499" s="879"/>
      <c r="W499" s="879"/>
      <c r="X499" s="879"/>
      <c r="Y499" s="879"/>
      <c r="Z499" s="879"/>
    </row>
    <row r="500" spans="1:26" ht="12.75" customHeight="1">
      <c r="A500" s="879"/>
      <c r="B500" s="879"/>
      <c r="C500" s="879"/>
      <c r="D500" s="879"/>
      <c r="E500" s="879"/>
      <c r="F500" s="879"/>
      <c r="G500" s="879"/>
      <c r="H500" s="879"/>
      <c r="I500" s="879"/>
      <c r="J500" s="879"/>
      <c r="K500" s="879"/>
      <c r="L500" s="879"/>
      <c r="M500" s="879"/>
      <c r="N500" s="879"/>
      <c r="O500" s="879"/>
      <c r="P500" s="879"/>
      <c r="Q500" s="879"/>
      <c r="R500" s="879"/>
      <c r="S500" s="879"/>
      <c r="T500" s="879"/>
      <c r="U500" s="879"/>
      <c r="V500" s="879"/>
      <c r="W500" s="879"/>
      <c r="X500" s="879"/>
      <c r="Y500" s="879"/>
      <c r="Z500" s="879"/>
    </row>
    <row r="501" spans="1:26" ht="12.75" customHeight="1">
      <c r="A501" s="879"/>
      <c r="B501" s="879"/>
      <c r="C501" s="879"/>
      <c r="D501" s="879"/>
      <c r="E501" s="879"/>
      <c r="F501" s="879"/>
      <c r="G501" s="879"/>
      <c r="H501" s="879"/>
      <c r="I501" s="879"/>
      <c r="J501" s="879"/>
      <c r="K501" s="879"/>
      <c r="L501" s="879"/>
      <c r="M501" s="879"/>
      <c r="N501" s="879"/>
      <c r="O501" s="879"/>
      <c r="P501" s="879"/>
      <c r="Q501" s="879"/>
      <c r="R501" s="879"/>
      <c r="S501" s="879"/>
      <c r="T501" s="879"/>
      <c r="U501" s="879"/>
      <c r="V501" s="879"/>
      <c r="W501" s="879"/>
      <c r="X501" s="879"/>
      <c r="Y501" s="879"/>
      <c r="Z501" s="879"/>
    </row>
    <row r="502" spans="1:26" ht="12.75" customHeight="1">
      <c r="A502" s="879"/>
      <c r="B502" s="879"/>
      <c r="C502" s="879"/>
      <c r="D502" s="879"/>
      <c r="E502" s="879"/>
      <c r="F502" s="879"/>
      <c r="G502" s="879"/>
      <c r="H502" s="879"/>
      <c r="I502" s="879"/>
      <c r="J502" s="879"/>
      <c r="K502" s="879"/>
      <c r="L502" s="879"/>
      <c r="M502" s="879"/>
      <c r="N502" s="879"/>
      <c r="O502" s="879"/>
      <c r="P502" s="879"/>
      <c r="Q502" s="879"/>
      <c r="R502" s="879"/>
      <c r="S502" s="879"/>
      <c r="T502" s="879"/>
      <c r="U502" s="879"/>
      <c r="V502" s="879"/>
      <c r="W502" s="879"/>
      <c r="X502" s="879"/>
      <c r="Y502" s="879"/>
      <c r="Z502" s="879"/>
    </row>
    <row r="503" spans="1:26" ht="12.75" customHeight="1">
      <c r="A503" s="879"/>
      <c r="B503" s="879"/>
      <c r="C503" s="879"/>
      <c r="D503" s="879"/>
      <c r="E503" s="879"/>
      <c r="F503" s="879"/>
      <c r="G503" s="879"/>
      <c r="H503" s="879"/>
      <c r="I503" s="879"/>
      <c r="J503" s="879"/>
      <c r="K503" s="879"/>
      <c r="L503" s="879"/>
      <c r="M503" s="879"/>
      <c r="N503" s="879"/>
      <c r="O503" s="879"/>
      <c r="P503" s="879"/>
      <c r="Q503" s="879"/>
      <c r="R503" s="879"/>
      <c r="S503" s="879"/>
      <c r="T503" s="879"/>
      <c r="U503" s="879"/>
      <c r="V503" s="879"/>
      <c r="W503" s="879"/>
      <c r="X503" s="879"/>
      <c r="Y503" s="879"/>
      <c r="Z503" s="879"/>
    </row>
    <row r="504" spans="1:26" ht="12.75" customHeight="1">
      <c r="A504" s="879"/>
      <c r="B504" s="879"/>
      <c r="C504" s="879"/>
      <c r="D504" s="879"/>
      <c r="E504" s="879"/>
      <c r="F504" s="879"/>
      <c r="G504" s="879"/>
      <c r="H504" s="879"/>
      <c r="I504" s="879"/>
      <c r="J504" s="879"/>
      <c r="K504" s="879"/>
      <c r="L504" s="879"/>
      <c r="M504" s="879"/>
      <c r="N504" s="879"/>
      <c r="O504" s="879"/>
      <c r="P504" s="879"/>
      <c r="Q504" s="879"/>
      <c r="R504" s="879"/>
      <c r="S504" s="879"/>
      <c r="T504" s="879"/>
      <c r="U504" s="879"/>
      <c r="V504" s="879"/>
      <c r="W504" s="879"/>
      <c r="X504" s="879"/>
      <c r="Y504" s="879"/>
      <c r="Z504" s="879"/>
    </row>
    <row r="505" spans="1:26" ht="12.75" customHeight="1">
      <c r="A505" s="879"/>
      <c r="B505" s="879"/>
      <c r="C505" s="879"/>
      <c r="D505" s="879"/>
      <c r="E505" s="879"/>
      <c r="F505" s="879"/>
      <c r="G505" s="879"/>
      <c r="H505" s="879"/>
      <c r="I505" s="879"/>
      <c r="J505" s="879"/>
      <c r="K505" s="879"/>
      <c r="L505" s="879"/>
      <c r="M505" s="879"/>
      <c r="N505" s="879"/>
      <c r="O505" s="879"/>
      <c r="P505" s="879"/>
      <c r="Q505" s="879"/>
      <c r="R505" s="879"/>
      <c r="S505" s="879"/>
      <c r="T505" s="879"/>
      <c r="U505" s="879"/>
      <c r="V505" s="879"/>
      <c r="W505" s="879"/>
      <c r="X505" s="879"/>
      <c r="Y505" s="879"/>
      <c r="Z505" s="879"/>
    </row>
    <row r="506" spans="1:26" ht="12.75" customHeight="1">
      <c r="A506" s="879"/>
      <c r="B506" s="879"/>
      <c r="C506" s="879"/>
      <c r="D506" s="879"/>
      <c r="E506" s="879"/>
      <c r="F506" s="879"/>
      <c r="G506" s="879"/>
      <c r="H506" s="879"/>
      <c r="I506" s="879"/>
      <c r="J506" s="879"/>
      <c r="K506" s="879"/>
      <c r="L506" s="879"/>
      <c r="M506" s="879"/>
      <c r="N506" s="879"/>
      <c r="O506" s="879"/>
      <c r="P506" s="879"/>
      <c r="Q506" s="879"/>
      <c r="R506" s="879"/>
      <c r="S506" s="879"/>
      <c r="T506" s="879"/>
      <c r="U506" s="879"/>
      <c r="V506" s="879"/>
      <c r="W506" s="879"/>
      <c r="X506" s="879"/>
      <c r="Y506" s="879"/>
      <c r="Z506" s="879"/>
    </row>
    <row r="507" spans="1:26" ht="12.75" customHeight="1">
      <c r="A507" s="879"/>
      <c r="B507" s="879"/>
      <c r="C507" s="879"/>
      <c r="D507" s="879"/>
      <c r="E507" s="879"/>
      <c r="F507" s="879"/>
      <c r="G507" s="879"/>
      <c r="H507" s="879"/>
      <c r="I507" s="879"/>
      <c r="J507" s="879"/>
      <c r="K507" s="879"/>
      <c r="L507" s="879"/>
      <c r="M507" s="879"/>
      <c r="N507" s="879"/>
      <c r="O507" s="879"/>
      <c r="P507" s="879"/>
      <c r="Q507" s="879"/>
      <c r="R507" s="879"/>
      <c r="S507" s="879"/>
      <c r="T507" s="879"/>
      <c r="U507" s="879"/>
      <c r="V507" s="879"/>
      <c r="W507" s="879"/>
      <c r="X507" s="879"/>
      <c r="Y507" s="879"/>
      <c r="Z507" s="879"/>
    </row>
    <row r="508" spans="1:26" ht="12.75" customHeight="1">
      <c r="A508" s="879"/>
      <c r="B508" s="879"/>
      <c r="C508" s="879"/>
      <c r="D508" s="879"/>
      <c r="E508" s="879"/>
      <c r="F508" s="879"/>
      <c r="G508" s="879"/>
      <c r="H508" s="879"/>
      <c r="I508" s="879"/>
      <c r="J508" s="879"/>
      <c r="K508" s="879"/>
      <c r="L508" s="879"/>
      <c r="M508" s="879"/>
      <c r="N508" s="879"/>
      <c r="O508" s="879"/>
      <c r="P508" s="879"/>
      <c r="Q508" s="879"/>
      <c r="R508" s="879"/>
      <c r="S508" s="879"/>
      <c r="T508" s="879"/>
      <c r="U508" s="879"/>
      <c r="V508" s="879"/>
      <c r="W508" s="879"/>
      <c r="X508" s="879"/>
      <c r="Y508" s="879"/>
      <c r="Z508" s="879"/>
    </row>
    <row r="509" spans="1:26" ht="12.75" customHeight="1">
      <c r="A509" s="879"/>
      <c r="B509" s="879"/>
      <c r="C509" s="879"/>
      <c r="D509" s="879"/>
      <c r="E509" s="879"/>
      <c r="F509" s="879"/>
      <c r="G509" s="879"/>
      <c r="H509" s="879"/>
      <c r="I509" s="879"/>
      <c r="J509" s="879"/>
      <c r="K509" s="879"/>
      <c r="L509" s="879"/>
      <c r="M509" s="879"/>
      <c r="N509" s="879"/>
      <c r="O509" s="879"/>
      <c r="P509" s="879"/>
      <c r="Q509" s="879"/>
      <c r="R509" s="879"/>
      <c r="S509" s="879"/>
      <c r="T509" s="879"/>
      <c r="U509" s="879"/>
      <c r="V509" s="879"/>
      <c r="W509" s="879"/>
      <c r="X509" s="879"/>
      <c r="Y509" s="879"/>
      <c r="Z509" s="879"/>
    </row>
    <row r="510" spans="1:26" ht="12.75" customHeight="1">
      <c r="A510" s="879"/>
      <c r="B510" s="879"/>
      <c r="C510" s="879"/>
      <c r="D510" s="879"/>
      <c r="E510" s="879"/>
      <c r="F510" s="879"/>
      <c r="G510" s="879"/>
      <c r="H510" s="879"/>
      <c r="I510" s="879"/>
      <c r="J510" s="879"/>
      <c r="K510" s="879"/>
      <c r="L510" s="879"/>
      <c r="M510" s="879"/>
      <c r="N510" s="879"/>
      <c r="O510" s="879"/>
      <c r="P510" s="879"/>
      <c r="Q510" s="879"/>
      <c r="R510" s="879"/>
      <c r="S510" s="879"/>
      <c r="T510" s="879"/>
      <c r="U510" s="879"/>
      <c r="V510" s="879"/>
      <c r="W510" s="879"/>
      <c r="X510" s="879"/>
      <c r="Y510" s="879"/>
      <c r="Z510" s="879"/>
    </row>
    <row r="511" spans="1:26" ht="12.75" customHeight="1">
      <c r="A511" s="879"/>
      <c r="B511" s="879"/>
      <c r="C511" s="879"/>
      <c r="D511" s="879"/>
      <c r="E511" s="879"/>
      <c r="F511" s="879"/>
      <c r="G511" s="879"/>
      <c r="H511" s="879"/>
      <c r="I511" s="879"/>
      <c r="J511" s="879"/>
      <c r="K511" s="879"/>
      <c r="L511" s="879"/>
      <c r="M511" s="879"/>
      <c r="N511" s="879"/>
      <c r="O511" s="879"/>
      <c r="P511" s="879"/>
      <c r="Q511" s="879"/>
      <c r="R511" s="879"/>
      <c r="S511" s="879"/>
      <c r="T511" s="879"/>
      <c r="U511" s="879"/>
      <c r="V511" s="879"/>
      <c r="W511" s="879"/>
      <c r="X511" s="879"/>
      <c r="Y511" s="879"/>
      <c r="Z511" s="879"/>
    </row>
    <row r="512" spans="1:26" ht="12.75" customHeight="1">
      <c r="A512" s="879"/>
      <c r="B512" s="879"/>
      <c r="C512" s="879"/>
      <c r="D512" s="879"/>
      <c r="E512" s="879"/>
      <c r="F512" s="879"/>
      <c r="G512" s="879"/>
      <c r="H512" s="879"/>
      <c r="I512" s="879"/>
      <c r="J512" s="879"/>
      <c r="K512" s="879"/>
      <c r="L512" s="879"/>
      <c r="M512" s="879"/>
      <c r="N512" s="879"/>
      <c r="O512" s="879"/>
      <c r="P512" s="879"/>
      <c r="Q512" s="879"/>
      <c r="R512" s="879"/>
      <c r="S512" s="879"/>
      <c r="T512" s="879"/>
      <c r="U512" s="879"/>
      <c r="V512" s="879"/>
      <c r="W512" s="879"/>
      <c r="X512" s="879"/>
      <c r="Y512" s="879"/>
      <c r="Z512" s="879"/>
    </row>
    <row r="513" spans="1:26" ht="12.75" customHeight="1">
      <c r="A513" s="879"/>
      <c r="B513" s="879"/>
      <c r="C513" s="879"/>
      <c r="D513" s="879"/>
      <c r="E513" s="879"/>
      <c r="F513" s="879"/>
      <c r="G513" s="879"/>
      <c r="H513" s="879"/>
      <c r="I513" s="879"/>
      <c r="J513" s="879"/>
      <c r="K513" s="879"/>
      <c r="L513" s="879"/>
      <c r="M513" s="879"/>
      <c r="N513" s="879"/>
      <c r="O513" s="879"/>
      <c r="P513" s="879"/>
      <c r="Q513" s="879"/>
      <c r="R513" s="879"/>
      <c r="S513" s="879"/>
      <c r="T513" s="879"/>
      <c r="U513" s="879"/>
      <c r="V513" s="879"/>
      <c r="W513" s="879"/>
      <c r="X513" s="879"/>
      <c r="Y513" s="879"/>
      <c r="Z513" s="879"/>
    </row>
    <row r="514" spans="1:26" ht="12.75" customHeight="1">
      <c r="A514" s="879"/>
      <c r="B514" s="879"/>
      <c r="C514" s="879"/>
      <c r="D514" s="879"/>
      <c r="E514" s="879"/>
      <c r="F514" s="879"/>
      <c r="G514" s="879"/>
      <c r="H514" s="879"/>
      <c r="I514" s="879"/>
      <c r="J514" s="879"/>
      <c r="K514" s="879"/>
      <c r="L514" s="879"/>
      <c r="M514" s="879"/>
      <c r="N514" s="879"/>
      <c r="O514" s="879"/>
      <c r="P514" s="879"/>
      <c r="Q514" s="879"/>
      <c r="R514" s="879"/>
      <c r="S514" s="879"/>
      <c r="T514" s="879"/>
      <c r="U514" s="879"/>
      <c r="V514" s="879"/>
      <c r="W514" s="879"/>
      <c r="X514" s="879"/>
      <c r="Y514" s="879"/>
      <c r="Z514" s="879"/>
    </row>
    <row r="515" spans="1:26" ht="12.75" customHeight="1">
      <c r="A515" s="879"/>
      <c r="B515" s="879"/>
      <c r="C515" s="879"/>
      <c r="D515" s="879"/>
      <c r="E515" s="879"/>
      <c r="F515" s="879"/>
      <c r="G515" s="879"/>
      <c r="H515" s="879"/>
      <c r="I515" s="879"/>
      <c r="J515" s="879"/>
      <c r="K515" s="879"/>
      <c r="L515" s="879"/>
      <c r="M515" s="879"/>
      <c r="N515" s="879"/>
      <c r="O515" s="879"/>
      <c r="P515" s="879"/>
      <c r="Q515" s="879"/>
      <c r="R515" s="879"/>
      <c r="S515" s="879"/>
      <c r="T515" s="879"/>
      <c r="U515" s="879"/>
      <c r="V515" s="879"/>
      <c r="W515" s="879"/>
      <c r="X515" s="879"/>
      <c r="Y515" s="879"/>
      <c r="Z515" s="879"/>
    </row>
    <row r="516" spans="1:26" ht="12.75" customHeight="1">
      <c r="A516" s="879"/>
      <c r="B516" s="879"/>
      <c r="C516" s="879"/>
      <c r="D516" s="879"/>
      <c r="E516" s="879"/>
      <c r="F516" s="879"/>
      <c r="G516" s="879"/>
      <c r="H516" s="879"/>
      <c r="I516" s="879"/>
      <c r="J516" s="879"/>
      <c r="K516" s="879"/>
      <c r="L516" s="879"/>
      <c r="M516" s="879"/>
      <c r="N516" s="879"/>
      <c r="O516" s="879"/>
      <c r="P516" s="879"/>
      <c r="Q516" s="879"/>
      <c r="R516" s="879"/>
      <c r="S516" s="879"/>
      <c r="T516" s="879"/>
      <c r="U516" s="879"/>
      <c r="V516" s="879"/>
      <c r="W516" s="879"/>
      <c r="X516" s="879"/>
      <c r="Y516" s="879"/>
      <c r="Z516" s="879"/>
    </row>
    <row r="517" spans="1:26" ht="12.75" customHeight="1">
      <c r="A517" s="879"/>
      <c r="B517" s="879"/>
      <c r="C517" s="879"/>
      <c r="D517" s="879"/>
      <c r="E517" s="879"/>
      <c r="F517" s="879"/>
      <c r="G517" s="879"/>
      <c r="H517" s="879"/>
      <c r="I517" s="879"/>
      <c r="J517" s="879"/>
      <c r="K517" s="879"/>
      <c r="L517" s="879"/>
      <c r="M517" s="879"/>
      <c r="N517" s="879"/>
      <c r="O517" s="879"/>
      <c r="P517" s="879"/>
      <c r="Q517" s="879"/>
      <c r="R517" s="879"/>
      <c r="S517" s="879"/>
      <c r="T517" s="879"/>
      <c r="U517" s="879"/>
      <c r="V517" s="879"/>
      <c r="W517" s="879"/>
      <c r="X517" s="879"/>
      <c r="Y517" s="879"/>
      <c r="Z517" s="879"/>
    </row>
    <row r="518" spans="1:26" ht="12.75" customHeight="1">
      <c r="A518" s="879"/>
      <c r="B518" s="879"/>
      <c r="C518" s="879"/>
      <c r="D518" s="879"/>
      <c r="E518" s="879"/>
      <c r="F518" s="879"/>
      <c r="G518" s="879"/>
      <c r="H518" s="879"/>
      <c r="I518" s="879"/>
      <c r="J518" s="879"/>
      <c r="K518" s="879"/>
      <c r="L518" s="879"/>
      <c r="M518" s="879"/>
      <c r="N518" s="879"/>
      <c r="O518" s="879"/>
      <c r="P518" s="879"/>
      <c r="Q518" s="879"/>
      <c r="R518" s="879"/>
      <c r="S518" s="879"/>
      <c r="T518" s="879"/>
      <c r="U518" s="879"/>
      <c r="V518" s="879"/>
      <c r="W518" s="879"/>
      <c r="X518" s="879"/>
      <c r="Y518" s="879"/>
      <c r="Z518" s="879"/>
    </row>
    <row r="519" spans="1:26" ht="12.75" customHeight="1">
      <c r="A519" s="879"/>
      <c r="B519" s="879"/>
      <c r="C519" s="879"/>
      <c r="D519" s="879"/>
      <c r="E519" s="879"/>
      <c r="F519" s="879"/>
      <c r="G519" s="879"/>
      <c r="H519" s="879"/>
      <c r="I519" s="879"/>
      <c r="J519" s="879"/>
      <c r="K519" s="879"/>
      <c r="L519" s="879"/>
      <c r="M519" s="879"/>
      <c r="N519" s="879"/>
      <c r="O519" s="879"/>
      <c r="P519" s="879"/>
      <c r="Q519" s="879"/>
      <c r="R519" s="879"/>
      <c r="S519" s="879"/>
      <c r="T519" s="879"/>
      <c r="U519" s="879"/>
      <c r="V519" s="879"/>
      <c r="W519" s="879"/>
      <c r="X519" s="879"/>
      <c r="Y519" s="879"/>
      <c r="Z519" s="879"/>
    </row>
    <row r="520" spans="1:26" ht="12.75" customHeight="1">
      <c r="A520" s="879"/>
      <c r="B520" s="879"/>
      <c r="C520" s="879"/>
      <c r="D520" s="879"/>
      <c r="E520" s="879"/>
      <c r="F520" s="879"/>
      <c r="G520" s="879"/>
      <c r="H520" s="879"/>
      <c r="I520" s="879"/>
      <c r="J520" s="879"/>
      <c r="K520" s="879"/>
      <c r="L520" s="879"/>
      <c r="M520" s="879"/>
      <c r="N520" s="879"/>
      <c r="O520" s="879"/>
      <c r="P520" s="879"/>
      <c r="Q520" s="879"/>
      <c r="R520" s="879"/>
      <c r="S520" s="879"/>
      <c r="T520" s="879"/>
      <c r="U520" s="879"/>
      <c r="V520" s="879"/>
      <c r="W520" s="879"/>
      <c r="X520" s="879"/>
      <c r="Y520" s="879"/>
      <c r="Z520" s="879"/>
    </row>
    <row r="521" spans="1:26" ht="12.75" customHeight="1">
      <c r="A521" s="879"/>
      <c r="B521" s="879"/>
      <c r="C521" s="879"/>
      <c r="D521" s="879"/>
      <c r="E521" s="879"/>
      <c r="F521" s="879"/>
      <c r="G521" s="879"/>
      <c r="H521" s="879"/>
      <c r="I521" s="879"/>
      <c r="J521" s="879"/>
      <c r="K521" s="879"/>
      <c r="L521" s="879"/>
      <c r="M521" s="879"/>
      <c r="N521" s="879"/>
      <c r="O521" s="879"/>
      <c r="P521" s="879"/>
      <c r="Q521" s="879"/>
      <c r="R521" s="879"/>
      <c r="S521" s="879"/>
      <c r="T521" s="879"/>
      <c r="U521" s="879"/>
      <c r="V521" s="879"/>
      <c r="W521" s="879"/>
      <c r="X521" s="879"/>
      <c r="Y521" s="879"/>
      <c r="Z521" s="879"/>
    </row>
    <row r="522" spans="1:26" ht="12.75" customHeight="1">
      <c r="A522" s="879"/>
      <c r="B522" s="879"/>
      <c r="C522" s="879"/>
      <c r="D522" s="879"/>
      <c r="E522" s="879"/>
      <c r="F522" s="879"/>
      <c r="G522" s="879"/>
      <c r="H522" s="879"/>
      <c r="I522" s="879"/>
      <c r="J522" s="879"/>
      <c r="K522" s="879"/>
      <c r="L522" s="879"/>
      <c r="M522" s="879"/>
      <c r="N522" s="879"/>
      <c r="O522" s="879"/>
      <c r="P522" s="879"/>
      <c r="Q522" s="879"/>
      <c r="R522" s="879"/>
      <c r="S522" s="879"/>
      <c r="T522" s="879"/>
      <c r="U522" s="879"/>
      <c r="V522" s="879"/>
      <c r="W522" s="879"/>
      <c r="X522" s="879"/>
      <c r="Y522" s="879"/>
      <c r="Z522" s="879"/>
    </row>
    <row r="523" spans="1:26" ht="12.75" customHeight="1">
      <c r="A523" s="879"/>
      <c r="B523" s="879"/>
      <c r="C523" s="879"/>
      <c r="D523" s="879"/>
      <c r="E523" s="879"/>
      <c r="F523" s="879"/>
      <c r="G523" s="879"/>
      <c r="H523" s="879"/>
      <c r="I523" s="879"/>
      <c r="J523" s="879"/>
      <c r="K523" s="879"/>
      <c r="L523" s="879"/>
      <c r="M523" s="879"/>
      <c r="N523" s="879"/>
      <c r="O523" s="879"/>
      <c r="P523" s="879"/>
      <c r="Q523" s="879"/>
      <c r="R523" s="879"/>
      <c r="S523" s="879"/>
      <c r="T523" s="879"/>
      <c r="U523" s="879"/>
      <c r="V523" s="879"/>
      <c r="W523" s="879"/>
      <c r="X523" s="879"/>
      <c r="Y523" s="879"/>
      <c r="Z523" s="879"/>
    </row>
    <row r="524" spans="1:26" ht="12.75" customHeight="1">
      <c r="A524" s="879"/>
      <c r="B524" s="879"/>
      <c r="C524" s="879"/>
      <c r="D524" s="879"/>
      <c r="E524" s="879"/>
      <c r="F524" s="879"/>
      <c r="G524" s="879"/>
      <c r="H524" s="879"/>
      <c r="I524" s="879"/>
      <c r="J524" s="879"/>
      <c r="K524" s="879"/>
      <c r="L524" s="879"/>
      <c r="M524" s="879"/>
      <c r="N524" s="879"/>
      <c r="O524" s="879"/>
      <c r="P524" s="879"/>
      <c r="Q524" s="879"/>
      <c r="R524" s="879"/>
      <c r="S524" s="879"/>
      <c r="T524" s="879"/>
      <c r="U524" s="879"/>
      <c r="V524" s="879"/>
      <c r="W524" s="879"/>
      <c r="X524" s="879"/>
      <c r="Y524" s="879"/>
      <c r="Z524" s="879"/>
    </row>
    <row r="525" spans="1:26" ht="12.75" customHeight="1">
      <c r="A525" s="879"/>
      <c r="B525" s="879"/>
      <c r="C525" s="879"/>
      <c r="D525" s="879"/>
      <c r="E525" s="879"/>
      <c r="F525" s="879"/>
      <c r="G525" s="879"/>
      <c r="H525" s="879"/>
      <c r="I525" s="879"/>
      <c r="J525" s="879"/>
      <c r="K525" s="879"/>
      <c r="L525" s="879"/>
      <c r="M525" s="879"/>
      <c r="N525" s="879"/>
      <c r="O525" s="879"/>
      <c r="P525" s="879"/>
      <c r="Q525" s="879"/>
      <c r="R525" s="879"/>
      <c r="S525" s="879"/>
      <c r="T525" s="879"/>
      <c r="U525" s="879"/>
      <c r="V525" s="879"/>
      <c r="W525" s="879"/>
      <c r="X525" s="879"/>
      <c r="Y525" s="879"/>
      <c r="Z525" s="879"/>
    </row>
    <row r="526" spans="1:26" ht="12.75" customHeight="1">
      <c r="A526" s="879"/>
      <c r="B526" s="879"/>
      <c r="C526" s="879"/>
      <c r="D526" s="879"/>
      <c r="E526" s="879"/>
      <c r="F526" s="879"/>
      <c r="G526" s="879"/>
      <c r="H526" s="879"/>
      <c r="I526" s="879"/>
      <c r="J526" s="879"/>
      <c r="K526" s="879"/>
      <c r="L526" s="879"/>
      <c r="M526" s="879"/>
      <c r="N526" s="879"/>
      <c r="O526" s="879"/>
      <c r="P526" s="879"/>
      <c r="Q526" s="879"/>
      <c r="R526" s="879"/>
      <c r="S526" s="879"/>
      <c r="T526" s="879"/>
      <c r="U526" s="879"/>
      <c r="V526" s="879"/>
      <c r="W526" s="879"/>
      <c r="X526" s="879"/>
      <c r="Y526" s="879"/>
      <c r="Z526" s="879"/>
    </row>
    <row r="527" spans="1:26" ht="12.75" customHeight="1">
      <c r="A527" s="879"/>
      <c r="B527" s="879"/>
      <c r="C527" s="879"/>
      <c r="D527" s="879"/>
      <c r="E527" s="879"/>
      <c r="F527" s="879"/>
      <c r="G527" s="879"/>
      <c r="H527" s="879"/>
      <c r="I527" s="879"/>
      <c r="J527" s="879"/>
      <c r="K527" s="879"/>
      <c r="L527" s="879"/>
      <c r="M527" s="879"/>
      <c r="N527" s="879"/>
      <c r="O527" s="879"/>
      <c r="P527" s="879"/>
      <c r="Q527" s="879"/>
      <c r="R527" s="879"/>
      <c r="S527" s="879"/>
      <c r="T527" s="879"/>
      <c r="U527" s="879"/>
      <c r="V527" s="879"/>
      <c r="W527" s="879"/>
      <c r="X527" s="879"/>
      <c r="Y527" s="879"/>
      <c r="Z527" s="879"/>
    </row>
    <row r="528" spans="1:26" ht="12.75" customHeight="1">
      <c r="A528" s="879"/>
      <c r="B528" s="879"/>
      <c r="C528" s="879"/>
      <c r="D528" s="879"/>
      <c r="E528" s="879"/>
      <c r="F528" s="879"/>
      <c r="G528" s="879"/>
      <c r="H528" s="879"/>
      <c r="I528" s="879"/>
      <c r="J528" s="879"/>
      <c r="K528" s="879"/>
      <c r="L528" s="879"/>
      <c r="M528" s="879"/>
      <c r="N528" s="879"/>
      <c r="O528" s="879"/>
      <c r="P528" s="879"/>
      <c r="Q528" s="879"/>
      <c r="R528" s="879"/>
      <c r="S528" s="879"/>
      <c r="T528" s="879"/>
      <c r="U528" s="879"/>
      <c r="V528" s="879"/>
      <c r="W528" s="879"/>
      <c r="X528" s="879"/>
      <c r="Y528" s="879"/>
      <c r="Z528" s="879"/>
    </row>
    <row r="529" spans="1:26" ht="12.75" customHeight="1">
      <c r="A529" s="879"/>
      <c r="B529" s="879"/>
      <c r="C529" s="879"/>
      <c r="D529" s="879"/>
      <c r="E529" s="879"/>
      <c r="F529" s="879"/>
      <c r="G529" s="879"/>
      <c r="H529" s="879"/>
      <c r="I529" s="879"/>
      <c r="J529" s="879"/>
      <c r="K529" s="879"/>
      <c r="L529" s="879"/>
      <c r="M529" s="879"/>
      <c r="N529" s="879"/>
      <c r="O529" s="879"/>
      <c r="P529" s="879"/>
      <c r="Q529" s="879"/>
      <c r="R529" s="879"/>
      <c r="S529" s="879"/>
      <c r="T529" s="879"/>
      <c r="U529" s="879"/>
      <c r="V529" s="879"/>
      <c r="W529" s="879"/>
      <c r="X529" s="879"/>
      <c r="Y529" s="879"/>
      <c r="Z529" s="879"/>
    </row>
    <row r="530" spans="1:26" ht="12.75" customHeight="1">
      <c r="A530" s="879"/>
      <c r="B530" s="879"/>
      <c r="C530" s="879"/>
      <c r="D530" s="879"/>
      <c r="E530" s="879"/>
      <c r="F530" s="879"/>
      <c r="G530" s="879"/>
      <c r="H530" s="879"/>
      <c r="I530" s="879"/>
      <c r="J530" s="879"/>
      <c r="K530" s="879"/>
      <c r="L530" s="879"/>
      <c r="M530" s="879"/>
      <c r="N530" s="879"/>
      <c r="O530" s="879"/>
      <c r="P530" s="879"/>
      <c r="Q530" s="879"/>
      <c r="R530" s="879"/>
      <c r="S530" s="879"/>
      <c r="T530" s="879"/>
      <c r="U530" s="879"/>
      <c r="V530" s="879"/>
      <c r="W530" s="879"/>
      <c r="X530" s="879"/>
      <c r="Y530" s="879"/>
      <c r="Z530" s="879"/>
    </row>
    <row r="531" spans="1:26" ht="12.75" customHeight="1">
      <c r="A531" s="879"/>
      <c r="B531" s="879"/>
      <c r="C531" s="879"/>
      <c r="D531" s="879"/>
      <c r="E531" s="879"/>
      <c r="F531" s="879"/>
      <c r="G531" s="879"/>
      <c r="H531" s="879"/>
      <c r="I531" s="879"/>
      <c r="J531" s="879"/>
      <c r="K531" s="879"/>
      <c r="L531" s="879"/>
      <c r="M531" s="879"/>
      <c r="N531" s="879"/>
      <c r="O531" s="879"/>
      <c r="P531" s="879"/>
      <c r="Q531" s="879"/>
      <c r="R531" s="879"/>
      <c r="S531" s="879"/>
      <c r="T531" s="879"/>
      <c r="U531" s="879"/>
      <c r="V531" s="879"/>
      <c r="W531" s="879"/>
      <c r="X531" s="879"/>
      <c r="Y531" s="879"/>
      <c r="Z531" s="879"/>
    </row>
    <row r="532" spans="1:26" ht="12.75" customHeight="1">
      <c r="A532" s="879"/>
      <c r="B532" s="879"/>
      <c r="C532" s="879"/>
      <c r="D532" s="879"/>
      <c r="E532" s="879"/>
      <c r="F532" s="879"/>
      <c r="G532" s="879"/>
      <c r="H532" s="879"/>
      <c r="I532" s="879"/>
      <c r="J532" s="879"/>
      <c r="K532" s="879"/>
      <c r="L532" s="879"/>
      <c r="M532" s="879"/>
      <c r="N532" s="879"/>
      <c r="O532" s="879"/>
      <c r="P532" s="879"/>
      <c r="Q532" s="879"/>
      <c r="R532" s="879"/>
      <c r="S532" s="879"/>
      <c r="T532" s="879"/>
      <c r="U532" s="879"/>
      <c r="V532" s="879"/>
      <c r="W532" s="879"/>
      <c r="X532" s="879"/>
      <c r="Y532" s="879"/>
      <c r="Z532" s="879"/>
    </row>
    <row r="533" spans="1:26" ht="12.75" customHeight="1">
      <c r="A533" s="879"/>
      <c r="B533" s="879"/>
      <c r="C533" s="879"/>
      <c r="D533" s="879"/>
      <c r="E533" s="879"/>
      <c r="F533" s="879"/>
      <c r="G533" s="879"/>
      <c r="H533" s="879"/>
      <c r="I533" s="879"/>
      <c r="J533" s="879"/>
      <c r="K533" s="879"/>
      <c r="L533" s="879"/>
      <c r="M533" s="879"/>
      <c r="N533" s="879"/>
      <c r="O533" s="879"/>
      <c r="P533" s="879"/>
      <c r="Q533" s="879"/>
      <c r="R533" s="879"/>
      <c r="S533" s="879"/>
      <c r="T533" s="879"/>
      <c r="U533" s="879"/>
      <c r="V533" s="879"/>
      <c r="W533" s="879"/>
      <c r="X533" s="879"/>
      <c r="Y533" s="879"/>
      <c r="Z533" s="879"/>
    </row>
    <row r="534" spans="1:26" ht="12.75" customHeight="1">
      <c r="A534" s="879"/>
      <c r="B534" s="879"/>
      <c r="C534" s="879"/>
      <c r="D534" s="879"/>
      <c r="E534" s="879"/>
      <c r="F534" s="879"/>
      <c r="G534" s="879"/>
      <c r="H534" s="879"/>
      <c r="I534" s="879"/>
      <c r="J534" s="879"/>
      <c r="K534" s="879"/>
      <c r="L534" s="879"/>
      <c r="M534" s="879"/>
      <c r="N534" s="879"/>
      <c r="O534" s="879"/>
      <c r="P534" s="879"/>
      <c r="Q534" s="879"/>
      <c r="R534" s="879"/>
      <c r="S534" s="879"/>
      <c r="T534" s="879"/>
      <c r="U534" s="879"/>
      <c r="V534" s="879"/>
      <c r="W534" s="879"/>
      <c r="X534" s="879"/>
      <c r="Y534" s="879"/>
      <c r="Z534" s="879"/>
    </row>
    <row r="535" spans="1:26" ht="12.75" customHeight="1">
      <c r="A535" s="879"/>
      <c r="B535" s="879"/>
      <c r="C535" s="879"/>
      <c r="D535" s="879"/>
      <c r="E535" s="879"/>
      <c r="F535" s="879"/>
      <c r="G535" s="879"/>
      <c r="H535" s="879"/>
      <c r="I535" s="879"/>
      <c r="J535" s="879"/>
      <c r="K535" s="879"/>
      <c r="L535" s="879"/>
      <c r="M535" s="879"/>
      <c r="N535" s="879"/>
      <c r="O535" s="879"/>
      <c r="P535" s="879"/>
      <c r="Q535" s="879"/>
      <c r="R535" s="879"/>
      <c r="S535" s="879"/>
      <c r="T535" s="879"/>
      <c r="U535" s="879"/>
      <c r="V535" s="879"/>
      <c r="W535" s="879"/>
      <c r="X535" s="879"/>
      <c r="Y535" s="879"/>
      <c r="Z535" s="879"/>
    </row>
    <row r="536" spans="1:26" ht="12.75" customHeight="1">
      <c r="A536" s="879"/>
      <c r="B536" s="879"/>
      <c r="C536" s="879"/>
      <c r="D536" s="879"/>
      <c r="E536" s="879"/>
      <c r="F536" s="879"/>
      <c r="G536" s="879"/>
      <c r="H536" s="879"/>
      <c r="I536" s="879"/>
      <c r="J536" s="879"/>
      <c r="K536" s="879"/>
      <c r="L536" s="879"/>
      <c r="M536" s="879"/>
      <c r="N536" s="879"/>
      <c r="O536" s="879"/>
      <c r="P536" s="879"/>
      <c r="Q536" s="879"/>
      <c r="R536" s="879"/>
      <c r="S536" s="879"/>
      <c r="T536" s="879"/>
      <c r="U536" s="879"/>
      <c r="V536" s="879"/>
      <c r="W536" s="879"/>
      <c r="X536" s="879"/>
      <c r="Y536" s="879"/>
      <c r="Z536" s="879"/>
    </row>
    <row r="537" spans="1:26" ht="12.75" customHeight="1">
      <c r="A537" s="879"/>
      <c r="B537" s="879"/>
      <c r="C537" s="879"/>
      <c r="D537" s="879"/>
      <c r="E537" s="879"/>
      <c r="F537" s="879"/>
      <c r="G537" s="879"/>
      <c r="H537" s="879"/>
      <c r="I537" s="879"/>
      <c r="J537" s="879"/>
      <c r="K537" s="879"/>
      <c r="L537" s="879"/>
      <c r="M537" s="879"/>
      <c r="N537" s="879"/>
      <c r="O537" s="879"/>
      <c r="P537" s="879"/>
      <c r="Q537" s="879"/>
      <c r="R537" s="879"/>
      <c r="S537" s="879"/>
      <c r="T537" s="879"/>
      <c r="U537" s="879"/>
      <c r="V537" s="879"/>
      <c r="W537" s="879"/>
      <c r="X537" s="879"/>
      <c r="Y537" s="879"/>
      <c r="Z537" s="879"/>
    </row>
    <row r="538" spans="1:26" ht="12.75" customHeight="1">
      <c r="A538" s="879"/>
      <c r="B538" s="879"/>
      <c r="C538" s="879"/>
      <c r="D538" s="879"/>
      <c r="E538" s="879"/>
      <c r="F538" s="879"/>
      <c r="G538" s="879"/>
      <c r="H538" s="879"/>
      <c r="I538" s="879"/>
      <c r="J538" s="879"/>
      <c r="K538" s="879"/>
      <c r="L538" s="879"/>
      <c r="M538" s="879"/>
      <c r="N538" s="879"/>
      <c r="O538" s="879"/>
      <c r="P538" s="879"/>
      <c r="Q538" s="879"/>
      <c r="R538" s="879"/>
      <c r="S538" s="879"/>
      <c r="T538" s="879"/>
      <c r="U538" s="879"/>
      <c r="V538" s="879"/>
      <c r="W538" s="879"/>
      <c r="X538" s="879"/>
      <c r="Y538" s="879"/>
      <c r="Z538" s="879"/>
    </row>
    <row r="539" spans="1:26" ht="12.75" customHeight="1">
      <c r="A539" s="879"/>
      <c r="B539" s="879"/>
      <c r="C539" s="879"/>
      <c r="D539" s="879"/>
      <c r="E539" s="879"/>
      <c r="F539" s="879"/>
      <c r="G539" s="879"/>
      <c r="H539" s="879"/>
      <c r="I539" s="879"/>
      <c r="J539" s="879"/>
      <c r="K539" s="879"/>
      <c r="L539" s="879"/>
      <c r="M539" s="879"/>
      <c r="N539" s="879"/>
      <c r="O539" s="879"/>
      <c r="P539" s="879"/>
      <c r="Q539" s="879"/>
      <c r="R539" s="879"/>
      <c r="S539" s="879"/>
      <c r="T539" s="879"/>
      <c r="U539" s="879"/>
      <c r="V539" s="879"/>
      <c r="W539" s="879"/>
      <c r="X539" s="879"/>
      <c r="Y539" s="879"/>
      <c r="Z539" s="879"/>
    </row>
    <row r="540" spans="1:26" ht="12.75" customHeight="1">
      <c r="A540" s="879"/>
      <c r="B540" s="879"/>
      <c r="C540" s="879"/>
      <c r="D540" s="879"/>
      <c r="E540" s="879"/>
      <c r="F540" s="879"/>
      <c r="G540" s="879"/>
      <c r="H540" s="879"/>
      <c r="I540" s="879"/>
      <c r="J540" s="879"/>
      <c r="K540" s="879"/>
      <c r="L540" s="879"/>
      <c r="M540" s="879"/>
      <c r="N540" s="879"/>
      <c r="O540" s="879"/>
      <c r="P540" s="879"/>
      <c r="Q540" s="879"/>
      <c r="R540" s="879"/>
      <c r="S540" s="879"/>
      <c r="T540" s="879"/>
      <c r="U540" s="879"/>
      <c r="V540" s="879"/>
      <c r="W540" s="879"/>
      <c r="X540" s="879"/>
      <c r="Y540" s="879"/>
      <c r="Z540" s="879"/>
    </row>
    <row r="541" spans="1:26" ht="12.75" customHeight="1">
      <c r="A541" s="879"/>
      <c r="B541" s="879"/>
      <c r="C541" s="879"/>
      <c r="D541" s="879"/>
      <c r="E541" s="879"/>
      <c r="F541" s="879"/>
      <c r="G541" s="879"/>
      <c r="H541" s="879"/>
      <c r="I541" s="879"/>
      <c r="J541" s="879"/>
      <c r="K541" s="879"/>
      <c r="L541" s="879"/>
      <c r="M541" s="879"/>
      <c r="N541" s="879"/>
      <c r="O541" s="879"/>
      <c r="P541" s="879"/>
      <c r="Q541" s="879"/>
      <c r="R541" s="879"/>
      <c r="S541" s="879"/>
      <c r="T541" s="879"/>
      <c r="U541" s="879"/>
      <c r="V541" s="879"/>
      <c r="W541" s="879"/>
      <c r="X541" s="879"/>
      <c r="Y541" s="879"/>
      <c r="Z541" s="879"/>
    </row>
    <row r="542" spans="1:26" ht="12.75" customHeight="1">
      <c r="A542" s="879"/>
      <c r="B542" s="879"/>
      <c r="C542" s="879"/>
      <c r="D542" s="879"/>
      <c r="E542" s="879"/>
      <c r="F542" s="879"/>
      <c r="G542" s="879"/>
      <c r="H542" s="879"/>
      <c r="I542" s="879"/>
      <c r="J542" s="879"/>
      <c r="K542" s="879"/>
      <c r="L542" s="879"/>
      <c r="M542" s="879"/>
      <c r="N542" s="879"/>
      <c r="O542" s="879"/>
      <c r="P542" s="879"/>
      <c r="Q542" s="879"/>
      <c r="R542" s="879"/>
      <c r="S542" s="879"/>
      <c r="T542" s="879"/>
      <c r="U542" s="879"/>
      <c r="V542" s="879"/>
      <c r="W542" s="879"/>
      <c r="X542" s="879"/>
      <c r="Y542" s="879"/>
      <c r="Z542" s="879"/>
    </row>
    <row r="543" spans="1:26" ht="12.75" customHeight="1">
      <c r="A543" s="879"/>
      <c r="B543" s="879"/>
      <c r="C543" s="879"/>
      <c r="D543" s="879"/>
      <c r="E543" s="879"/>
      <c r="F543" s="879"/>
      <c r="G543" s="879"/>
      <c r="H543" s="879"/>
      <c r="I543" s="879"/>
      <c r="J543" s="879"/>
      <c r="K543" s="879"/>
      <c r="L543" s="879"/>
      <c r="M543" s="879"/>
      <c r="N543" s="879"/>
      <c r="O543" s="879"/>
      <c r="P543" s="879"/>
      <c r="Q543" s="879"/>
      <c r="R543" s="879"/>
      <c r="S543" s="879"/>
      <c r="T543" s="879"/>
      <c r="U543" s="879"/>
      <c r="V543" s="879"/>
      <c r="W543" s="879"/>
      <c r="X543" s="879"/>
      <c r="Y543" s="879"/>
      <c r="Z543" s="879"/>
    </row>
    <row r="544" spans="1:26" ht="12.75" customHeight="1">
      <c r="A544" s="879"/>
      <c r="B544" s="879"/>
      <c r="C544" s="879"/>
      <c r="D544" s="879"/>
      <c r="E544" s="879"/>
      <c r="F544" s="879"/>
      <c r="G544" s="879"/>
      <c r="H544" s="879"/>
      <c r="I544" s="879"/>
      <c r="J544" s="879"/>
      <c r="K544" s="879"/>
      <c r="L544" s="879"/>
      <c r="M544" s="879"/>
      <c r="N544" s="879"/>
      <c r="O544" s="879"/>
      <c r="P544" s="879"/>
      <c r="Q544" s="879"/>
      <c r="R544" s="879"/>
      <c r="S544" s="879"/>
      <c r="T544" s="879"/>
      <c r="U544" s="879"/>
      <c r="V544" s="879"/>
      <c r="W544" s="879"/>
      <c r="X544" s="879"/>
      <c r="Y544" s="879"/>
      <c r="Z544" s="879"/>
    </row>
    <row r="545" spans="1:26" ht="12.75" customHeight="1">
      <c r="A545" s="879"/>
      <c r="B545" s="879"/>
      <c r="C545" s="879"/>
      <c r="D545" s="879"/>
      <c r="E545" s="879"/>
      <c r="F545" s="879"/>
      <c r="G545" s="879"/>
      <c r="H545" s="879"/>
      <c r="I545" s="879"/>
      <c r="J545" s="879"/>
      <c r="K545" s="879"/>
      <c r="L545" s="879"/>
      <c r="M545" s="879"/>
      <c r="N545" s="879"/>
      <c r="O545" s="879"/>
      <c r="P545" s="879"/>
      <c r="Q545" s="879"/>
      <c r="R545" s="879"/>
      <c r="S545" s="879"/>
      <c r="T545" s="879"/>
      <c r="U545" s="879"/>
      <c r="V545" s="879"/>
      <c r="W545" s="879"/>
      <c r="X545" s="879"/>
      <c r="Y545" s="879"/>
      <c r="Z545" s="879"/>
    </row>
    <row r="546" spans="1:26" ht="12.75" customHeight="1">
      <c r="A546" s="879"/>
      <c r="B546" s="879"/>
      <c r="C546" s="879"/>
      <c r="D546" s="879"/>
      <c r="E546" s="879"/>
      <c r="F546" s="879"/>
      <c r="G546" s="879"/>
      <c r="H546" s="879"/>
      <c r="I546" s="879"/>
      <c r="J546" s="879"/>
      <c r="K546" s="879"/>
      <c r="L546" s="879"/>
      <c r="M546" s="879"/>
      <c r="N546" s="879"/>
      <c r="O546" s="879"/>
      <c r="P546" s="879"/>
      <c r="Q546" s="879"/>
      <c r="R546" s="879"/>
      <c r="S546" s="879"/>
      <c r="T546" s="879"/>
      <c r="U546" s="879"/>
      <c r="V546" s="879"/>
      <c r="W546" s="879"/>
      <c r="X546" s="879"/>
      <c r="Y546" s="879"/>
      <c r="Z546" s="879"/>
    </row>
    <row r="547" spans="1:26" ht="12.75" customHeight="1">
      <c r="A547" s="879"/>
      <c r="B547" s="879"/>
      <c r="C547" s="879"/>
      <c r="D547" s="879"/>
      <c r="E547" s="879"/>
      <c r="F547" s="879"/>
      <c r="G547" s="879"/>
      <c r="H547" s="879"/>
      <c r="I547" s="879"/>
      <c r="J547" s="879"/>
      <c r="K547" s="879"/>
      <c r="L547" s="879"/>
      <c r="M547" s="879"/>
      <c r="N547" s="879"/>
      <c r="O547" s="879"/>
      <c r="P547" s="879"/>
      <c r="Q547" s="879"/>
      <c r="R547" s="879"/>
      <c r="S547" s="879"/>
      <c r="T547" s="879"/>
      <c r="U547" s="879"/>
      <c r="V547" s="879"/>
      <c r="W547" s="879"/>
      <c r="X547" s="879"/>
      <c r="Y547" s="879"/>
      <c r="Z547" s="879"/>
    </row>
    <row r="548" spans="1:26" ht="12.75" customHeight="1">
      <c r="A548" s="879"/>
      <c r="B548" s="879"/>
      <c r="C548" s="879"/>
      <c r="D548" s="879"/>
      <c r="E548" s="879"/>
      <c r="F548" s="879"/>
      <c r="G548" s="879"/>
      <c r="H548" s="879"/>
      <c r="I548" s="879"/>
      <c r="J548" s="879"/>
      <c r="K548" s="879"/>
      <c r="L548" s="879"/>
      <c r="M548" s="879"/>
      <c r="N548" s="879"/>
      <c r="O548" s="879"/>
      <c r="P548" s="879"/>
      <c r="Q548" s="879"/>
      <c r="R548" s="879"/>
      <c r="S548" s="879"/>
      <c r="T548" s="879"/>
      <c r="U548" s="879"/>
      <c r="V548" s="879"/>
      <c r="W548" s="879"/>
      <c r="X548" s="879"/>
      <c r="Y548" s="879"/>
      <c r="Z548" s="879"/>
    </row>
    <row r="549" spans="1:26" ht="12.75" customHeight="1">
      <c r="A549" s="879"/>
      <c r="B549" s="879"/>
      <c r="C549" s="879"/>
      <c r="D549" s="879"/>
      <c r="E549" s="879"/>
      <c r="F549" s="879"/>
      <c r="G549" s="879"/>
      <c r="H549" s="879"/>
      <c r="I549" s="879"/>
      <c r="J549" s="879"/>
      <c r="K549" s="879"/>
      <c r="L549" s="879"/>
      <c r="M549" s="879"/>
      <c r="N549" s="879"/>
      <c r="O549" s="879"/>
      <c r="P549" s="879"/>
      <c r="Q549" s="879"/>
      <c r="R549" s="879"/>
      <c r="S549" s="879"/>
      <c r="T549" s="879"/>
      <c r="U549" s="879"/>
      <c r="V549" s="879"/>
      <c r="W549" s="879"/>
      <c r="X549" s="879"/>
      <c r="Y549" s="879"/>
      <c r="Z549" s="879"/>
    </row>
    <row r="550" spans="1:26" ht="12.75" customHeight="1">
      <c r="A550" s="879"/>
      <c r="B550" s="879"/>
      <c r="C550" s="879"/>
      <c r="D550" s="879"/>
      <c r="E550" s="879"/>
      <c r="F550" s="879"/>
      <c r="G550" s="879"/>
      <c r="H550" s="879"/>
      <c r="I550" s="879"/>
      <c r="J550" s="879"/>
      <c r="K550" s="879"/>
      <c r="L550" s="879"/>
      <c r="M550" s="879"/>
      <c r="N550" s="879"/>
      <c r="O550" s="879"/>
      <c r="P550" s="879"/>
      <c r="Q550" s="879"/>
      <c r="R550" s="879"/>
      <c r="S550" s="879"/>
      <c r="T550" s="879"/>
      <c r="U550" s="879"/>
      <c r="V550" s="879"/>
      <c r="W550" s="879"/>
      <c r="X550" s="879"/>
      <c r="Y550" s="879"/>
      <c r="Z550" s="879"/>
    </row>
    <row r="551" spans="1:26" ht="12.75" customHeight="1">
      <c r="A551" s="879"/>
      <c r="B551" s="879"/>
      <c r="C551" s="879"/>
      <c r="D551" s="879"/>
      <c r="E551" s="879"/>
      <c r="F551" s="879"/>
      <c r="G551" s="879"/>
      <c r="H551" s="879"/>
      <c r="I551" s="879"/>
      <c r="J551" s="879"/>
      <c r="K551" s="879"/>
      <c r="L551" s="879"/>
      <c r="M551" s="879"/>
      <c r="N551" s="879"/>
      <c r="O551" s="879"/>
      <c r="P551" s="879"/>
      <c r="Q551" s="879"/>
      <c r="R551" s="879"/>
      <c r="S551" s="879"/>
      <c r="T551" s="879"/>
      <c r="U551" s="879"/>
      <c r="V551" s="879"/>
      <c r="W551" s="879"/>
      <c r="X551" s="879"/>
      <c r="Y551" s="879"/>
      <c r="Z551" s="879"/>
    </row>
    <row r="552" spans="1:26" ht="12.75" customHeight="1">
      <c r="A552" s="879"/>
      <c r="B552" s="879"/>
      <c r="C552" s="879"/>
      <c r="D552" s="879"/>
      <c r="E552" s="879"/>
      <c r="F552" s="879"/>
      <c r="G552" s="879"/>
      <c r="H552" s="879"/>
      <c r="I552" s="879"/>
      <c r="J552" s="879"/>
      <c r="K552" s="879"/>
      <c r="L552" s="879"/>
      <c r="M552" s="879"/>
      <c r="N552" s="879"/>
      <c r="O552" s="879"/>
      <c r="P552" s="879"/>
      <c r="Q552" s="879"/>
      <c r="R552" s="879"/>
      <c r="S552" s="879"/>
      <c r="T552" s="879"/>
      <c r="U552" s="879"/>
      <c r="V552" s="879"/>
      <c r="W552" s="879"/>
      <c r="X552" s="879"/>
      <c r="Y552" s="879"/>
      <c r="Z552" s="879"/>
    </row>
    <row r="553" spans="1:26" ht="12.75" customHeight="1">
      <c r="A553" s="879"/>
      <c r="B553" s="879"/>
      <c r="C553" s="879"/>
      <c r="D553" s="879"/>
      <c r="E553" s="879"/>
      <c r="F553" s="879"/>
      <c r="G553" s="879"/>
      <c r="H553" s="879"/>
      <c r="I553" s="879"/>
      <c r="J553" s="879"/>
      <c r="K553" s="879"/>
      <c r="L553" s="879"/>
      <c r="M553" s="879"/>
      <c r="N553" s="879"/>
      <c r="O553" s="879"/>
      <c r="P553" s="879"/>
      <c r="Q553" s="879"/>
      <c r="R553" s="879"/>
      <c r="S553" s="879"/>
      <c r="T553" s="879"/>
      <c r="U553" s="879"/>
      <c r="V553" s="879"/>
      <c r="W553" s="879"/>
      <c r="X553" s="879"/>
      <c r="Y553" s="879"/>
      <c r="Z553" s="879"/>
    </row>
    <row r="554" spans="1:26" ht="12.75" customHeight="1">
      <c r="A554" s="879"/>
      <c r="B554" s="879"/>
      <c r="C554" s="879"/>
      <c r="D554" s="879"/>
      <c r="E554" s="879"/>
      <c r="F554" s="879"/>
      <c r="G554" s="879"/>
      <c r="H554" s="879"/>
      <c r="I554" s="879"/>
      <c r="J554" s="879"/>
      <c r="K554" s="879"/>
      <c r="L554" s="879"/>
      <c r="M554" s="879"/>
      <c r="N554" s="879"/>
      <c r="O554" s="879"/>
      <c r="P554" s="879"/>
      <c r="Q554" s="879"/>
      <c r="R554" s="879"/>
      <c r="S554" s="879"/>
      <c r="T554" s="879"/>
      <c r="U554" s="879"/>
      <c r="V554" s="879"/>
      <c r="W554" s="879"/>
      <c r="X554" s="879"/>
      <c r="Y554" s="879"/>
      <c r="Z554" s="879"/>
    </row>
    <row r="555" spans="1:26" ht="12.75" customHeight="1">
      <c r="A555" s="879"/>
      <c r="B555" s="879"/>
      <c r="C555" s="879"/>
      <c r="D555" s="879"/>
      <c r="E555" s="879"/>
      <c r="F555" s="879"/>
      <c r="G555" s="879"/>
      <c r="H555" s="879"/>
      <c r="I555" s="879"/>
      <c r="J555" s="879"/>
      <c r="K555" s="879"/>
      <c r="L555" s="879"/>
      <c r="M555" s="879"/>
      <c r="N555" s="879"/>
      <c r="O555" s="879"/>
      <c r="P555" s="879"/>
      <c r="Q555" s="879"/>
      <c r="R555" s="879"/>
      <c r="S555" s="879"/>
      <c r="T555" s="879"/>
      <c r="U555" s="879"/>
      <c r="V555" s="879"/>
      <c r="W555" s="879"/>
      <c r="X555" s="879"/>
      <c r="Y555" s="879"/>
      <c r="Z555" s="879"/>
    </row>
    <row r="556" spans="1:26" ht="12.75" customHeight="1">
      <c r="A556" s="879"/>
      <c r="B556" s="879"/>
      <c r="C556" s="879"/>
      <c r="D556" s="879"/>
      <c r="E556" s="879"/>
      <c r="F556" s="879"/>
      <c r="G556" s="879"/>
      <c r="H556" s="879"/>
      <c r="I556" s="879"/>
      <c r="J556" s="879"/>
      <c r="K556" s="879"/>
      <c r="L556" s="879"/>
      <c r="M556" s="879"/>
      <c r="N556" s="879"/>
      <c r="O556" s="879"/>
      <c r="P556" s="879"/>
      <c r="Q556" s="879"/>
      <c r="R556" s="879"/>
      <c r="S556" s="879"/>
      <c r="T556" s="879"/>
      <c r="U556" s="879"/>
      <c r="V556" s="879"/>
      <c r="W556" s="879"/>
      <c r="X556" s="879"/>
      <c r="Y556" s="879"/>
      <c r="Z556" s="879"/>
    </row>
    <row r="557" spans="1:26" ht="12.75" customHeight="1">
      <c r="A557" s="879"/>
      <c r="B557" s="879"/>
      <c r="C557" s="879"/>
      <c r="D557" s="879"/>
      <c r="E557" s="879"/>
      <c r="F557" s="879"/>
      <c r="G557" s="879"/>
      <c r="H557" s="879"/>
      <c r="I557" s="879"/>
      <c r="J557" s="879"/>
      <c r="K557" s="879"/>
      <c r="L557" s="879"/>
      <c r="M557" s="879"/>
      <c r="N557" s="879"/>
      <c r="O557" s="879"/>
      <c r="P557" s="879"/>
      <c r="Q557" s="879"/>
      <c r="R557" s="879"/>
      <c r="S557" s="879"/>
      <c r="T557" s="879"/>
      <c r="U557" s="879"/>
      <c r="V557" s="879"/>
      <c r="W557" s="879"/>
      <c r="X557" s="879"/>
      <c r="Y557" s="879"/>
      <c r="Z557" s="879"/>
    </row>
    <row r="558" spans="1:26" ht="12.75" customHeight="1">
      <c r="A558" s="879"/>
      <c r="B558" s="879"/>
      <c r="C558" s="879"/>
      <c r="D558" s="879"/>
      <c r="E558" s="879"/>
      <c r="F558" s="879"/>
      <c r="G558" s="879"/>
      <c r="H558" s="879"/>
      <c r="I558" s="879"/>
      <c r="J558" s="879"/>
      <c r="K558" s="879"/>
      <c r="L558" s="879"/>
      <c r="M558" s="879"/>
      <c r="N558" s="879"/>
      <c r="O558" s="879"/>
      <c r="P558" s="879"/>
      <c r="Q558" s="879"/>
      <c r="R558" s="879"/>
      <c r="S558" s="879"/>
      <c r="T558" s="879"/>
      <c r="U558" s="879"/>
      <c r="V558" s="879"/>
      <c r="W558" s="879"/>
      <c r="X558" s="879"/>
      <c r="Y558" s="879"/>
      <c r="Z558" s="879"/>
    </row>
    <row r="559" spans="1:26" ht="12.75" customHeight="1">
      <c r="A559" s="879"/>
      <c r="B559" s="879"/>
      <c r="C559" s="879"/>
      <c r="D559" s="879"/>
      <c r="E559" s="879"/>
      <c r="F559" s="879"/>
      <c r="G559" s="879"/>
      <c r="H559" s="879"/>
      <c r="I559" s="879"/>
      <c r="J559" s="879"/>
      <c r="K559" s="879"/>
      <c r="L559" s="879"/>
      <c r="M559" s="879"/>
      <c r="N559" s="879"/>
      <c r="O559" s="879"/>
      <c r="P559" s="879"/>
      <c r="Q559" s="879"/>
      <c r="R559" s="879"/>
      <c r="S559" s="879"/>
      <c r="T559" s="879"/>
      <c r="U559" s="879"/>
      <c r="V559" s="879"/>
      <c r="W559" s="879"/>
      <c r="X559" s="879"/>
      <c r="Y559" s="879"/>
      <c r="Z559" s="879"/>
    </row>
    <row r="560" spans="1:26" ht="12.75" customHeight="1">
      <c r="A560" s="879"/>
      <c r="B560" s="879"/>
      <c r="C560" s="879"/>
      <c r="D560" s="879"/>
      <c r="E560" s="879"/>
      <c r="F560" s="879"/>
      <c r="G560" s="879"/>
      <c r="H560" s="879"/>
      <c r="I560" s="879"/>
      <c r="J560" s="879"/>
      <c r="K560" s="879"/>
      <c r="L560" s="879"/>
      <c r="M560" s="879"/>
      <c r="N560" s="879"/>
      <c r="O560" s="879"/>
      <c r="P560" s="879"/>
      <c r="Q560" s="879"/>
      <c r="R560" s="879"/>
      <c r="S560" s="879"/>
      <c r="T560" s="879"/>
      <c r="U560" s="879"/>
      <c r="V560" s="879"/>
      <c r="W560" s="879"/>
      <c r="X560" s="879"/>
      <c r="Y560" s="879"/>
      <c r="Z560" s="879"/>
    </row>
    <row r="561" spans="1:26" ht="12.75" customHeight="1">
      <c r="A561" s="879"/>
      <c r="B561" s="879"/>
      <c r="C561" s="879"/>
      <c r="D561" s="879"/>
      <c r="E561" s="879"/>
      <c r="F561" s="879"/>
      <c r="G561" s="879"/>
      <c r="H561" s="879"/>
      <c r="I561" s="879"/>
      <c r="J561" s="879"/>
      <c r="K561" s="879"/>
      <c r="L561" s="879"/>
      <c r="M561" s="879"/>
      <c r="N561" s="879"/>
      <c r="O561" s="879"/>
      <c r="P561" s="879"/>
      <c r="Q561" s="879"/>
      <c r="R561" s="879"/>
      <c r="S561" s="879"/>
      <c r="T561" s="879"/>
      <c r="U561" s="879"/>
      <c r="V561" s="879"/>
      <c r="W561" s="879"/>
      <c r="X561" s="879"/>
      <c r="Y561" s="879"/>
      <c r="Z561" s="879"/>
    </row>
    <row r="562" spans="1:26" ht="12.75" customHeight="1">
      <c r="A562" s="879"/>
      <c r="B562" s="879"/>
      <c r="C562" s="879"/>
      <c r="D562" s="879"/>
      <c r="E562" s="879"/>
      <c r="F562" s="879"/>
      <c r="G562" s="879"/>
      <c r="H562" s="879"/>
      <c r="I562" s="879"/>
      <c r="J562" s="879"/>
      <c r="K562" s="879"/>
      <c r="L562" s="879"/>
      <c r="M562" s="879"/>
      <c r="N562" s="879"/>
      <c r="O562" s="879"/>
      <c r="P562" s="879"/>
      <c r="Q562" s="879"/>
      <c r="R562" s="879"/>
      <c r="S562" s="879"/>
      <c r="T562" s="879"/>
      <c r="U562" s="879"/>
      <c r="V562" s="879"/>
      <c r="W562" s="879"/>
      <c r="X562" s="879"/>
      <c r="Y562" s="879"/>
      <c r="Z562" s="879"/>
    </row>
    <row r="563" spans="1:26" ht="12.75" customHeight="1">
      <c r="A563" s="879"/>
      <c r="B563" s="879"/>
      <c r="C563" s="879"/>
      <c r="D563" s="879"/>
      <c r="E563" s="879"/>
      <c r="F563" s="879"/>
      <c r="G563" s="879"/>
      <c r="H563" s="879"/>
      <c r="I563" s="879"/>
      <c r="J563" s="879"/>
      <c r="K563" s="879"/>
      <c r="L563" s="879"/>
      <c r="M563" s="879"/>
      <c r="N563" s="879"/>
      <c r="O563" s="879"/>
      <c r="P563" s="879"/>
      <c r="Q563" s="879"/>
      <c r="R563" s="879"/>
      <c r="S563" s="879"/>
      <c r="T563" s="879"/>
      <c r="U563" s="879"/>
      <c r="V563" s="879"/>
      <c r="W563" s="879"/>
      <c r="X563" s="879"/>
      <c r="Y563" s="879"/>
      <c r="Z563" s="879"/>
    </row>
    <row r="564" spans="1:26" ht="12.75" customHeight="1">
      <c r="A564" s="879"/>
      <c r="B564" s="879"/>
      <c r="C564" s="879"/>
      <c r="D564" s="879"/>
      <c r="E564" s="879"/>
      <c r="F564" s="879"/>
      <c r="G564" s="879"/>
      <c r="H564" s="879"/>
      <c r="I564" s="879"/>
      <c r="J564" s="879"/>
      <c r="K564" s="879"/>
      <c r="L564" s="879"/>
      <c r="M564" s="879"/>
      <c r="N564" s="879"/>
      <c r="O564" s="879"/>
      <c r="P564" s="879"/>
      <c r="Q564" s="879"/>
      <c r="R564" s="879"/>
      <c r="S564" s="879"/>
      <c r="T564" s="879"/>
      <c r="U564" s="879"/>
      <c r="V564" s="879"/>
      <c r="W564" s="879"/>
      <c r="X564" s="879"/>
      <c r="Y564" s="879"/>
      <c r="Z564" s="879"/>
    </row>
    <row r="565" spans="1:26" ht="12.75" customHeight="1">
      <c r="A565" s="879"/>
      <c r="B565" s="879"/>
      <c r="C565" s="879"/>
      <c r="D565" s="879"/>
      <c r="E565" s="879"/>
      <c r="F565" s="879"/>
      <c r="G565" s="879"/>
      <c r="H565" s="879"/>
      <c r="I565" s="879"/>
      <c r="J565" s="879"/>
      <c r="K565" s="879"/>
      <c r="L565" s="879"/>
      <c r="M565" s="879"/>
      <c r="N565" s="879"/>
      <c r="O565" s="879"/>
      <c r="P565" s="879"/>
      <c r="Q565" s="879"/>
      <c r="R565" s="879"/>
      <c r="S565" s="879"/>
      <c r="T565" s="879"/>
      <c r="U565" s="879"/>
      <c r="V565" s="879"/>
      <c r="W565" s="879"/>
      <c r="X565" s="879"/>
      <c r="Y565" s="879"/>
      <c r="Z565" s="879"/>
    </row>
    <row r="566" spans="1:26" ht="12.75" customHeight="1">
      <c r="A566" s="879"/>
      <c r="B566" s="879"/>
      <c r="C566" s="879"/>
      <c r="D566" s="879"/>
      <c r="E566" s="879"/>
      <c r="F566" s="879"/>
      <c r="G566" s="879"/>
      <c r="H566" s="879"/>
      <c r="I566" s="879"/>
      <c r="J566" s="879"/>
      <c r="K566" s="879"/>
      <c r="L566" s="879"/>
      <c r="M566" s="879"/>
      <c r="N566" s="879"/>
      <c r="O566" s="879"/>
      <c r="P566" s="879"/>
      <c r="Q566" s="879"/>
      <c r="R566" s="879"/>
      <c r="S566" s="879"/>
      <c r="T566" s="879"/>
      <c r="U566" s="879"/>
      <c r="V566" s="879"/>
      <c r="W566" s="879"/>
      <c r="X566" s="879"/>
      <c r="Y566" s="879"/>
      <c r="Z566" s="879"/>
    </row>
    <row r="567" spans="1:26" ht="12.75" customHeight="1">
      <c r="A567" s="879"/>
      <c r="B567" s="879"/>
      <c r="C567" s="879"/>
      <c r="D567" s="879"/>
      <c r="E567" s="879"/>
      <c r="F567" s="879"/>
      <c r="G567" s="879"/>
      <c r="H567" s="879"/>
      <c r="I567" s="879"/>
      <c r="J567" s="879"/>
      <c r="K567" s="879"/>
      <c r="L567" s="879"/>
      <c r="M567" s="879"/>
      <c r="N567" s="879"/>
      <c r="O567" s="879"/>
      <c r="P567" s="879"/>
      <c r="Q567" s="879"/>
      <c r="R567" s="879"/>
      <c r="S567" s="879"/>
      <c r="T567" s="879"/>
      <c r="U567" s="879"/>
      <c r="V567" s="879"/>
      <c r="W567" s="879"/>
      <c r="X567" s="879"/>
      <c r="Y567" s="879"/>
      <c r="Z567" s="879"/>
    </row>
    <row r="568" spans="1:26" ht="12.75" customHeight="1">
      <c r="A568" s="879"/>
      <c r="B568" s="879"/>
      <c r="C568" s="879"/>
      <c r="D568" s="879"/>
      <c r="E568" s="879"/>
      <c r="F568" s="879"/>
      <c r="G568" s="879"/>
      <c r="H568" s="879"/>
      <c r="I568" s="879"/>
      <c r="J568" s="879"/>
      <c r="K568" s="879"/>
      <c r="L568" s="879"/>
      <c r="M568" s="879"/>
      <c r="N568" s="879"/>
      <c r="O568" s="879"/>
      <c r="P568" s="879"/>
      <c r="Q568" s="879"/>
      <c r="R568" s="879"/>
      <c r="S568" s="879"/>
      <c r="T568" s="879"/>
      <c r="U568" s="879"/>
      <c r="V568" s="879"/>
      <c r="W568" s="879"/>
      <c r="X568" s="879"/>
      <c r="Y568" s="879"/>
      <c r="Z568" s="879"/>
    </row>
    <row r="569" spans="1:26" ht="12.75" customHeight="1">
      <c r="A569" s="879"/>
      <c r="B569" s="879"/>
      <c r="C569" s="879"/>
      <c r="D569" s="879"/>
      <c r="E569" s="879"/>
      <c r="F569" s="879"/>
      <c r="G569" s="879"/>
      <c r="H569" s="879"/>
      <c r="I569" s="879"/>
      <c r="J569" s="879"/>
      <c r="K569" s="879"/>
      <c r="L569" s="879"/>
      <c r="M569" s="879"/>
      <c r="N569" s="879"/>
      <c r="O569" s="879"/>
      <c r="P569" s="879"/>
      <c r="Q569" s="879"/>
      <c r="R569" s="879"/>
      <c r="S569" s="879"/>
      <c r="T569" s="879"/>
      <c r="U569" s="879"/>
      <c r="V569" s="879"/>
      <c r="W569" s="879"/>
      <c r="X569" s="879"/>
      <c r="Y569" s="879"/>
      <c r="Z569" s="879"/>
    </row>
    <row r="570" spans="1:26" ht="12.75" customHeight="1">
      <c r="A570" s="879"/>
      <c r="B570" s="879"/>
      <c r="C570" s="879"/>
      <c r="D570" s="879"/>
      <c r="E570" s="879"/>
      <c r="F570" s="879"/>
      <c r="G570" s="879"/>
      <c r="H570" s="879"/>
      <c r="I570" s="879"/>
      <c r="J570" s="879"/>
      <c r="K570" s="879"/>
      <c r="L570" s="879"/>
      <c r="M570" s="879"/>
      <c r="N570" s="879"/>
      <c r="O570" s="879"/>
      <c r="P570" s="879"/>
      <c r="Q570" s="879"/>
      <c r="R570" s="879"/>
      <c r="S570" s="879"/>
      <c r="T570" s="879"/>
      <c r="U570" s="879"/>
      <c r="V570" s="879"/>
      <c r="W570" s="879"/>
      <c r="X570" s="879"/>
      <c r="Y570" s="879"/>
      <c r="Z570" s="879"/>
    </row>
    <row r="571" spans="1:26" ht="12.75" customHeight="1">
      <c r="A571" s="879"/>
      <c r="B571" s="879"/>
      <c r="C571" s="879"/>
      <c r="D571" s="879"/>
      <c r="E571" s="879"/>
      <c r="F571" s="879"/>
      <c r="G571" s="879"/>
      <c r="H571" s="879"/>
      <c r="I571" s="879"/>
      <c r="J571" s="879"/>
      <c r="K571" s="879"/>
      <c r="L571" s="879"/>
      <c r="M571" s="879"/>
      <c r="N571" s="879"/>
      <c r="O571" s="879"/>
      <c r="P571" s="879"/>
      <c r="Q571" s="879"/>
      <c r="R571" s="879"/>
      <c r="S571" s="879"/>
      <c r="T571" s="879"/>
      <c r="U571" s="879"/>
      <c r="V571" s="879"/>
      <c r="W571" s="879"/>
      <c r="X571" s="879"/>
      <c r="Y571" s="879"/>
      <c r="Z571" s="879"/>
    </row>
    <row r="572" spans="1:26" ht="12.75" customHeight="1">
      <c r="A572" s="879"/>
      <c r="B572" s="879"/>
      <c r="C572" s="879"/>
      <c r="D572" s="879"/>
      <c r="E572" s="879"/>
      <c r="F572" s="879"/>
      <c r="G572" s="879"/>
      <c r="H572" s="879"/>
      <c r="I572" s="879"/>
      <c r="J572" s="879"/>
      <c r="K572" s="879"/>
      <c r="L572" s="879"/>
      <c r="M572" s="879"/>
      <c r="N572" s="879"/>
      <c r="O572" s="879"/>
      <c r="P572" s="879"/>
      <c r="Q572" s="879"/>
      <c r="R572" s="879"/>
      <c r="S572" s="879"/>
      <c r="T572" s="879"/>
      <c r="U572" s="879"/>
      <c r="V572" s="879"/>
      <c r="W572" s="879"/>
      <c r="X572" s="879"/>
      <c r="Y572" s="879"/>
      <c r="Z572" s="879"/>
    </row>
    <row r="573" spans="1:26" ht="12.75" customHeight="1">
      <c r="A573" s="879"/>
      <c r="B573" s="879"/>
      <c r="C573" s="879"/>
      <c r="D573" s="879"/>
      <c r="E573" s="879"/>
      <c r="F573" s="879"/>
      <c r="G573" s="879"/>
      <c r="H573" s="879"/>
      <c r="I573" s="879"/>
      <c r="J573" s="879"/>
      <c r="K573" s="879"/>
      <c r="L573" s="879"/>
      <c r="M573" s="879"/>
      <c r="N573" s="879"/>
      <c r="O573" s="879"/>
      <c r="P573" s="879"/>
      <c r="Q573" s="879"/>
      <c r="R573" s="879"/>
      <c r="S573" s="879"/>
      <c r="T573" s="879"/>
      <c r="U573" s="879"/>
      <c r="V573" s="879"/>
      <c r="W573" s="879"/>
      <c r="X573" s="879"/>
      <c r="Y573" s="879"/>
      <c r="Z573" s="879"/>
    </row>
    <row r="574" spans="1:26" ht="12.75" customHeight="1">
      <c r="A574" s="879"/>
      <c r="B574" s="879"/>
      <c r="C574" s="879"/>
      <c r="D574" s="879"/>
      <c r="E574" s="879"/>
      <c r="F574" s="879"/>
      <c r="G574" s="879"/>
      <c r="H574" s="879"/>
      <c r="I574" s="879"/>
      <c r="J574" s="879"/>
      <c r="K574" s="879"/>
      <c r="L574" s="879"/>
      <c r="M574" s="879"/>
      <c r="N574" s="879"/>
      <c r="O574" s="879"/>
      <c r="P574" s="879"/>
      <c r="Q574" s="879"/>
      <c r="R574" s="879"/>
      <c r="S574" s="879"/>
      <c r="T574" s="879"/>
      <c r="U574" s="879"/>
      <c r="V574" s="879"/>
      <c r="W574" s="879"/>
      <c r="X574" s="879"/>
      <c r="Y574" s="879"/>
      <c r="Z574" s="879"/>
    </row>
    <row r="575" spans="1:26" ht="12.75" customHeight="1">
      <c r="A575" s="879"/>
      <c r="B575" s="879"/>
      <c r="C575" s="879"/>
      <c r="D575" s="879"/>
      <c r="E575" s="879"/>
      <c r="F575" s="879"/>
      <c r="G575" s="879"/>
      <c r="H575" s="879"/>
      <c r="I575" s="879"/>
      <c r="J575" s="879"/>
      <c r="K575" s="879"/>
      <c r="L575" s="879"/>
      <c r="M575" s="879"/>
      <c r="N575" s="879"/>
      <c r="O575" s="879"/>
      <c r="P575" s="879"/>
      <c r="Q575" s="879"/>
      <c r="R575" s="879"/>
      <c r="S575" s="879"/>
      <c r="T575" s="879"/>
      <c r="U575" s="879"/>
      <c r="V575" s="879"/>
      <c r="W575" s="879"/>
      <c r="X575" s="879"/>
      <c r="Y575" s="879"/>
      <c r="Z575" s="879"/>
    </row>
    <row r="576" spans="1:26" ht="12.75" customHeight="1">
      <c r="A576" s="879"/>
      <c r="B576" s="879"/>
      <c r="C576" s="879"/>
      <c r="D576" s="879"/>
      <c r="E576" s="879"/>
      <c r="F576" s="879"/>
      <c r="G576" s="879"/>
      <c r="H576" s="879"/>
      <c r="I576" s="879"/>
      <c r="J576" s="879"/>
      <c r="K576" s="879"/>
      <c r="L576" s="879"/>
      <c r="M576" s="879"/>
      <c r="N576" s="879"/>
      <c r="O576" s="879"/>
      <c r="P576" s="879"/>
      <c r="Q576" s="879"/>
      <c r="R576" s="879"/>
      <c r="S576" s="879"/>
      <c r="T576" s="879"/>
      <c r="U576" s="879"/>
      <c r="V576" s="879"/>
      <c r="W576" s="879"/>
      <c r="X576" s="879"/>
      <c r="Y576" s="879"/>
      <c r="Z576" s="879"/>
    </row>
    <row r="577" spans="1:26" ht="12.75" customHeight="1">
      <c r="A577" s="879"/>
      <c r="B577" s="879"/>
      <c r="C577" s="879"/>
      <c r="D577" s="879"/>
      <c r="E577" s="879"/>
      <c r="F577" s="879"/>
      <c r="G577" s="879"/>
      <c r="H577" s="879"/>
      <c r="I577" s="879"/>
      <c r="J577" s="879"/>
      <c r="K577" s="879"/>
      <c r="L577" s="879"/>
      <c r="M577" s="879"/>
      <c r="N577" s="879"/>
      <c r="O577" s="879"/>
      <c r="P577" s="879"/>
      <c r="Q577" s="879"/>
      <c r="R577" s="879"/>
      <c r="S577" s="879"/>
      <c r="T577" s="879"/>
      <c r="U577" s="879"/>
      <c r="V577" s="879"/>
      <c r="W577" s="879"/>
      <c r="X577" s="879"/>
      <c r="Y577" s="879"/>
      <c r="Z577" s="879"/>
    </row>
    <row r="578" spans="1:26" ht="12.75" customHeight="1">
      <c r="A578" s="879"/>
      <c r="B578" s="879"/>
      <c r="C578" s="879"/>
      <c r="D578" s="879"/>
      <c r="E578" s="879"/>
      <c r="F578" s="879"/>
      <c r="G578" s="879"/>
      <c r="H578" s="879"/>
      <c r="I578" s="879"/>
      <c r="J578" s="879"/>
      <c r="K578" s="879"/>
      <c r="L578" s="879"/>
      <c r="M578" s="879"/>
      <c r="N578" s="879"/>
      <c r="O578" s="879"/>
      <c r="P578" s="879"/>
      <c r="Q578" s="879"/>
      <c r="R578" s="879"/>
      <c r="S578" s="879"/>
      <c r="T578" s="879"/>
      <c r="U578" s="879"/>
      <c r="V578" s="879"/>
      <c r="W578" s="879"/>
      <c r="X578" s="879"/>
      <c r="Y578" s="879"/>
      <c r="Z578" s="879"/>
    </row>
    <row r="579" spans="1:26" ht="12.75" customHeight="1">
      <c r="A579" s="879"/>
      <c r="B579" s="879"/>
      <c r="C579" s="879"/>
      <c r="D579" s="879"/>
      <c r="E579" s="879"/>
      <c r="F579" s="879"/>
      <c r="G579" s="879"/>
      <c r="H579" s="879"/>
      <c r="I579" s="879"/>
      <c r="J579" s="879"/>
      <c r="K579" s="879"/>
      <c r="L579" s="879"/>
      <c r="M579" s="879"/>
      <c r="N579" s="879"/>
      <c r="O579" s="879"/>
      <c r="P579" s="879"/>
      <c r="Q579" s="879"/>
      <c r="R579" s="879"/>
      <c r="S579" s="879"/>
      <c r="T579" s="879"/>
      <c r="U579" s="879"/>
      <c r="V579" s="879"/>
      <c r="W579" s="879"/>
      <c r="X579" s="879"/>
      <c r="Y579" s="879"/>
      <c r="Z579" s="879"/>
    </row>
    <row r="580" spans="1:26" ht="12.75" customHeight="1">
      <c r="A580" s="879"/>
      <c r="B580" s="879"/>
      <c r="C580" s="879"/>
      <c r="D580" s="879"/>
      <c r="E580" s="879"/>
      <c r="F580" s="879"/>
      <c r="G580" s="879"/>
      <c r="H580" s="879"/>
      <c r="I580" s="879"/>
      <c r="J580" s="879"/>
      <c r="K580" s="879"/>
      <c r="L580" s="879"/>
      <c r="M580" s="879"/>
      <c r="N580" s="879"/>
      <c r="O580" s="879"/>
      <c r="P580" s="879"/>
      <c r="Q580" s="879"/>
      <c r="R580" s="879"/>
      <c r="S580" s="879"/>
      <c r="T580" s="879"/>
      <c r="U580" s="879"/>
      <c r="V580" s="879"/>
      <c r="W580" s="879"/>
      <c r="X580" s="879"/>
      <c r="Y580" s="879"/>
      <c r="Z580" s="879"/>
    </row>
    <row r="581" spans="1:26" ht="12.75" customHeight="1">
      <c r="A581" s="879"/>
      <c r="B581" s="879"/>
      <c r="C581" s="879"/>
      <c r="D581" s="879"/>
      <c r="E581" s="879"/>
      <c r="F581" s="879"/>
      <c r="G581" s="879"/>
      <c r="H581" s="879"/>
      <c r="I581" s="879"/>
      <c r="J581" s="879"/>
      <c r="K581" s="879"/>
      <c r="L581" s="879"/>
      <c r="M581" s="879"/>
      <c r="N581" s="879"/>
      <c r="O581" s="879"/>
      <c r="P581" s="879"/>
      <c r="Q581" s="879"/>
      <c r="R581" s="879"/>
      <c r="S581" s="879"/>
      <c r="T581" s="879"/>
      <c r="U581" s="879"/>
      <c r="V581" s="879"/>
      <c r="W581" s="879"/>
      <c r="X581" s="879"/>
      <c r="Y581" s="879"/>
      <c r="Z581" s="879"/>
    </row>
    <row r="582" spans="1:26" ht="12.75" customHeight="1">
      <c r="A582" s="879"/>
      <c r="B582" s="879"/>
      <c r="C582" s="879"/>
      <c r="D582" s="879"/>
      <c r="E582" s="879"/>
      <c r="F582" s="879"/>
      <c r="G582" s="879"/>
      <c r="H582" s="879"/>
      <c r="I582" s="879"/>
      <c r="J582" s="879"/>
      <c r="K582" s="879"/>
      <c r="L582" s="879"/>
      <c r="M582" s="879"/>
      <c r="N582" s="879"/>
      <c r="O582" s="879"/>
      <c r="P582" s="879"/>
      <c r="Q582" s="879"/>
      <c r="R582" s="879"/>
      <c r="S582" s="879"/>
      <c r="T582" s="879"/>
      <c r="U582" s="879"/>
      <c r="V582" s="879"/>
      <c r="W582" s="879"/>
      <c r="X582" s="879"/>
      <c r="Y582" s="879"/>
      <c r="Z582" s="879"/>
    </row>
    <row r="583" spans="1:26" ht="12.75" customHeight="1">
      <c r="A583" s="879"/>
      <c r="B583" s="879"/>
      <c r="C583" s="879"/>
      <c r="D583" s="879"/>
      <c r="E583" s="879"/>
      <c r="F583" s="879"/>
      <c r="G583" s="879"/>
      <c r="H583" s="879"/>
      <c r="I583" s="879"/>
      <c r="J583" s="879"/>
      <c r="K583" s="879"/>
      <c r="L583" s="879"/>
      <c r="M583" s="879"/>
      <c r="N583" s="879"/>
      <c r="O583" s="879"/>
      <c r="P583" s="879"/>
      <c r="Q583" s="879"/>
      <c r="R583" s="879"/>
      <c r="S583" s="879"/>
      <c r="T583" s="879"/>
      <c r="U583" s="879"/>
      <c r="V583" s="879"/>
      <c r="W583" s="879"/>
      <c r="X583" s="879"/>
      <c r="Y583" s="879"/>
      <c r="Z583" s="879"/>
    </row>
    <row r="584" spans="1:26" ht="12.75" customHeight="1">
      <c r="A584" s="879"/>
      <c r="B584" s="879"/>
      <c r="C584" s="879"/>
      <c r="D584" s="879"/>
      <c r="E584" s="879"/>
      <c r="F584" s="879"/>
      <c r="G584" s="879"/>
      <c r="H584" s="879"/>
      <c r="I584" s="879"/>
      <c r="J584" s="879"/>
      <c r="K584" s="879"/>
      <c r="L584" s="879"/>
      <c r="M584" s="879"/>
      <c r="N584" s="879"/>
      <c r="O584" s="879"/>
      <c r="P584" s="879"/>
      <c r="Q584" s="879"/>
      <c r="R584" s="879"/>
      <c r="S584" s="879"/>
      <c r="T584" s="879"/>
      <c r="U584" s="879"/>
      <c r="V584" s="879"/>
      <c r="W584" s="879"/>
      <c r="X584" s="879"/>
      <c r="Y584" s="879"/>
      <c r="Z584" s="879"/>
    </row>
    <row r="585" spans="1:26" ht="12.75" customHeight="1">
      <c r="A585" s="879"/>
      <c r="B585" s="879"/>
      <c r="C585" s="879"/>
      <c r="D585" s="879"/>
      <c r="E585" s="879"/>
      <c r="F585" s="879"/>
      <c r="G585" s="879"/>
      <c r="H585" s="879"/>
      <c r="I585" s="879"/>
      <c r="J585" s="879"/>
      <c r="K585" s="879"/>
      <c r="L585" s="879"/>
      <c r="M585" s="879"/>
      <c r="N585" s="879"/>
      <c r="O585" s="879"/>
      <c r="P585" s="879"/>
      <c r="Q585" s="879"/>
      <c r="R585" s="879"/>
      <c r="S585" s="879"/>
      <c r="T585" s="879"/>
      <c r="U585" s="879"/>
      <c r="V585" s="879"/>
      <c r="W585" s="879"/>
      <c r="X585" s="879"/>
      <c r="Y585" s="879"/>
      <c r="Z585" s="879"/>
    </row>
    <row r="586" spans="1:26" ht="12.75" customHeight="1">
      <c r="A586" s="879"/>
      <c r="B586" s="879"/>
      <c r="C586" s="879"/>
      <c r="D586" s="879"/>
      <c r="E586" s="879"/>
      <c r="F586" s="879"/>
      <c r="G586" s="879"/>
      <c r="H586" s="879"/>
      <c r="I586" s="879"/>
      <c r="J586" s="879"/>
      <c r="K586" s="879"/>
      <c r="L586" s="879"/>
      <c r="M586" s="879"/>
      <c r="N586" s="879"/>
      <c r="O586" s="879"/>
      <c r="P586" s="879"/>
      <c r="Q586" s="879"/>
      <c r="R586" s="879"/>
      <c r="S586" s="879"/>
      <c r="T586" s="879"/>
      <c r="U586" s="879"/>
      <c r="V586" s="879"/>
      <c r="W586" s="879"/>
      <c r="X586" s="879"/>
      <c r="Y586" s="879"/>
      <c r="Z586" s="879"/>
    </row>
    <row r="587" spans="1:26" ht="12.75" customHeight="1">
      <c r="A587" s="879"/>
      <c r="B587" s="879"/>
      <c r="C587" s="879"/>
      <c r="D587" s="879"/>
      <c r="E587" s="879"/>
      <c r="F587" s="879"/>
      <c r="G587" s="879"/>
      <c r="H587" s="879"/>
      <c r="I587" s="879"/>
      <c r="J587" s="879"/>
      <c r="K587" s="879"/>
      <c r="L587" s="879"/>
      <c r="M587" s="879"/>
      <c r="N587" s="879"/>
      <c r="O587" s="879"/>
      <c r="P587" s="879"/>
      <c r="Q587" s="879"/>
      <c r="R587" s="879"/>
      <c r="S587" s="879"/>
      <c r="T587" s="879"/>
      <c r="U587" s="879"/>
      <c r="V587" s="879"/>
      <c r="W587" s="879"/>
      <c r="X587" s="879"/>
      <c r="Y587" s="879"/>
      <c r="Z587" s="879"/>
    </row>
    <row r="588" spans="1:26" ht="12.75" customHeight="1">
      <c r="A588" s="879"/>
      <c r="B588" s="879"/>
      <c r="C588" s="879"/>
      <c r="D588" s="879"/>
      <c r="E588" s="879"/>
      <c r="F588" s="879"/>
      <c r="G588" s="879"/>
      <c r="H588" s="879"/>
      <c r="I588" s="879"/>
      <c r="J588" s="879"/>
      <c r="K588" s="879"/>
      <c r="L588" s="879"/>
      <c r="M588" s="879"/>
      <c r="N588" s="879"/>
      <c r="O588" s="879"/>
      <c r="P588" s="879"/>
      <c r="Q588" s="879"/>
      <c r="R588" s="879"/>
      <c r="S588" s="879"/>
      <c r="T588" s="879"/>
      <c r="U588" s="879"/>
      <c r="V588" s="879"/>
      <c r="W588" s="879"/>
      <c r="X588" s="879"/>
      <c r="Y588" s="879"/>
      <c r="Z588" s="879"/>
    </row>
    <row r="589" spans="1:26" ht="12.75" customHeight="1">
      <c r="A589" s="879"/>
      <c r="B589" s="879"/>
      <c r="C589" s="879"/>
      <c r="D589" s="879"/>
      <c r="E589" s="879"/>
      <c r="F589" s="879"/>
      <c r="G589" s="879"/>
      <c r="H589" s="879"/>
      <c r="I589" s="879"/>
      <c r="J589" s="879"/>
      <c r="K589" s="879"/>
      <c r="L589" s="879"/>
      <c r="M589" s="879"/>
      <c r="N589" s="879"/>
      <c r="O589" s="879"/>
      <c r="P589" s="879"/>
      <c r="Q589" s="879"/>
      <c r="R589" s="879"/>
      <c r="S589" s="879"/>
      <c r="T589" s="879"/>
      <c r="U589" s="879"/>
      <c r="V589" s="879"/>
      <c r="W589" s="879"/>
      <c r="X589" s="879"/>
      <c r="Y589" s="879"/>
      <c r="Z589" s="879"/>
    </row>
    <row r="590" spans="1:26" ht="12.75" customHeight="1">
      <c r="A590" s="879"/>
      <c r="B590" s="879"/>
      <c r="C590" s="879"/>
      <c r="D590" s="879"/>
      <c r="E590" s="879"/>
      <c r="F590" s="879"/>
      <c r="G590" s="879"/>
      <c r="H590" s="879"/>
      <c r="I590" s="879"/>
      <c r="J590" s="879"/>
      <c r="K590" s="879"/>
      <c r="L590" s="879"/>
      <c r="M590" s="879"/>
      <c r="N590" s="879"/>
      <c r="O590" s="879"/>
      <c r="P590" s="879"/>
      <c r="Q590" s="879"/>
      <c r="R590" s="879"/>
      <c r="S590" s="879"/>
      <c r="T590" s="879"/>
      <c r="U590" s="879"/>
      <c r="V590" s="879"/>
      <c r="W590" s="879"/>
      <c r="X590" s="879"/>
      <c r="Y590" s="879"/>
      <c r="Z590" s="879"/>
    </row>
    <row r="591" spans="1:26" ht="12.75" customHeight="1">
      <c r="A591" s="879"/>
      <c r="B591" s="879"/>
      <c r="C591" s="879"/>
      <c r="D591" s="879"/>
      <c r="E591" s="879"/>
      <c r="F591" s="879"/>
      <c r="G591" s="879"/>
      <c r="H591" s="879"/>
      <c r="I591" s="879"/>
      <c r="J591" s="879"/>
      <c r="K591" s="879"/>
      <c r="L591" s="879"/>
      <c r="M591" s="879"/>
      <c r="N591" s="879"/>
      <c r="O591" s="879"/>
      <c r="P591" s="879"/>
      <c r="Q591" s="879"/>
      <c r="R591" s="879"/>
      <c r="S591" s="879"/>
      <c r="T591" s="879"/>
      <c r="U591" s="879"/>
      <c r="V591" s="879"/>
      <c r="W591" s="879"/>
      <c r="X591" s="879"/>
      <c r="Y591" s="879"/>
      <c r="Z591" s="879"/>
    </row>
    <row r="592" spans="1:26" ht="12.75" customHeight="1">
      <c r="A592" s="879"/>
      <c r="B592" s="879"/>
      <c r="C592" s="879"/>
      <c r="D592" s="879"/>
      <c r="E592" s="879"/>
      <c r="F592" s="879"/>
      <c r="G592" s="879"/>
      <c r="H592" s="879"/>
      <c r="I592" s="879"/>
      <c r="J592" s="879"/>
      <c r="K592" s="879"/>
      <c r="L592" s="879"/>
      <c r="M592" s="879"/>
      <c r="N592" s="879"/>
      <c r="O592" s="879"/>
      <c r="P592" s="879"/>
      <c r="Q592" s="879"/>
      <c r="R592" s="879"/>
      <c r="S592" s="879"/>
      <c r="T592" s="879"/>
      <c r="U592" s="879"/>
      <c r="V592" s="879"/>
      <c r="W592" s="879"/>
      <c r="X592" s="879"/>
      <c r="Y592" s="879"/>
      <c r="Z592" s="879"/>
    </row>
    <row r="593" spans="1:26" ht="12.75" customHeight="1">
      <c r="A593" s="879"/>
      <c r="B593" s="879"/>
      <c r="C593" s="879"/>
      <c r="D593" s="879"/>
      <c r="E593" s="879"/>
      <c r="F593" s="879"/>
      <c r="G593" s="879"/>
      <c r="H593" s="879"/>
      <c r="I593" s="879"/>
      <c r="J593" s="879"/>
      <c r="K593" s="879"/>
      <c r="L593" s="879"/>
      <c r="M593" s="879"/>
      <c r="N593" s="879"/>
      <c r="O593" s="879"/>
      <c r="P593" s="879"/>
      <c r="Q593" s="879"/>
      <c r="R593" s="879"/>
      <c r="S593" s="879"/>
      <c r="T593" s="879"/>
      <c r="U593" s="879"/>
      <c r="V593" s="879"/>
      <c r="W593" s="879"/>
      <c r="X593" s="879"/>
      <c r="Y593" s="879"/>
      <c r="Z593" s="879"/>
    </row>
    <row r="594" spans="1:26" ht="12.75" customHeight="1">
      <c r="A594" s="879"/>
      <c r="B594" s="879"/>
      <c r="C594" s="879"/>
      <c r="D594" s="879"/>
      <c r="E594" s="879"/>
      <c r="F594" s="879"/>
      <c r="G594" s="879"/>
      <c r="H594" s="879"/>
      <c r="I594" s="879"/>
      <c r="J594" s="879"/>
      <c r="K594" s="879"/>
      <c r="L594" s="879"/>
      <c r="M594" s="879"/>
      <c r="N594" s="879"/>
      <c r="O594" s="879"/>
      <c r="P594" s="879"/>
      <c r="Q594" s="879"/>
      <c r="R594" s="879"/>
      <c r="S594" s="879"/>
      <c r="T594" s="879"/>
      <c r="U594" s="879"/>
      <c r="V594" s="879"/>
      <c r="W594" s="879"/>
      <c r="X594" s="879"/>
      <c r="Y594" s="879"/>
      <c r="Z594" s="879"/>
    </row>
    <row r="595" spans="1:26" ht="12.75" customHeight="1">
      <c r="A595" s="879"/>
      <c r="B595" s="879"/>
      <c r="C595" s="879"/>
      <c r="D595" s="879"/>
      <c r="E595" s="879"/>
      <c r="F595" s="879"/>
      <c r="G595" s="879"/>
      <c r="H595" s="879"/>
      <c r="I595" s="879"/>
      <c r="J595" s="879"/>
      <c r="K595" s="879"/>
      <c r="L595" s="879"/>
      <c r="M595" s="879"/>
      <c r="N595" s="879"/>
      <c r="O595" s="879"/>
      <c r="P595" s="879"/>
      <c r="Q595" s="879"/>
      <c r="R595" s="879"/>
      <c r="S595" s="879"/>
      <c r="T595" s="879"/>
      <c r="U595" s="879"/>
      <c r="V595" s="879"/>
      <c r="W595" s="879"/>
      <c r="X595" s="879"/>
      <c r="Y595" s="879"/>
      <c r="Z595" s="879"/>
    </row>
    <row r="596" spans="1:26" ht="12.75" customHeight="1">
      <c r="A596" s="879"/>
      <c r="B596" s="879"/>
      <c r="C596" s="879"/>
      <c r="D596" s="879"/>
      <c r="E596" s="879"/>
      <c r="F596" s="879"/>
      <c r="G596" s="879"/>
      <c r="H596" s="879"/>
      <c r="I596" s="879"/>
      <c r="J596" s="879"/>
      <c r="K596" s="879"/>
      <c r="L596" s="879"/>
      <c r="M596" s="879"/>
      <c r="N596" s="879"/>
      <c r="O596" s="879"/>
      <c r="P596" s="879"/>
      <c r="Q596" s="879"/>
      <c r="R596" s="879"/>
      <c r="S596" s="879"/>
      <c r="T596" s="879"/>
      <c r="U596" s="879"/>
      <c r="V596" s="879"/>
      <c r="W596" s="879"/>
      <c r="X596" s="879"/>
      <c r="Y596" s="879"/>
      <c r="Z596" s="879"/>
    </row>
    <row r="597" spans="1:26" ht="12.75" customHeight="1">
      <c r="A597" s="879"/>
      <c r="B597" s="879"/>
      <c r="C597" s="879"/>
      <c r="D597" s="879"/>
      <c r="E597" s="879"/>
      <c r="F597" s="879"/>
      <c r="G597" s="879"/>
      <c r="H597" s="879"/>
      <c r="I597" s="879"/>
      <c r="J597" s="879"/>
      <c r="K597" s="879"/>
      <c r="L597" s="879"/>
      <c r="M597" s="879"/>
      <c r="N597" s="879"/>
      <c r="O597" s="879"/>
      <c r="P597" s="879"/>
      <c r="Q597" s="879"/>
      <c r="R597" s="879"/>
      <c r="S597" s="879"/>
      <c r="T597" s="879"/>
      <c r="U597" s="879"/>
      <c r="V597" s="879"/>
      <c r="W597" s="879"/>
      <c r="X597" s="879"/>
      <c r="Y597" s="879"/>
      <c r="Z597" s="879"/>
    </row>
    <row r="598" spans="1:26" ht="12.75" customHeight="1">
      <c r="A598" s="879"/>
      <c r="B598" s="879"/>
      <c r="C598" s="879"/>
      <c r="D598" s="879"/>
      <c r="E598" s="879"/>
      <c r="F598" s="879"/>
      <c r="G598" s="879"/>
      <c r="H598" s="879"/>
      <c r="I598" s="879"/>
      <c r="J598" s="879"/>
      <c r="K598" s="879"/>
      <c r="L598" s="879"/>
      <c r="M598" s="879"/>
      <c r="N598" s="879"/>
      <c r="O598" s="879"/>
      <c r="P598" s="879"/>
      <c r="Q598" s="879"/>
      <c r="R598" s="879"/>
      <c r="S598" s="879"/>
      <c r="T598" s="879"/>
      <c r="U598" s="879"/>
      <c r="V598" s="879"/>
      <c r="W598" s="879"/>
      <c r="X598" s="879"/>
      <c r="Y598" s="879"/>
      <c r="Z598" s="879"/>
    </row>
    <row r="599" spans="1:26" ht="12.75" customHeight="1">
      <c r="A599" s="879"/>
      <c r="B599" s="879"/>
      <c r="C599" s="879"/>
      <c r="D599" s="879"/>
      <c r="E599" s="879"/>
      <c r="F599" s="879"/>
      <c r="G599" s="879"/>
      <c r="H599" s="879"/>
      <c r="I599" s="879"/>
      <c r="J599" s="879"/>
      <c r="K599" s="879"/>
      <c r="L599" s="879"/>
      <c r="M599" s="879"/>
      <c r="N599" s="879"/>
      <c r="O599" s="879"/>
      <c r="P599" s="879"/>
      <c r="Q599" s="879"/>
      <c r="R599" s="879"/>
      <c r="S599" s="879"/>
      <c r="T599" s="879"/>
      <c r="U599" s="879"/>
      <c r="V599" s="879"/>
      <c r="W599" s="879"/>
      <c r="X599" s="879"/>
      <c r="Y599" s="879"/>
      <c r="Z599" s="879"/>
    </row>
    <row r="600" spans="1:26" ht="12.75" customHeight="1">
      <c r="A600" s="879"/>
      <c r="B600" s="879"/>
      <c r="C600" s="879"/>
      <c r="D600" s="879"/>
      <c r="E600" s="879"/>
      <c r="F600" s="879"/>
      <c r="G600" s="879"/>
      <c r="H600" s="879"/>
      <c r="I600" s="879"/>
      <c r="J600" s="879"/>
      <c r="K600" s="879"/>
      <c r="L600" s="879"/>
      <c r="M600" s="879"/>
      <c r="N600" s="879"/>
      <c r="O600" s="879"/>
      <c r="P600" s="879"/>
      <c r="Q600" s="879"/>
      <c r="R600" s="879"/>
      <c r="S600" s="879"/>
      <c r="T600" s="879"/>
      <c r="U600" s="879"/>
      <c r="V600" s="879"/>
      <c r="W600" s="879"/>
      <c r="X600" s="879"/>
      <c r="Y600" s="879"/>
      <c r="Z600" s="879"/>
    </row>
    <row r="601" spans="1:26" ht="12.75" customHeight="1">
      <c r="A601" s="879"/>
      <c r="B601" s="879"/>
      <c r="C601" s="879"/>
      <c r="D601" s="879"/>
      <c r="E601" s="879"/>
      <c r="F601" s="879"/>
      <c r="G601" s="879"/>
      <c r="H601" s="879"/>
      <c r="I601" s="879"/>
      <c r="J601" s="879"/>
      <c r="K601" s="879"/>
      <c r="L601" s="879"/>
      <c r="M601" s="879"/>
      <c r="N601" s="879"/>
      <c r="O601" s="879"/>
      <c r="P601" s="879"/>
      <c r="Q601" s="879"/>
      <c r="R601" s="879"/>
      <c r="S601" s="879"/>
      <c r="T601" s="879"/>
      <c r="U601" s="879"/>
      <c r="V601" s="879"/>
      <c r="W601" s="879"/>
      <c r="X601" s="879"/>
      <c r="Y601" s="879"/>
      <c r="Z601" s="879"/>
    </row>
    <row r="602" spans="1:26" ht="12.75" customHeight="1">
      <c r="A602" s="879"/>
      <c r="B602" s="879"/>
      <c r="C602" s="879"/>
      <c r="D602" s="879"/>
      <c r="E602" s="879"/>
      <c r="F602" s="879"/>
      <c r="G602" s="879"/>
      <c r="H602" s="879"/>
      <c r="I602" s="879"/>
      <c r="J602" s="879"/>
      <c r="K602" s="879"/>
      <c r="L602" s="879"/>
      <c r="M602" s="879"/>
      <c r="N602" s="879"/>
      <c r="O602" s="879"/>
      <c r="P602" s="879"/>
      <c r="Q602" s="879"/>
      <c r="R602" s="879"/>
      <c r="S602" s="879"/>
      <c r="T602" s="879"/>
      <c r="U602" s="879"/>
      <c r="V602" s="879"/>
      <c r="W602" s="879"/>
      <c r="X602" s="879"/>
      <c r="Y602" s="879"/>
      <c r="Z602" s="879"/>
    </row>
    <row r="603" spans="1:26" ht="12.75" customHeight="1">
      <c r="A603" s="879"/>
      <c r="B603" s="879"/>
      <c r="C603" s="879"/>
      <c r="D603" s="879"/>
      <c r="E603" s="879"/>
      <c r="F603" s="879"/>
      <c r="G603" s="879"/>
      <c r="H603" s="879"/>
      <c r="I603" s="879"/>
      <c r="J603" s="879"/>
      <c r="K603" s="879"/>
      <c r="L603" s="879"/>
      <c r="M603" s="879"/>
      <c r="N603" s="879"/>
      <c r="O603" s="879"/>
      <c r="P603" s="879"/>
      <c r="Q603" s="879"/>
      <c r="R603" s="879"/>
      <c r="S603" s="879"/>
      <c r="T603" s="879"/>
      <c r="U603" s="879"/>
      <c r="V603" s="879"/>
      <c r="W603" s="879"/>
      <c r="X603" s="879"/>
      <c r="Y603" s="879"/>
      <c r="Z603" s="879"/>
    </row>
    <row r="604" spans="1:26" ht="12.75" customHeight="1">
      <c r="A604" s="879"/>
      <c r="B604" s="879"/>
      <c r="C604" s="879"/>
      <c r="D604" s="879"/>
      <c r="E604" s="879"/>
      <c r="F604" s="879"/>
      <c r="G604" s="879"/>
      <c r="H604" s="879"/>
      <c r="I604" s="879"/>
      <c r="J604" s="879"/>
      <c r="K604" s="879"/>
      <c r="L604" s="879"/>
      <c r="M604" s="879"/>
      <c r="N604" s="879"/>
      <c r="O604" s="879"/>
      <c r="P604" s="879"/>
      <c r="Q604" s="879"/>
      <c r="R604" s="879"/>
      <c r="S604" s="879"/>
      <c r="T604" s="879"/>
      <c r="U604" s="879"/>
      <c r="V604" s="879"/>
      <c r="W604" s="879"/>
      <c r="X604" s="879"/>
      <c r="Y604" s="879"/>
      <c r="Z604" s="879"/>
    </row>
    <row r="605" spans="1:26" ht="12.75" customHeight="1">
      <c r="A605" s="879"/>
      <c r="B605" s="879"/>
      <c r="C605" s="879"/>
      <c r="D605" s="879"/>
      <c r="E605" s="879"/>
      <c r="F605" s="879"/>
      <c r="G605" s="879"/>
      <c r="H605" s="879"/>
      <c r="I605" s="879"/>
      <c r="J605" s="879"/>
      <c r="K605" s="879"/>
      <c r="L605" s="879"/>
      <c r="M605" s="879"/>
      <c r="N605" s="879"/>
      <c r="O605" s="879"/>
      <c r="P605" s="879"/>
      <c r="Q605" s="879"/>
      <c r="R605" s="879"/>
      <c r="S605" s="879"/>
      <c r="T605" s="879"/>
      <c r="U605" s="879"/>
      <c r="V605" s="879"/>
      <c r="W605" s="879"/>
      <c r="X605" s="879"/>
      <c r="Y605" s="879"/>
      <c r="Z605" s="879"/>
    </row>
    <row r="606" spans="1:26" ht="12.75" customHeight="1">
      <c r="A606" s="879"/>
      <c r="B606" s="879"/>
      <c r="C606" s="879"/>
      <c r="D606" s="879"/>
      <c r="E606" s="879"/>
      <c r="F606" s="879"/>
      <c r="G606" s="879"/>
      <c r="H606" s="879"/>
      <c r="I606" s="879"/>
      <c r="J606" s="879"/>
      <c r="K606" s="879"/>
      <c r="L606" s="879"/>
      <c r="M606" s="879"/>
      <c r="N606" s="879"/>
      <c r="O606" s="879"/>
      <c r="P606" s="879"/>
      <c r="Q606" s="879"/>
      <c r="R606" s="879"/>
      <c r="S606" s="879"/>
      <c r="T606" s="879"/>
      <c r="U606" s="879"/>
      <c r="V606" s="879"/>
      <c r="W606" s="879"/>
      <c r="X606" s="879"/>
      <c r="Y606" s="879"/>
      <c r="Z606" s="879"/>
    </row>
    <row r="607" spans="1:26" ht="12.75" customHeight="1">
      <c r="A607" s="879"/>
      <c r="B607" s="879"/>
      <c r="C607" s="879"/>
      <c r="D607" s="879"/>
      <c r="E607" s="879"/>
      <c r="F607" s="879"/>
      <c r="G607" s="879"/>
      <c r="H607" s="879"/>
      <c r="I607" s="879"/>
      <c r="J607" s="879"/>
      <c r="K607" s="879"/>
      <c r="L607" s="879"/>
      <c r="M607" s="879"/>
      <c r="N607" s="879"/>
      <c r="O607" s="879"/>
      <c r="P607" s="879"/>
      <c r="Q607" s="879"/>
      <c r="R607" s="879"/>
      <c r="S607" s="879"/>
      <c r="T607" s="879"/>
      <c r="U607" s="879"/>
      <c r="V607" s="879"/>
      <c r="W607" s="879"/>
      <c r="X607" s="879"/>
      <c r="Y607" s="879"/>
      <c r="Z607" s="879"/>
    </row>
    <row r="608" spans="1:26" ht="12.75" customHeight="1">
      <c r="A608" s="879"/>
      <c r="B608" s="879"/>
      <c r="C608" s="879"/>
      <c r="D608" s="879"/>
      <c r="E608" s="879"/>
      <c r="F608" s="879"/>
      <c r="G608" s="879"/>
      <c r="H608" s="879"/>
      <c r="I608" s="879"/>
      <c r="J608" s="879"/>
      <c r="K608" s="879"/>
      <c r="L608" s="879"/>
      <c r="M608" s="879"/>
      <c r="N608" s="879"/>
      <c r="O608" s="879"/>
      <c r="P608" s="879"/>
      <c r="Q608" s="879"/>
      <c r="R608" s="879"/>
      <c r="S608" s="879"/>
      <c r="T608" s="879"/>
      <c r="U608" s="879"/>
      <c r="V608" s="879"/>
      <c r="W608" s="879"/>
      <c r="X608" s="879"/>
      <c r="Y608" s="879"/>
      <c r="Z608" s="879"/>
    </row>
    <row r="609" spans="1:26" ht="12.75" customHeight="1">
      <c r="A609" s="879"/>
      <c r="B609" s="879"/>
      <c r="C609" s="879"/>
      <c r="D609" s="879"/>
      <c r="E609" s="879"/>
      <c r="F609" s="879"/>
      <c r="G609" s="879"/>
      <c r="H609" s="879"/>
      <c r="I609" s="879"/>
      <c r="J609" s="879"/>
      <c r="K609" s="879"/>
      <c r="L609" s="879"/>
      <c r="M609" s="879"/>
      <c r="N609" s="879"/>
      <c r="O609" s="879"/>
      <c r="P609" s="879"/>
      <c r="Q609" s="879"/>
      <c r="R609" s="879"/>
      <c r="S609" s="879"/>
      <c r="T609" s="879"/>
      <c r="U609" s="879"/>
      <c r="V609" s="879"/>
      <c r="W609" s="879"/>
      <c r="X609" s="879"/>
      <c r="Y609" s="879"/>
      <c r="Z609" s="879"/>
    </row>
    <row r="610" spans="1:26" ht="12.75" customHeight="1">
      <c r="A610" s="879"/>
      <c r="B610" s="879"/>
      <c r="C610" s="879"/>
      <c r="D610" s="879"/>
      <c r="E610" s="879"/>
      <c r="F610" s="879"/>
      <c r="G610" s="879"/>
      <c r="H610" s="879"/>
      <c r="I610" s="879"/>
      <c r="J610" s="879"/>
      <c r="K610" s="879"/>
      <c r="L610" s="879"/>
      <c r="M610" s="879"/>
      <c r="N610" s="879"/>
      <c r="O610" s="879"/>
      <c r="P610" s="879"/>
      <c r="Q610" s="879"/>
      <c r="R610" s="879"/>
      <c r="S610" s="879"/>
      <c r="T610" s="879"/>
      <c r="U610" s="879"/>
      <c r="V610" s="879"/>
      <c r="W610" s="879"/>
      <c r="X610" s="879"/>
      <c r="Y610" s="879"/>
      <c r="Z610" s="879"/>
    </row>
    <row r="611" spans="1:26" ht="12.75" customHeight="1">
      <c r="A611" s="879"/>
      <c r="B611" s="879"/>
      <c r="C611" s="879"/>
      <c r="D611" s="879"/>
      <c r="E611" s="879"/>
      <c r="F611" s="879"/>
      <c r="G611" s="879"/>
      <c r="H611" s="879"/>
      <c r="I611" s="879"/>
      <c r="J611" s="879"/>
      <c r="K611" s="879"/>
      <c r="L611" s="879"/>
      <c r="M611" s="879"/>
      <c r="N611" s="879"/>
      <c r="O611" s="879"/>
      <c r="P611" s="879"/>
      <c r="Q611" s="879"/>
      <c r="R611" s="879"/>
      <c r="S611" s="879"/>
      <c r="T611" s="879"/>
      <c r="U611" s="879"/>
      <c r="V611" s="879"/>
      <c r="W611" s="879"/>
      <c r="X611" s="879"/>
      <c r="Y611" s="879"/>
      <c r="Z611" s="879"/>
    </row>
    <row r="612" spans="1:26" ht="12.75" customHeight="1">
      <c r="A612" s="879"/>
      <c r="B612" s="879"/>
      <c r="C612" s="879"/>
      <c r="D612" s="879"/>
      <c r="E612" s="879"/>
      <c r="F612" s="879"/>
      <c r="G612" s="879"/>
      <c r="H612" s="879"/>
      <c r="I612" s="879"/>
      <c r="J612" s="879"/>
      <c r="K612" s="879"/>
      <c r="L612" s="879"/>
      <c r="M612" s="879"/>
      <c r="N612" s="879"/>
      <c r="O612" s="879"/>
      <c r="P612" s="879"/>
      <c r="Q612" s="879"/>
      <c r="R612" s="879"/>
      <c r="S612" s="879"/>
      <c r="T612" s="879"/>
      <c r="U612" s="879"/>
      <c r="V612" s="879"/>
      <c r="W612" s="879"/>
      <c r="X612" s="879"/>
      <c r="Y612" s="879"/>
      <c r="Z612" s="879"/>
    </row>
    <row r="613" spans="1:26" ht="12.75" customHeight="1">
      <c r="A613" s="879"/>
      <c r="B613" s="879"/>
      <c r="C613" s="879"/>
      <c r="D613" s="879"/>
      <c r="E613" s="879"/>
      <c r="F613" s="879"/>
      <c r="G613" s="879"/>
      <c r="H613" s="879"/>
      <c r="I613" s="879"/>
      <c r="J613" s="879"/>
      <c r="K613" s="879"/>
      <c r="L613" s="879"/>
      <c r="M613" s="879"/>
      <c r="N613" s="879"/>
      <c r="O613" s="879"/>
      <c r="P613" s="879"/>
      <c r="Q613" s="879"/>
      <c r="R613" s="879"/>
      <c r="S613" s="879"/>
      <c r="T613" s="879"/>
      <c r="U613" s="879"/>
      <c r="V613" s="879"/>
      <c r="W613" s="879"/>
      <c r="X613" s="879"/>
      <c r="Y613" s="879"/>
      <c r="Z613" s="879"/>
    </row>
    <row r="614" spans="1:26" ht="12.75" customHeight="1">
      <c r="A614" s="879"/>
      <c r="B614" s="879"/>
      <c r="C614" s="879"/>
      <c r="D614" s="879"/>
      <c r="E614" s="879"/>
      <c r="F614" s="879"/>
      <c r="G614" s="879"/>
      <c r="H614" s="879"/>
      <c r="I614" s="879"/>
      <c r="J614" s="879"/>
      <c r="K614" s="879"/>
      <c r="L614" s="879"/>
      <c r="M614" s="879"/>
      <c r="N614" s="879"/>
      <c r="O614" s="879"/>
      <c r="P614" s="879"/>
      <c r="Q614" s="879"/>
      <c r="R614" s="879"/>
      <c r="S614" s="879"/>
      <c r="T614" s="879"/>
      <c r="U614" s="879"/>
      <c r="V614" s="879"/>
      <c r="W614" s="879"/>
      <c r="X614" s="879"/>
      <c r="Y614" s="879"/>
      <c r="Z614" s="879"/>
    </row>
    <row r="615" spans="1:26" ht="12.75" customHeight="1">
      <c r="A615" s="879"/>
      <c r="B615" s="879"/>
      <c r="C615" s="879"/>
      <c r="D615" s="879"/>
      <c r="E615" s="879"/>
      <c r="F615" s="879"/>
      <c r="G615" s="879"/>
      <c r="H615" s="879"/>
      <c r="I615" s="879"/>
      <c r="J615" s="879"/>
      <c r="K615" s="879"/>
      <c r="L615" s="879"/>
      <c r="M615" s="879"/>
      <c r="N615" s="879"/>
      <c r="O615" s="879"/>
      <c r="P615" s="879"/>
      <c r="Q615" s="879"/>
      <c r="R615" s="879"/>
      <c r="S615" s="879"/>
      <c r="T615" s="879"/>
      <c r="U615" s="879"/>
      <c r="V615" s="879"/>
      <c r="W615" s="879"/>
      <c r="X615" s="879"/>
      <c r="Y615" s="879"/>
      <c r="Z615" s="879"/>
    </row>
    <row r="616" spans="1:26" ht="12.75" customHeight="1">
      <c r="A616" s="879"/>
      <c r="B616" s="879"/>
      <c r="C616" s="879"/>
      <c r="D616" s="879"/>
      <c r="E616" s="879"/>
      <c r="F616" s="879"/>
      <c r="G616" s="879"/>
      <c r="H616" s="879"/>
      <c r="I616" s="879"/>
      <c r="J616" s="879"/>
      <c r="K616" s="879"/>
      <c r="L616" s="879"/>
      <c r="M616" s="879"/>
      <c r="N616" s="879"/>
      <c r="O616" s="879"/>
      <c r="P616" s="879"/>
      <c r="Q616" s="879"/>
      <c r="R616" s="879"/>
      <c r="S616" s="879"/>
      <c r="T616" s="879"/>
      <c r="U616" s="879"/>
      <c r="V616" s="879"/>
      <c r="W616" s="879"/>
      <c r="X616" s="879"/>
      <c r="Y616" s="879"/>
      <c r="Z616" s="879"/>
    </row>
    <row r="617" spans="1:26" ht="12.75" customHeight="1">
      <c r="A617" s="879"/>
      <c r="B617" s="879"/>
      <c r="C617" s="879"/>
      <c r="D617" s="879"/>
      <c r="E617" s="879"/>
      <c r="F617" s="879"/>
      <c r="G617" s="879"/>
      <c r="H617" s="879"/>
      <c r="I617" s="879"/>
      <c r="J617" s="879"/>
      <c r="K617" s="879"/>
      <c r="L617" s="879"/>
      <c r="M617" s="879"/>
      <c r="N617" s="879"/>
      <c r="O617" s="879"/>
      <c r="P617" s="879"/>
      <c r="Q617" s="879"/>
      <c r="R617" s="879"/>
      <c r="S617" s="879"/>
      <c r="T617" s="879"/>
      <c r="U617" s="879"/>
      <c r="V617" s="879"/>
      <c r="W617" s="879"/>
      <c r="X617" s="879"/>
      <c r="Y617" s="879"/>
      <c r="Z617" s="879"/>
    </row>
    <row r="618" spans="1:26" ht="12.75" customHeight="1">
      <c r="A618" s="879"/>
      <c r="B618" s="879"/>
      <c r="C618" s="879"/>
      <c r="D618" s="879"/>
      <c r="E618" s="879"/>
      <c r="F618" s="879"/>
      <c r="G618" s="879"/>
      <c r="H618" s="879"/>
      <c r="I618" s="879"/>
      <c r="J618" s="879"/>
      <c r="K618" s="879"/>
      <c r="L618" s="879"/>
      <c r="M618" s="879"/>
      <c r="N618" s="879"/>
      <c r="O618" s="879"/>
      <c r="P618" s="879"/>
      <c r="Q618" s="879"/>
      <c r="R618" s="879"/>
      <c r="S618" s="879"/>
      <c r="T618" s="879"/>
      <c r="U618" s="879"/>
      <c r="V618" s="879"/>
      <c r="W618" s="879"/>
      <c r="X618" s="879"/>
      <c r="Y618" s="879"/>
      <c r="Z618" s="879"/>
    </row>
    <row r="619" spans="1:26" ht="12.75" customHeight="1">
      <c r="A619" s="879"/>
      <c r="B619" s="879"/>
      <c r="C619" s="879"/>
      <c r="D619" s="879"/>
      <c r="E619" s="879"/>
      <c r="F619" s="879"/>
      <c r="G619" s="879"/>
      <c r="H619" s="879"/>
      <c r="I619" s="879"/>
      <c r="J619" s="879"/>
      <c r="K619" s="879"/>
      <c r="L619" s="879"/>
      <c r="M619" s="879"/>
      <c r="N619" s="879"/>
      <c r="O619" s="879"/>
      <c r="P619" s="879"/>
      <c r="Q619" s="879"/>
      <c r="R619" s="879"/>
      <c r="S619" s="879"/>
      <c r="T619" s="879"/>
      <c r="U619" s="879"/>
      <c r="V619" s="879"/>
      <c r="W619" s="879"/>
      <c r="X619" s="879"/>
      <c r="Y619" s="879"/>
      <c r="Z619" s="879"/>
    </row>
    <row r="620" spans="1:26" ht="12.75" customHeight="1">
      <c r="A620" s="879"/>
      <c r="B620" s="879"/>
      <c r="C620" s="879"/>
      <c r="D620" s="879"/>
      <c r="E620" s="879"/>
      <c r="F620" s="879"/>
      <c r="G620" s="879"/>
      <c r="H620" s="879"/>
      <c r="I620" s="879"/>
      <c r="J620" s="879"/>
      <c r="K620" s="879"/>
      <c r="L620" s="879"/>
      <c r="M620" s="879"/>
      <c r="N620" s="879"/>
      <c r="O620" s="879"/>
      <c r="P620" s="879"/>
      <c r="Q620" s="879"/>
      <c r="R620" s="879"/>
      <c r="S620" s="879"/>
      <c r="T620" s="879"/>
      <c r="U620" s="879"/>
      <c r="V620" s="879"/>
      <c r="W620" s="879"/>
      <c r="X620" s="879"/>
      <c r="Y620" s="879"/>
      <c r="Z620" s="879"/>
    </row>
    <row r="621" spans="1:26" ht="12.75" customHeight="1">
      <c r="A621" s="879"/>
      <c r="B621" s="879"/>
      <c r="C621" s="879"/>
      <c r="D621" s="879"/>
      <c r="E621" s="879"/>
      <c r="F621" s="879"/>
      <c r="G621" s="879"/>
      <c r="H621" s="879"/>
      <c r="I621" s="879"/>
      <c r="J621" s="879"/>
      <c r="K621" s="879"/>
      <c r="L621" s="879"/>
      <c r="M621" s="879"/>
      <c r="N621" s="879"/>
      <c r="O621" s="879"/>
      <c r="P621" s="879"/>
      <c r="Q621" s="879"/>
      <c r="R621" s="879"/>
      <c r="S621" s="879"/>
      <c r="T621" s="879"/>
      <c r="U621" s="879"/>
      <c r="V621" s="879"/>
      <c r="W621" s="879"/>
      <c r="X621" s="879"/>
      <c r="Y621" s="879"/>
      <c r="Z621" s="879"/>
    </row>
    <row r="622" spans="1:26" ht="12.75" customHeight="1">
      <c r="A622" s="879"/>
      <c r="B622" s="879"/>
      <c r="C622" s="879"/>
      <c r="D622" s="879"/>
      <c r="E622" s="879"/>
      <c r="F622" s="879"/>
      <c r="G622" s="879"/>
      <c r="H622" s="879"/>
      <c r="I622" s="879"/>
      <c r="J622" s="879"/>
      <c r="K622" s="879"/>
      <c r="L622" s="879"/>
      <c r="M622" s="879"/>
      <c r="N622" s="879"/>
      <c r="O622" s="879"/>
      <c r="P622" s="879"/>
      <c r="Q622" s="879"/>
      <c r="R622" s="879"/>
      <c r="S622" s="879"/>
      <c r="T622" s="879"/>
      <c r="U622" s="879"/>
      <c r="V622" s="879"/>
      <c r="W622" s="879"/>
      <c r="X622" s="879"/>
      <c r="Y622" s="879"/>
      <c r="Z622" s="879"/>
    </row>
    <row r="623" spans="1:26" ht="12.75" customHeight="1">
      <c r="A623" s="879"/>
      <c r="B623" s="879"/>
      <c r="C623" s="879"/>
      <c r="D623" s="879"/>
      <c r="E623" s="879"/>
      <c r="F623" s="879"/>
      <c r="G623" s="879"/>
      <c r="H623" s="879"/>
      <c r="I623" s="879"/>
      <c r="J623" s="879"/>
      <c r="K623" s="879"/>
      <c r="L623" s="879"/>
      <c r="M623" s="879"/>
      <c r="N623" s="879"/>
      <c r="O623" s="879"/>
      <c r="P623" s="879"/>
      <c r="Q623" s="879"/>
      <c r="R623" s="879"/>
      <c r="S623" s="879"/>
      <c r="T623" s="879"/>
      <c r="U623" s="879"/>
      <c r="V623" s="879"/>
      <c r="W623" s="879"/>
      <c r="X623" s="879"/>
      <c r="Y623" s="879"/>
      <c r="Z623" s="879"/>
    </row>
    <row r="624" spans="1:26" ht="12.75" customHeight="1">
      <c r="A624" s="879"/>
      <c r="B624" s="879"/>
      <c r="C624" s="879"/>
      <c r="D624" s="879"/>
      <c r="E624" s="879"/>
      <c r="F624" s="879"/>
      <c r="G624" s="879"/>
      <c r="H624" s="879"/>
      <c r="I624" s="879"/>
      <c r="J624" s="879"/>
      <c r="K624" s="879"/>
      <c r="L624" s="879"/>
      <c r="M624" s="879"/>
      <c r="N624" s="879"/>
      <c r="O624" s="879"/>
      <c r="P624" s="879"/>
      <c r="Q624" s="879"/>
      <c r="R624" s="879"/>
      <c r="S624" s="879"/>
      <c r="T624" s="879"/>
      <c r="U624" s="879"/>
      <c r="V624" s="879"/>
      <c r="W624" s="879"/>
      <c r="X624" s="879"/>
      <c r="Y624" s="879"/>
      <c r="Z624" s="879"/>
    </row>
    <row r="625" spans="1:26" ht="12.75" customHeight="1">
      <c r="A625" s="879"/>
      <c r="B625" s="879"/>
      <c r="C625" s="879"/>
      <c r="D625" s="879"/>
      <c r="E625" s="879"/>
      <c r="F625" s="879"/>
      <c r="G625" s="879"/>
      <c r="H625" s="879"/>
      <c r="I625" s="879"/>
      <c r="J625" s="879"/>
      <c r="K625" s="879"/>
      <c r="L625" s="879"/>
      <c r="M625" s="879"/>
      <c r="N625" s="879"/>
      <c r="O625" s="879"/>
      <c r="P625" s="879"/>
      <c r="Q625" s="879"/>
      <c r="R625" s="879"/>
      <c r="S625" s="879"/>
      <c r="T625" s="879"/>
      <c r="U625" s="879"/>
      <c r="V625" s="879"/>
      <c r="W625" s="879"/>
      <c r="X625" s="879"/>
      <c r="Y625" s="879"/>
      <c r="Z625" s="879"/>
    </row>
    <row r="626" spans="1:26" ht="12.75" customHeight="1">
      <c r="A626" s="879"/>
      <c r="B626" s="879"/>
      <c r="C626" s="879"/>
      <c r="D626" s="879"/>
      <c r="E626" s="879"/>
      <c r="F626" s="879"/>
      <c r="G626" s="879"/>
      <c r="H626" s="879"/>
      <c r="I626" s="879"/>
      <c r="J626" s="879"/>
      <c r="K626" s="879"/>
      <c r="L626" s="879"/>
      <c r="M626" s="879"/>
      <c r="N626" s="879"/>
      <c r="O626" s="879"/>
      <c r="P626" s="879"/>
      <c r="Q626" s="879"/>
      <c r="R626" s="879"/>
      <c r="S626" s="879"/>
      <c r="T626" s="879"/>
      <c r="U626" s="879"/>
      <c r="V626" s="879"/>
      <c r="W626" s="879"/>
      <c r="X626" s="879"/>
      <c r="Y626" s="879"/>
      <c r="Z626" s="879"/>
    </row>
    <row r="627" spans="1:26" ht="12.75" customHeight="1">
      <c r="A627" s="879"/>
      <c r="B627" s="879"/>
      <c r="C627" s="879"/>
      <c r="D627" s="879"/>
      <c r="E627" s="879"/>
      <c r="F627" s="879"/>
      <c r="G627" s="879"/>
      <c r="H627" s="879"/>
      <c r="I627" s="879"/>
      <c r="J627" s="879"/>
      <c r="K627" s="879"/>
      <c r="L627" s="879"/>
      <c r="M627" s="879"/>
      <c r="N627" s="879"/>
      <c r="O627" s="879"/>
      <c r="P627" s="879"/>
      <c r="Q627" s="879"/>
      <c r="R627" s="879"/>
      <c r="S627" s="879"/>
      <c r="T627" s="879"/>
      <c r="U627" s="879"/>
      <c r="V627" s="879"/>
      <c r="W627" s="879"/>
      <c r="X627" s="879"/>
      <c r="Y627" s="879"/>
      <c r="Z627" s="879"/>
    </row>
    <row r="628" spans="1:26" ht="12.75" customHeight="1">
      <c r="A628" s="879"/>
      <c r="B628" s="879"/>
      <c r="C628" s="879"/>
      <c r="D628" s="879"/>
      <c r="E628" s="879"/>
      <c r="F628" s="879"/>
      <c r="G628" s="879"/>
      <c r="H628" s="879"/>
      <c r="I628" s="879"/>
      <c r="J628" s="879"/>
      <c r="K628" s="879"/>
      <c r="L628" s="879"/>
      <c r="M628" s="879"/>
      <c r="N628" s="879"/>
      <c r="O628" s="879"/>
      <c r="P628" s="879"/>
      <c r="Q628" s="879"/>
      <c r="R628" s="879"/>
      <c r="S628" s="879"/>
      <c r="T628" s="879"/>
      <c r="U628" s="879"/>
      <c r="V628" s="879"/>
      <c r="W628" s="879"/>
      <c r="X628" s="879"/>
      <c r="Y628" s="879"/>
      <c r="Z628" s="879"/>
    </row>
    <row r="629" spans="1:26" ht="12.75" customHeight="1">
      <c r="A629" s="879"/>
      <c r="B629" s="879"/>
      <c r="C629" s="879"/>
      <c r="D629" s="879"/>
      <c r="E629" s="879"/>
      <c r="F629" s="879"/>
      <c r="G629" s="879"/>
      <c r="H629" s="879"/>
      <c r="I629" s="879"/>
      <c r="J629" s="879"/>
      <c r="K629" s="879"/>
      <c r="L629" s="879"/>
      <c r="M629" s="879"/>
      <c r="N629" s="879"/>
      <c r="O629" s="879"/>
      <c r="P629" s="879"/>
      <c r="Q629" s="879"/>
      <c r="R629" s="879"/>
      <c r="S629" s="879"/>
      <c r="T629" s="879"/>
      <c r="U629" s="879"/>
      <c r="V629" s="879"/>
      <c r="W629" s="879"/>
      <c r="X629" s="879"/>
      <c r="Y629" s="879"/>
      <c r="Z629" s="879"/>
    </row>
    <row r="630" spans="1:26" ht="12.75" customHeight="1">
      <c r="A630" s="879"/>
      <c r="B630" s="879"/>
      <c r="C630" s="879"/>
      <c r="D630" s="879"/>
      <c r="E630" s="879"/>
      <c r="F630" s="879"/>
      <c r="G630" s="879"/>
      <c r="H630" s="879"/>
      <c r="I630" s="879"/>
      <c r="J630" s="879"/>
      <c r="K630" s="879"/>
      <c r="L630" s="879"/>
      <c r="M630" s="879"/>
      <c r="N630" s="879"/>
      <c r="O630" s="879"/>
      <c r="P630" s="879"/>
      <c r="Q630" s="879"/>
      <c r="R630" s="879"/>
      <c r="S630" s="879"/>
      <c r="T630" s="879"/>
      <c r="U630" s="879"/>
      <c r="V630" s="879"/>
      <c r="W630" s="879"/>
      <c r="X630" s="879"/>
      <c r="Y630" s="879"/>
      <c r="Z630" s="879"/>
    </row>
    <row r="631" spans="1:26" ht="12.75" customHeight="1">
      <c r="A631" s="879"/>
      <c r="B631" s="879"/>
      <c r="C631" s="879"/>
      <c r="D631" s="879"/>
      <c r="E631" s="879"/>
      <c r="F631" s="879"/>
      <c r="G631" s="879"/>
      <c r="H631" s="879"/>
      <c r="I631" s="879"/>
      <c r="J631" s="879"/>
      <c r="K631" s="879"/>
      <c r="L631" s="879"/>
      <c r="M631" s="879"/>
      <c r="N631" s="879"/>
      <c r="O631" s="879"/>
      <c r="P631" s="879"/>
      <c r="Q631" s="879"/>
      <c r="R631" s="879"/>
      <c r="S631" s="879"/>
      <c r="T631" s="879"/>
      <c r="U631" s="879"/>
      <c r="V631" s="879"/>
      <c r="W631" s="879"/>
      <c r="X631" s="879"/>
      <c r="Y631" s="879"/>
      <c r="Z631" s="879"/>
    </row>
    <row r="632" spans="1:26" ht="12.75" customHeight="1">
      <c r="A632" s="879"/>
      <c r="B632" s="879"/>
      <c r="C632" s="879"/>
      <c r="D632" s="879"/>
      <c r="E632" s="879"/>
      <c r="F632" s="879"/>
      <c r="G632" s="879"/>
      <c r="H632" s="879"/>
      <c r="I632" s="879"/>
      <c r="J632" s="879"/>
      <c r="K632" s="879"/>
      <c r="L632" s="879"/>
      <c r="M632" s="879"/>
      <c r="N632" s="879"/>
      <c r="O632" s="879"/>
      <c r="P632" s="879"/>
      <c r="Q632" s="879"/>
      <c r="R632" s="879"/>
      <c r="S632" s="879"/>
      <c r="T632" s="879"/>
      <c r="U632" s="879"/>
      <c r="V632" s="879"/>
      <c r="W632" s="879"/>
      <c r="X632" s="879"/>
      <c r="Y632" s="879"/>
      <c r="Z632" s="879"/>
    </row>
    <row r="633" spans="1:26" ht="12.75" customHeight="1">
      <c r="A633" s="879"/>
      <c r="B633" s="879"/>
      <c r="C633" s="879"/>
      <c r="D633" s="879"/>
      <c r="E633" s="879"/>
      <c r="F633" s="879"/>
      <c r="G633" s="879"/>
      <c r="H633" s="879"/>
      <c r="I633" s="879"/>
      <c r="J633" s="879"/>
      <c r="K633" s="879"/>
      <c r="L633" s="879"/>
      <c r="M633" s="879"/>
      <c r="N633" s="879"/>
      <c r="O633" s="879"/>
      <c r="P633" s="879"/>
      <c r="Q633" s="879"/>
      <c r="R633" s="879"/>
      <c r="S633" s="879"/>
      <c r="T633" s="879"/>
      <c r="U633" s="879"/>
      <c r="V633" s="879"/>
      <c r="W633" s="879"/>
      <c r="X633" s="879"/>
      <c r="Y633" s="879"/>
      <c r="Z633" s="879"/>
    </row>
    <row r="634" spans="1:26" ht="12.75" customHeight="1">
      <c r="A634" s="879"/>
      <c r="B634" s="879"/>
      <c r="C634" s="879"/>
      <c r="D634" s="879"/>
      <c r="E634" s="879"/>
      <c r="F634" s="879"/>
      <c r="G634" s="879"/>
      <c r="H634" s="879"/>
      <c r="I634" s="879"/>
      <c r="J634" s="879"/>
      <c r="K634" s="879"/>
      <c r="L634" s="879"/>
      <c r="M634" s="879"/>
      <c r="N634" s="879"/>
      <c r="O634" s="879"/>
      <c r="P634" s="879"/>
      <c r="Q634" s="879"/>
      <c r="R634" s="879"/>
      <c r="S634" s="879"/>
      <c r="T634" s="879"/>
      <c r="U634" s="879"/>
      <c r="V634" s="879"/>
      <c r="W634" s="879"/>
      <c r="X634" s="879"/>
      <c r="Y634" s="879"/>
      <c r="Z634" s="879"/>
    </row>
    <row r="635" spans="1:26" ht="12.75" customHeight="1">
      <c r="A635" s="879"/>
      <c r="B635" s="879"/>
      <c r="C635" s="879"/>
      <c r="D635" s="879"/>
      <c r="E635" s="879"/>
      <c r="F635" s="879"/>
      <c r="G635" s="879"/>
      <c r="H635" s="879"/>
      <c r="I635" s="879"/>
      <c r="J635" s="879"/>
      <c r="K635" s="879"/>
      <c r="L635" s="879"/>
      <c r="M635" s="879"/>
      <c r="N635" s="879"/>
      <c r="O635" s="879"/>
      <c r="P635" s="879"/>
      <c r="Q635" s="879"/>
      <c r="R635" s="879"/>
      <c r="S635" s="879"/>
      <c r="T635" s="879"/>
      <c r="U635" s="879"/>
      <c r="V635" s="879"/>
      <c r="W635" s="879"/>
      <c r="X635" s="879"/>
      <c r="Y635" s="879"/>
      <c r="Z635" s="879"/>
    </row>
    <row r="636" spans="1:26" ht="12.75" customHeight="1">
      <c r="A636" s="879"/>
      <c r="B636" s="879"/>
      <c r="C636" s="879"/>
      <c r="D636" s="879"/>
      <c r="E636" s="879"/>
      <c r="F636" s="879"/>
      <c r="G636" s="879"/>
      <c r="H636" s="879"/>
      <c r="I636" s="879"/>
      <c r="J636" s="879"/>
      <c r="K636" s="879"/>
      <c r="L636" s="879"/>
      <c r="M636" s="879"/>
      <c r="N636" s="879"/>
      <c r="O636" s="879"/>
      <c r="P636" s="879"/>
      <c r="Q636" s="879"/>
      <c r="R636" s="879"/>
      <c r="S636" s="879"/>
      <c r="T636" s="879"/>
      <c r="U636" s="879"/>
      <c r="V636" s="879"/>
      <c r="W636" s="879"/>
      <c r="X636" s="879"/>
      <c r="Y636" s="879"/>
      <c r="Z636" s="879"/>
    </row>
    <row r="637" spans="1:26" ht="12.75" customHeight="1">
      <c r="A637" s="879"/>
      <c r="B637" s="879"/>
      <c r="C637" s="879"/>
      <c r="D637" s="879"/>
      <c r="E637" s="879"/>
      <c r="F637" s="879"/>
      <c r="G637" s="879"/>
      <c r="H637" s="879"/>
      <c r="I637" s="879"/>
      <c r="J637" s="879"/>
      <c r="K637" s="879"/>
      <c r="L637" s="879"/>
      <c r="M637" s="879"/>
      <c r="N637" s="879"/>
      <c r="O637" s="879"/>
      <c r="P637" s="879"/>
      <c r="Q637" s="879"/>
      <c r="R637" s="879"/>
      <c r="S637" s="879"/>
      <c r="T637" s="879"/>
      <c r="U637" s="879"/>
      <c r="V637" s="879"/>
      <c r="W637" s="879"/>
      <c r="X637" s="879"/>
      <c r="Y637" s="879"/>
      <c r="Z637" s="879"/>
    </row>
    <row r="638" spans="1:26" ht="12.75" customHeight="1">
      <c r="A638" s="879"/>
      <c r="B638" s="879"/>
      <c r="C638" s="879"/>
      <c r="D638" s="879"/>
      <c r="E638" s="879"/>
      <c r="F638" s="879"/>
      <c r="G638" s="879"/>
      <c r="H638" s="879"/>
      <c r="I638" s="879"/>
      <c r="J638" s="879"/>
      <c r="K638" s="879"/>
      <c r="L638" s="879"/>
      <c r="M638" s="879"/>
      <c r="N638" s="879"/>
      <c r="O638" s="879"/>
      <c r="P638" s="879"/>
      <c r="Q638" s="879"/>
      <c r="R638" s="879"/>
      <c r="S638" s="879"/>
      <c r="T638" s="879"/>
      <c r="U638" s="879"/>
      <c r="V638" s="879"/>
      <c r="W638" s="879"/>
      <c r="X638" s="879"/>
      <c r="Y638" s="879"/>
      <c r="Z638" s="879"/>
    </row>
    <row r="639" spans="1:26" ht="12.75" customHeight="1">
      <c r="A639" s="879"/>
      <c r="B639" s="879"/>
      <c r="C639" s="879"/>
      <c r="D639" s="879"/>
      <c r="E639" s="879"/>
      <c r="F639" s="879"/>
      <c r="G639" s="879"/>
      <c r="H639" s="879"/>
      <c r="I639" s="879"/>
      <c r="J639" s="879"/>
      <c r="K639" s="879"/>
      <c r="L639" s="879"/>
      <c r="M639" s="879"/>
      <c r="N639" s="879"/>
      <c r="O639" s="879"/>
      <c r="P639" s="879"/>
      <c r="Q639" s="879"/>
      <c r="R639" s="879"/>
      <c r="S639" s="879"/>
      <c r="T639" s="879"/>
      <c r="U639" s="879"/>
      <c r="V639" s="879"/>
      <c r="W639" s="879"/>
      <c r="X639" s="879"/>
      <c r="Y639" s="879"/>
      <c r="Z639" s="879"/>
    </row>
    <row r="640" spans="1:26" ht="12.75" customHeight="1">
      <c r="A640" s="879"/>
      <c r="B640" s="879"/>
      <c r="C640" s="879"/>
      <c r="D640" s="879"/>
      <c r="E640" s="879"/>
      <c r="F640" s="879"/>
      <c r="G640" s="879"/>
      <c r="H640" s="879"/>
      <c r="I640" s="879"/>
      <c r="J640" s="879"/>
      <c r="K640" s="879"/>
      <c r="L640" s="879"/>
      <c r="M640" s="879"/>
      <c r="N640" s="879"/>
      <c r="O640" s="879"/>
      <c r="P640" s="879"/>
      <c r="Q640" s="879"/>
      <c r="R640" s="879"/>
      <c r="S640" s="879"/>
      <c r="T640" s="879"/>
      <c r="U640" s="879"/>
      <c r="V640" s="879"/>
      <c r="W640" s="879"/>
      <c r="X640" s="879"/>
      <c r="Y640" s="879"/>
      <c r="Z640" s="879"/>
    </row>
    <row r="641" spans="1:26" ht="12.75" customHeight="1">
      <c r="A641" s="879"/>
      <c r="B641" s="879"/>
      <c r="C641" s="879"/>
      <c r="D641" s="879"/>
      <c r="E641" s="879"/>
      <c r="F641" s="879"/>
      <c r="G641" s="879"/>
      <c r="H641" s="879"/>
      <c r="I641" s="879"/>
      <c r="J641" s="879"/>
      <c r="K641" s="879"/>
      <c r="L641" s="879"/>
      <c r="M641" s="879"/>
      <c r="N641" s="879"/>
      <c r="O641" s="879"/>
      <c r="P641" s="879"/>
      <c r="Q641" s="879"/>
      <c r="R641" s="879"/>
      <c r="S641" s="879"/>
      <c r="T641" s="879"/>
      <c r="U641" s="879"/>
      <c r="V641" s="879"/>
      <c r="W641" s="879"/>
      <c r="X641" s="879"/>
      <c r="Y641" s="879"/>
      <c r="Z641" s="879"/>
    </row>
    <row r="642" spans="1:26" ht="12.75" customHeight="1">
      <c r="A642" s="879"/>
      <c r="B642" s="879"/>
      <c r="C642" s="879"/>
      <c r="D642" s="879"/>
      <c r="E642" s="879"/>
      <c r="F642" s="879"/>
      <c r="G642" s="879"/>
      <c r="H642" s="879"/>
      <c r="I642" s="879"/>
      <c r="J642" s="879"/>
      <c r="K642" s="879"/>
      <c r="L642" s="879"/>
      <c r="M642" s="879"/>
      <c r="N642" s="879"/>
      <c r="O642" s="879"/>
      <c r="P642" s="879"/>
      <c r="Q642" s="879"/>
      <c r="R642" s="879"/>
      <c r="S642" s="879"/>
      <c r="T642" s="879"/>
      <c r="U642" s="879"/>
      <c r="V642" s="879"/>
      <c r="W642" s="879"/>
      <c r="X642" s="879"/>
      <c r="Y642" s="879"/>
      <c r="Z642" s="879"/>
    </row>
    <row r="643" spans="1:26" ht="12.75" customHeight="1">
      <c r="A643" s="879"/>
      <c r="B643" s="879"/>
      <c r="C643" s="879"/>
      <c r="D643" s="879"/>
      <c r="E643" s="879"/>
      <c r="F643" s="879"/>
      <c r="G643" s="879"/>
      <c r="H643" s="879"/>
      <c r="I643" s="879"/>
      <c r="J643" s="879"/>
      <c r="K643" s="879"/>
      <c r="L643" s="879"/>
      <c r="M643" s="879"/>
      <c r="N643" s="879"/>
      <c r="O643" s="879"/>
      <c r="P643" s="879"/>
      <c r="Q643" s="879"/>
      <c r="R643" s="879"/>
      <c r="S643" s="879"/>
      <c r="T643" s="879"/>
      <c r="U643" s="879"/>
      <c r="V643" s="879"/>
      <c r="W643" s="879"/>
      <c r="X643" s="879"/>
      <c r="Y643" s="879"/>
      <c r="Z643" s="879"/>
    </row>
    <row r="644" spans="1:26" ht="12.75" customHeight="1">
      <c r="A644" s="879"/>
      <c r="B644" s="879"/>
      <c r="C644" s="879"/>
      <c r="D644" s="879"/>
      <c r="E644" s="879"/>
      <c r="F644" s="879"/>
      <c r="G644" s="879"/>
      <c r="H644" s="879"/>
      <c r="I644" s="879"/>
      <c r="J644" s="879"/>
      <c r="K644" s="879"/>
      <c r="L644" s="879"/>
      <c r="M644" s="879"/>
      <c r="N644" s="879"/>
      <c r="O644" s="879"/>
      <c r="P644" s="879"/>
      <c r="Q644" s="879"/>
      <c r="R644" s="879"/>
      <c r="S644" s="879"/>
      <c r="T644" s="879"/>
      <c r="U644" s="879"/>
      <c r="V644" s="879"/>
      <c r="W644" s="879"/>
      <c r="X644" s="879"/>
      <c r="Y644" s="879"/>
      <c r="Z644" s="879"/>
    </row>
    <row r="645" spans="1:26" ht="12.75" customHeight="1">
      <c r="A645" s="879"/>
      <c r="B645" s="879"/>
      <c r="C645" s="879"/>
      <c r="D645" s="879"/>
      <c r="E645" s="879"/>
      <c r="F645" s="879"/>
      <c r="G645" s="879"/>
      <c r="H645" s="879"/>
      <c r="I645" s="879"/>
      <c r="J645" s="879"/>
      <c r="K645" s="879"/>
      <c r="L645" s="879"/>
      <c r="M645" s="879"/>
      <c r="N645" s="879"/>
      <c r="O645" s="879"/>
      <c r="P645" s="879"/>
      <c r="Q645" s="879"/>
      <c r="R645" s="879"/>
      <c r="S645" s="879"/>
      <c r="T645" s="879"/>
      <c r="U645" s="879"/>
      <c r="V645" s="879"/>
      <c r="W645" s="879"/>
      <c r="X645" s="879"/>
      <c r="Y645" s="879"/>
      <c r="Z645" s="879"/>
    </row>
    <row r="646" spans="1:26" ht="12.75" customHeight="1">
      <c r="A646" s="879"/>
      <c r="B646" s="879"/>
      <c r="C646" s="879"/>
      <c r="D646" s="879"/>
      <c r="E646" s="879"/>
      <c r="F646" s="879"/>
      <c r="G646" s="879"/>
      <c r="H646" s="879"/>
      <c r="I646" s="879"/>
      <c r="J646" s="879"/>
      <c r="K646" s="879"/>
      <c r="L646" s="879"/>
      <c r="M646" s="879"/>
      <c r="N646" s="879"/>
      <c r="O646" s="879"/>
      <c r="P646" s="879"/>
      <c r="Q646" s="879"/>
      <c r="R646" s="879"/>
      <c r="S646" s="879"/>
      <c r="T646" s="879"/>
      <c r="U646" s="879"/>
      <c r="V646" s="879"/>
      <c r="W646" s="879"/>
      <c r="X646" s="879"/>
      <c r="Y646" s="879"/>
      <c r="Z646" s="879"/>
    </row>
    <row r="647" spans="1:26" ht="12.75" customHeight="1">
      <c r="A647" s="879"/>
      <c r="B647" s="879"/>
      <c r="C647" s="879"/>
      <c r="D647" s="879"/>
      <c r="E647" s="879"/>
      <c r="F647" s="879"/>
      <c r="G647" s="879"/>
      <c r="H647" s="879"/>
      <c r="I647" s="879"/>
      <c r="J647" s="879"/>
      <c r="K647" s="879"/>
      <c r="L647" s="879"/>
      <c r="M647" s="879"/>
      <c r="N647" s="879"/>
      <c r="O647" s="879"/>
      <c r="P647" s="879"/>
      <c r="Q647" s="879"/>
      <c r="R647" s="879"/>
      <c r="S647" s="879"/>
      <c r="T647" s="879"/>
      <c r="U647" s="879"/>
      <c r="V647" s="879"/>
      <c r="W647" s="879"/>
      <c r="X647" s="879"/>
      <c r="Y647" s="879"/>
      <c r="Z647" s="879"/>
    </row>
    <row r="648" spans="1:26" ht="12.75" customHeight="1">
      <c r="A648" s="879"/>
      <c r="B648" s="879"/>
      <c r="C648" s="879"/>
      <c r="D648" s="879"/>
      <c r="E648" s="879"/>
      <c r="F648" s="879"/>
      <c r="G648" s="879"/>
      <c r="H648" s="879"/>
      <c r="I648" s="879"/>
      <c r="J648" s="879"/>
      <c r="K648" s="879"/>
      <c r="L648" s="879"/>
      <c r="M648" s="879"/>
      <c r="N648" s="879"/>
      <c r="O648" s="879"/>
      <c r="P648" s="879"/>
      <c r="Q648" s="879"/>
      <c r="R648" s="879"/>
      <c r="S648" s="879"/>
      <c r="T648" s="879"/>
      <c r="U648" s="879"/>
      <c r="V648" s="879"/>
      <c r="W648" s="879"/>
      <c r="X648" s="879"/>
      <c r="Y648" s="879"/>
      <c r="Z648" s="879"/>
    </row>
    <row r="649" spans="1:26" ht="12.75" customHeight="1">
      <c r="A649" s="879"/>
      <c r="B649" s="879"/>
      <c r="C649" s="879"/>
      <c r="D649" s="879"/>
      <c r="E649" s="879"/>
      <c r="F649" s="879"/>
      <c r="G649" s="879"/>
      <c r="H649" s="879"/>
      <c r="I649" s="879"/>
      <c r="J649" s="879"/>
      <c r="K649" s="879"/>
      <c r="L649" s="879"/>
      <c r="M649" s="879"/>
      <c r="N649" s="879"/>
      <c r="O649" s="879"/>
      <c r="P649" s="879"/>
      <c r="Q649" s="879"/>
      <c r="R649" s="879"/>
      <c r="S649" s="879"/>
      <c r="T649" s="879"/>
      <c r="U649" s="879"/>
      <c r="V649" s="879"/>
      <c r="W649" s="879"/>
      <c r="X649" s="879"/>
      <c r="Y649" s="879"/>
      <c r="Z649" s="879"/>
    </row>
    <row r="650" spans="1:26" ht="12.75" customHeight="1">
      <c r="A650" s="879"/>
      <c r="B650" s="879"/>
      <c r="C650" s="879"/>
      <c r="D650" s="879"/>
      <c r="E650" s="879"/>
      <c r="F650" s="879"/>
      <c r="G650" s="879"/>
      <c r="H650" s="879"/>
      <c r="I650" s="879"/>
      <c r="J650" s="879"/>
      <c r="K650" s="879"/>
      <c r="L650" s="879"/>
      <c r="M650" s="879"/>
      <c r="N650" s="879"/>
      <c r="O650" s="879"/>
      <c r="P650" s="879"/>
      <c r="Q650" s="879"/>
      <c r="R650" s="879"/>
      <c r="S650" s="879"/>
      <c r="T650" s="879"/>
      <c r="U650" s="879"/>
      <c r="V650" s="879"/>
      <c r="W650" s="879"/>
      <c r="X650" s="879"/>
      <c r="Y650" s="879"/>
      <c r="Z650" s="879"/>
    </row>
    <row r="651" spans="1:26" ht="12.75" customHeight="1">
      <c r="A651" s="879"/>
      <c r="B651" s="879"/>
      <c r="C651" s="879"/>
      <c r="D651" s="879"/>
      <c r="E651" s="879"/>
      <c r="F651" s="879"/>
      <c r="G651" s="879"/>
      <c r="H651" s="879"/>
      <c r="I651" s="879"/>
      <c r="J651" s="879"/>
      <c r="K651" s="879"/>
      <c r="L651" s="879"/>
      <c r="M651" s="879"/>
      <c r="N651" s="879"/>
      <c r="O651" s="879"/>
      <c r="P651" s="879"/>
      <c r="Q651" s="879"/>
      <c r="R651" s="879"/>
      <c r="S651" s="879"/>
      <c r="T651" s="879"/>
      <c r="U651" s="879"/>
      <c r="V651" s="879"/>
      <c r="W651" s="879"/>
      <c r="X651" s="879"/>
      <c r="Y651" s="879"/>
      <c r="Z651" s="879"/>
    </row>
    <row r="652" spans="1:26" ht="12.75" customHeight="1">
      <c r="A652" s="879"/>
      <c r="B652" s="879"/>
      <c r="C652" s="879"/>
      <c r="D652" s="879"/>
      <c r="E652" s="879"/>
      <c r="F652" s="879"/>
      <c r="G652" s="879"/>
      <c r="H652" s="879"/>
      <c r="I652" s="879"/>
      <c r="J652" s="879"/>
      <c r="K652" s="879"/>
      <c r="L652" s="879"/>
      <c r="M652" s="879"/>
      <c r="N652" s="879"/>
      <c r="O652" s="879"/>
      <c r="P652" s="879"/>
      <c r="Q652" s="879"/>
      <c r="R652" s="879"/>
      <c r="S652" s="879"/>
      <c r="T652" s="879"/>
      <c r="U652" s="879"/>
      <c r="V652" s="879"/>
      <c r="W652" s="879"/>
      <c r="X652" s="879"/>
      <c r="Y652" s="879"/>
      <c r="Z652" s="879"/>
    </row>
    <row r="653" spans="1:26" ht="12.75" customHeight="1">
      <c r="A653" s="879"/>
      <c r="B653" s="879"/>
      <c r="C653" s="879"/>
      <c r="D653" s="879"/>
      <c r="E653" s="879"/>
      <c r="F653" s="879"/>
      <c r="G653" s="879"/>
      <c r="H653" s="879"/>
      <c r="I653" s="879"/>
      <c r="J653" s="879"/>
      <c r="K653" s="879"/>
      <c r="L653" s="879"/>
      <c r="M653" s="879"/>
      <c r="N653" s="879"/>
      <c r="O653" s="879"/>
      <c r="P653" s="879"/>
      <c r="Q653" s="879"/>
      <c r="R653" s="879"/>
      <c r="S653" s="879"/>
      <c r="T653" s="879"/>
      <c r="U653" s="879"/>
      <c r="V653" s="879"/>
      <c r="W653" s="879"/>
      <c r="X653" s="879"/>
      <c r="Y653" s="879"/>
      <c r="Z653" s="879"/>
    </row>
    <row r="654" spans="1:26" ht="12.75" customHeight="1">
      <c r="A654" s="879"/>
      <c r="B654" s="879"/>
      <c r="C654" s="879"/>
      <c r="D654" s="879"/>
      <c r="E654" s="879"/>
      <c r="F654" s="879"/>
      <c r="G654" s="879"/>
      <c r="H654" s="879"/>
      <c r="I654" s="879"/>
      <c r="J654" s="879"/>
      <c r="K654" s="879"/>
      <c r="L654" s="879"/>
      <c r="M654" s="879"/>
      <c r="N654" s="879"/>
      <c r="O654" s="879"/>
      <c r="P654" s="879"/>
      <c r="Q654" s="879"/>
      <c r="R654" s="879"/>
      <c r="S654" s="879"/>
      <c r="T654" s="879"/>
      <c r="U654" s="879"/>
      <c r="V654" s="879"/>
      <c r="W654" s="879"/>
      <c r="X654" s="879"/>
      <c r="Y654" s="879"/>
      <c r="Z654" s="879"/>
    </row>
    <row r="655" spans="1:26" ht="12.75" customHeight="1">
      <c r="A655" s="879"/>
      <c r="B655" s="879"/>
      <c r="C655" s="879"/>
      <c r="D655" s="879"/>
      <c r="E655" s="879"/>
      <c r="F655" s="879"/>
      <c r="G655" s="879"/>
      <c r="H655" s="879"/>
      <c r="I655" s="879"/>
      <c r="J655" s="879"/>
      <c r="K655" s="879"/>
      <c r="L655" s="879"/>
      <c r="M655" s="879"/>
      <c r="N655" s="879"/>
      <c r="O655" s="879"/>
      <c r="P655" s="879"/>
      <c r="Q655" s="879"/>
      <c r="R655" s="879"/>
      <c r="S655" s="879"/>
      <c r="T655" s="879"/>
      <c r="U655" s="879"/>
      <c r="V655" s="879"/>
      <c r="W655" s="879"/>
      <c r="X655" s="879"/>
      <c r="Y655" s="879"/>
      <c r="Z655" s="879"/>
    </row>
    <row r="656" spans="1:26" ht="12.75" customHeight="1">
      <c r="A656" s="879"/>
      <c r="B656" s="879"/>
      <c r="C656" s="879"/>
      <c r="D656" s="879"/>
      <c r="E656" s="879"/>
      <c r="F656" s="879"/>
      <c r="G656" s="879"/>
      <c r="H656" s="879"/>
      <c r="I656" s="879"/>
      <c r="J656" s="879"/>
      <c r="K656" s="879"/>
      <c r="L656" s="879"/>
      <c r="M656" s="879"/>
      <c r="N656" s="879"/>
      <c r="O656" s="879"/>
      <c r="P656" s="879"/>
      <c r="Q656" s="879"/>
      <c r="R656" s="879"/>
      <c r="S656" s="879"/>
      <c r="T656" s="879"/>
      <c r="U656" s="879"/>
      <c r="V656" s="879"/>
      <c r="W656" s="879"/>
      <c r="X656" s="879"/>
      <c r="Y656" s="879"/>
      <c r="Z656" s="879"/>
    </row>
    <row r="657" spans="1:26" ht="12.75" customHeight="1">
      <c r="A657" s="879"/>
      <c r="B657" s="879"/>
      <c r="C657" s="879"/>
      <c r="D657" s="879"/>
      <c r="E657" s="879"/>
      <c r="F657" s="879"/>
      <c r="G657" s="879"/>
      <c r="H657" s="879"/>
      <c r="I657" s="879"/>
      <c r="J657" s="879"/>
      <c r="K657" s="879"/>
      <c r="L657" s="879"/>
      <c r="M657" s="879"/>
      <c r="N657" s="879"/>
      <c r="O657" s="879"/>
      <c r="P657" s="879"/>
      <c r="Q657" s="879"/>
      <c r="R657" s="879"/>
      <c r="S657" s="879"/>
      <c r="T657" s="879"/>
      <c r="U657" s="879"/>
      <c r="V657" s="879"/>
      <c r="W657" s="879"/>
      <c r="X657" s="879"/>
      <c r="Y657" s="879"/>
      <c r="Z657" s="879"/>
    </row>
    <row r="658" spans="1:26" ht="12.75" customHeight="1">
      <c r="A658" s="879"/>
      <c r="B658" s="879"/>
      <c r="C658" s="879"/>
      <c r="D658" s="879"/>
      <c r="E658" s="879"/>
      <c r="F658" s="879"/>
      <c r="G658" s="879"/>
      <c r="H658" s="879"/>
      <c r="I658" s="879"/>
      <c r="J658" s="879"/>
      <c r="K658" s="879"/>
      <c r="L658" s="879"/>
      <c r="M658" s="879"/>
      <c r="N658" s="879"/>
      <c r="O658" s="879"/>
      <c r="P658" s="879"/>
      <c r="Q658" s="879"/>
      <c r="R658" s="879"/>
      <c r="S658" s="879"/>
      <c r="T658" s="879"/>
      <c r="U658" s="879"/>
      <c r="V658" s="879"/>
      <c r="W658" s="879"/>
      <c r="X658" s="879"/>
      <c r="Y658" s="879"/>
      <c r="Z658" s="879"/>
    </row>
    <row r="659" spans="1:26" ht="12.75" customHeight="1">
      <c r="A659" s="879"/>
      <c r="B659" s="879"/>
      <c r="C659" s="879"/>
      <c r="D659" s="879"/>
      <c r="E659" s="879"/>
      <c r="F659" s="879"/>
      <c r="G659" s="879"/>
      <c r="H659" s="879"/>
      <c r="I659" s="879"/>
      <c r="J659" s="879"/>
      <c r="K659" s="879"/>
      <c r="L659" s="879"/>
      <c r="M659" s="879"/>
      <c r="N659" s="879"/>
      <c r="O659" s="879"/>
      <c r="P659" s="879"/>
      <c r="Q659" s="879"/>
      <c r="R659" s="879"/>
      <c r="S659" s="879"/>
      <c r="T659" s="879"/>
      <c r="U659" s="879"/>
      <c r="V659" s="879"/>
      <c r="W659" s="879"/>
      <c r="X659" s="879"/>
      <c r="Y659" s="879"/>
      <c r="Z659" s="879"/>
    </row>
    <row r="660" spans="1:26" ht="12.75" customHeight="1">
      <c r="A660" s="879"/>
      <c r="B660" s="879"/>
      <c r="C660" s="879"/>
      <c r="D660" s="879"/>
      <c r="E660" s="879"/>
      <c r="F660" s="879"/>
      <c r="G660" s="879"/>
      <c r="H660" s="879"/>
      <c r="I660" s="879"/>
      <c r="J660" s="879"/>
      <c r="K660" s="879"/>
      <c r="L660" s="879"/>
      <c r="M660" s="879"/>
      <c r="N660" s="879"/>
      <c r="O660" s="879"/>
      <c r="P660" s="879"/>
      <c r="Q660" s="879"/>
      <c r="R660" s="879"/>
      <c r="S660" s="879"/>
      <c r="T660" s="879"/>
      <c r="U660" s="879"/>
      <c r="V660" s="879"/>
      <c r="W660" s="879"/>
      <c r="X660" s="879"/>
      <c r="Y660" s="879"/>
      <c r="Z660" s="879"/>
    </row>
    <row r="661" spans="1:26" ht="12.75" customHeight="1">
      <c r="A661" s="879"/>
      <c r="B661" s="879"/>
      <c r="C661" s="879"/>
      <c r="D661" s="879"/>
      <c r="E661" s="879"/>
      <c r="F661" s="879"/>
      <c r="G661" s="879"/>
      <c r="H661" s="879"/>
      <c r="I661" s="879"/>
      <c r="J661" s="879"/>
      <c r="K661" s="879"/>
      <c r="L661" s="879"/>
      <c r="M661" s="879"/>
      <c r="N661" s="879"/>
      <c r="O661" s="879"/>
      <c r="P661" s="879"/>
      <c r="Q661" s="879"/>
      <c r="R661" s="879"/>
      <c r="S661" s="879"/>
      <c r="T661" s="879"/>
      <c r="U661" s="879"/>
      <c r="V661" s="879"/>
      <c r="W661" s="879"/>
      <c r="X661" s="879"/>
      <c r="Y661" s="879"/>
      <c r="Z661" s="879"/>
    </row>
    <row r="662" spans="1:26" ht="12.75" customHeight="1">
      <c r="A662" s="879"/>
      <c r="B662" s="879"/>
      <c r="C662" s="879"/>
      <c r="D662" s="879"/>
      <c r="E662" s="879"/>
      <c r="F662" s="879"/>
      <c r="G662" s="879"/>
      <c r="H662" s="879"/>
      <c r="I662" s="879"/>
      <c r="J662" s="879"/>
      <c r="K662" s="879"/>
      <c r="L662" s="879"/>
      <c r="M662" s="879"/>
      <c r="N662" s="879"/>
      <c r="O662" s="879"/>
      <c r="P662" s="879"/>
      <c r="Q662" s="879"/>
      <c r="R662" s="879"/>
      <c r="S662" s="879"/>
      <c r="T662" s="879"/>
      <c r="U662" s="879"/>
      <c r="V662" s="879"/>
      <c r="W662" s="879"/>
      <c r="X662" s="879"/>
      <c r="Y662" s="879"/>
      <c r="Z662" s="879"/>
    </row>
    <row r="663" spans="1:26" ht="12.75" customHeight="1">
      <c r="A663" s="879"/>
      <c r="B663" s="879"/>
      <c r="C663" s="879"/>
      <c r="D663" s="879"/>
      <c r="E663" s="879"/>
      <c r="F663" s="879"/>
      <c r="G663" s="879"/>
      <c r="H663" s="879"/>
      <c r="I663" s="879"/>
      <c r="J663" s="879"/>
      <c r="K663" s="879"/>
      <c r="L663" s="879"/>
      <c r="M663" s="879"/>
      <c r="N663" s="879"/>
      <c r="O663" s="879"/>
      <c r="P663" s="879"/>
      <c r="Q663" s="879"/>
      <c r="R663" s="879"/>
      <c r="S663" s="879"/>
      <c r="T663" s="879"/>
      <c r="U663" s="879"/>
      <c r="V663" s="879"/>
      <c r="W663" s="879"/>
      <c r="X663" s="879"/>
      <c r="Y663" s="879"/>
      <c r="Z663" s="879"/>
    </row>
    <row r="664" spans="1:26" ht="12.75" customHeight="1">
      <c r="A664" s="879"/>
      <c r="B664" s="879"/>
      <c r="C664" s="879"/>
      <c r="D664" s="879"/>
      <c r="E664" s="879"/>
      <c r="F664" s="879"/>
      <c r="G664" s="879"/>
      <c r="H664" s="879"/>
      <c r="I664" s="879"/>
      <c r="J664" s="879"/>
      <c r="K664" s="879"/>
      <c r="L664" s="879"/>
      <c r="M664" s="879"/>
      <c r="N664" s="879"/>
      <c r="O664" s="879"/>
      <c r="P664" s="879"/>
      <c r="Q664" s="879"/>
      <c r="R664" s="879"/>
      <c r="S664" s="879"/>
      <c r="T664" s="879"/>
      <c r="U664" s="879"/>
      <c r="V664" s="879"/>
      <c r="W664" s="879"/>
      <c r="X664" s="879"/>
      <c r="Y664" s="879"/>
      <c r="Z664" s="879"/>
    </row>
    <row r="665" spans="1:26" ht="12.75" customHeight="1">
      <c r="A665" s="879"/>
      <c r="B665" s="879"/>
      <c r="C665" s="879"/>
      <c r="D665" s="879"/>
      <c r="E665" s="879"/>
      <c r="F665" s="879"/>
      <c r="G665" s="879"/>
      <c r="H665" s="879"/>
      <c r="I665" s="879"/>
      <c r="J665" s="879"/>
      <c r="K665" s="879"/>
      <c r="L665" s="879"/>
      <c r="M665" s="879"/>
      <c r="N665" s="879"/>
      <c r="O665" s="879"/>
      <c r="P665" s="879"/>
      <c r="Q665" s="879"/>
      <c r="R665" s="879"/>
      <c r="S665" s="879"/>
      <c r="T665" s="879"/>
      <c r="U665" s="879"/>
      <c r="V665" s="879"/>
      <c r="W665" s="879"/>
      <c r="X665" s="879"/>
      <c r="Y665" s="879"/>
      <c r="Z665" s="879"/>
    </row>
    <row r="666" spans="1:26" ht="12.75" customHeight="1">
      <c r="A666" s="879"/>
      <c r="B666" s="879"/>
      <c r="C666" s="879"/>
      <c r="D666" s="879"/>
      <c r="E666" s="879"/>
      <c r="F666" s="879"/>
      <c r="G666" s="879"/>
      <c r="H666" s="879"/>
      <c r="I666" s="879"/>
      <c r="J666" s="879"/>
      <c r="K666" s="879"/>
      <c r="L666" s="879"/>
      <c r="M666" s="879"/>
      <c r="N666" s="879"/>
      <c r="O666" s="879"/>
      <c r="P666" s="879"/>
      <c r="Q666" s="879"/>
      <c r="R666" s="879"/>
      <c r="S666" s="879"/>
      <c r="T666" s="879"/>
      <c r="U666" s="879"/>
      <c r="V666" s="879"/>
      <c r="W666" s="879"/>
      <c r="X666" s="879"/>
      <c r="Y666" s="879"/>
      <c r="Z666" s="879"/>
    </row>
    <row r="667" spans="1:26" ht="12.75" customHeight="1">
      <c r="A667" s="879"/>
      <c r="B667" s="879"/>
      <c r="C667" s="879"/>
      <c r="D667" s="879"/>
      <c r="E667" s="879"/>
      <c r="F667" s="879"/>
      <c r="G667" s="879"/>
      <c r="H667" s="879"/>
      <c r="I667" s="879"/>
      <c r="J667" s="879"/>
      <c r="K667" s="879"/>
      <c r="L667" s="879"/>
      <c r="M667" s="879"/>
      <c r="N667" s="879"/>
      <c r="O667" s="879"/>
      <c r="P667" s="879"/>
      <c r="Q667" s="879"/>
      <c r="R667" s="879"/>
      <c r="S667" s="879"/>
      <c r="T667" s="879"/>
      <c r="U667" s="879"/>
      <c r="V667" s="879"/>
      <c r="W667" s="879"/>
      <c r="X667" s="879"/>
      <c r="Y667" s="879"/>
      <c r="Z667" s="879"/>
    </row>
    <row r="668" spans="1:26" ht="12.75" customHeight="1">
      <c r="A668" s="879"/>
      <c r="B668" s="879"/>
      <c r="C668" s="879"/>
      <c r="D668" s="879"/>
      <c r="E668" s="879"/>
      <c r="F668" s="879"/>
      <c r="G668" s="879"/>
      <c r="H668" s="879"/>
      <c r="I668" s="879"/>
      <c r="J668" s="879"/>
      <c r="K668" s="879"/>
      <c r="L668" s="879"/>
      <c r="M668" s="879"/>
      <c r="N668" s="879"/>
      <c r="O668" s="879"/>
      <c r="P668" s="879"/>
      <c r="Q668" s="879"/>
      <c r="R668" s="879"/>
      <c r="S668" s="879"/>
      <c r="T668" s="879"/>
      <c r="U668" s="879"/>
      <c r="V668" s="879"/>
      <c r="W668" s="879"/>
      <c r="X668" s="879"/>
      <c r="Y668" s="879"/>
      <c r="Z668" s="879"/>
    </row>
    <row r="669" spans="1:26" ht="12.75" customHeight="1">
      <c r="A669" s="879"/>
      <c r="B669" s="879"/>
      <c r="C669" s="879"/>
      <c r="D669" s="879"/>
      <c r="E669" s="879"/>
      <c r="F669" s="879"/>
      <c r="G669" s="879"/>
      <c r="H669" s="879"/>
      <c r="I669" s="879"/>
      <c r="J669" s="879"/>
      <c r="K669" s="879"/>
      <c r="L669" s="879"/>
      <c r="M669" s="879"/>
      <c r="N669" s="879"/>
      <c r="O669" s="879"/>
      <c r="P669" s="879"/>
      <c r="Q669" s="879"/>
      <c r="R669" s="879"/>
      <c r="S669" s="879"/>
      <c r="T669" s="879"/>
      <c r="U669" s="879"/>
      <c r="V669" s="879"/>
      <c r="W669" s="879"/>
      <c r="X669" s="879"/>
      <c r="Y669" s="879"/>
      <c r="Z669" s="879"/>
    </row>
    <row r="670" spans="1:26" ht="12.75" customHeight="1">
      <c r="A670" s="879"/>
      <c r="B670" s="879"/>
      <c r="C670" s="879"/>
      <c r="D670" s="879"/>
      <c r="E670" s="879"/>
      <c r="F670" s="879"/>
      <c r="G670" s="879"/>
      <c r="H670" s="879"/>
      <c r="I670" s="879"/>
      <c r="J670" s="879"/>
      <c r="K670" s="879"/>
      <c r="L670" s="879"/>
      <c r="M670" s="879"/>
      <c r="N670" s="879"/>
      <c r="O670" s="879"/>
      <c r="P670" s="879"/>
      <c r="Q670" s="879"/>
      <c r="R670" s="879"/>
      <c r="S670" s="879"/>
      <c r="T670" s="879"/>
      <c r="U670" s="879"/>
      <c r="V670" s="879"/>
      <c r="W670" s="879"/>
      <c r="X670" s="879"/>
      <c r="Y670" s="879"/>
      <c r="Z670" s="879"/>
    </row>
    <row r="671" spans="1:26" ht="12.75" customHeight="1">
      <c r="A671" s="879"/>
      <c r="B671" s="879"/>
      <c r="C671" s="879"/>
      <c r="D671" s="879"/>
      <c r="E671" s="879"/>
      <c r="F671" s="879"/>
      <c r="G671" s="879"/>
      <c r="H671" s="879"/>
      <c r="I671" s="879"/>
      <c r="J671" s="879"/>
      <c r="K671" s="879"/>
      <c r="L671" s="879"/>
      <c r="M671" s="879"/>
      <c r="N671" s="879"/>
      <c r="O671" s="879"/>
      <c r="P671" s="879"/>
      <c r="Q671" s="879"/>
      <c r="R671" s="879"/>
      <c r="S671" s="879"/>
      <c r="T671" s="879"/>
      <c r="U671" s="879"/>
      <c r="V671" s="879"/>
      <c r="W671" s="879"/>
      <c r="X671" s="879"/>
      <c r="Y671" s="879"/>
      <c r="Z671" s="879"/>
    </row>
    <row r="672" spans="1:26" ht="12.75" customHeight="1">
      <c r="A672" s="879"/>
      <c r="B672" s="879"/>
      <c r="C672" s="879"/>
      <c r="D672" s="879"/>
      <c r="E672" s="879"/>
      <c r="F672" s="879"/>
      <c r="G672" s="879"/>
      <c r="H672" s="879"/>
      <c r="I672" s="879"/>
      <c r="J672" s="879"/>
      <c r="K672" s="879"/>
      <c r="L672" s="879"/>
      <c r="M672" s="879"/>
      <c r="N672" s="879"/>
      <c r="O672" s="879"/>
      <c r="P672" s="879"/>
      <c r="Q672" s="879"/>
      <c r="R672" s="879"/>
      <c r="S672" s="879"/>
      <c r="T672" s="879"/>
      <c r="U672" s="879"/>
      <c r="V672" s="879"/>
      <c r="W672" s="879"/>
      <c r="X672" s="879"/>
      <c r="Y672" s="879"/>
      <c r="Z672" s="879"/>
    </row>
    <row r="673" spans="1:26" ht="12.75" customHeight="1">
      <c r="A673" s="879"/>
      <c r="B673" s="879"/>
      <c r="C673" s="879"/>
      <c r="D673" s="879"/>
      <c r="E673" s="879"/>
      <c r="F673" s="879"/>
      <c r="G673" s="879"/>
      <c r="H673" s="879"/>
      <c r="I673" s="879"/>
      <c r="J673" s="879"/>
      <c r="K673" s="879"/>
      <c r="L673" s="879"/>
      <c r="M673" s="879"/>
      <c r="N673" s="879"/>
      <c r="O673" s="879"/>
      <c r="P673" s="879"/>
      <c r="Q673" s="879"/>
      <c r="R673" s="879"/>
      <c r="S673" s="879"/>
      <c r="T673" s="879"/>
      <c r="U673" s="879"/>
      <c r="V673" s="879"/>
      <c r="W673" s="879"/>
      <c r="X673" s="879"/>
      <c r="Y673" s="879"/>
      <c r="Z673" s="879"/>
    </row>
    <row r="674" spans="1:26" ht="12.75" customHeight="1">
      <c r="A674" s="879"/>
      <c r="B674" s="879"/>
      <c r="C674" s="879"/>
      <c r="D674" s="879"/>
      <c r="E674" s="879"/>
      <c r="F674" s="879"/>
      <c r="G674" s="879"/>
      <c r="H674" s="879"/>
      <c r="I674" s="879"/>
      <c r="J674" s="879"/>
      <c r="K674" s="879"/>
      <c r="L674" s="879"/>
      <c r="M674" s="879"/>
      <c r="N674" s="879"/>
      <c r="O674" s="879"/>
      <c r="P674" s="879"/>
      <c r="Q674" s="879"/>
      <c r="R674" s="879"/>
      <c r="S674" s="879"/>
      <c r="T674" s="879"/>
      <c r="U674" s="879"/>
      <c r="V674" s="879"/>
      <c r="W674" s="879"/>
      <c r="X674" s="879"/>
      <c r="Y674" s="879"/>
      <c r="Z674" s="879"/>
    </row>
    <row r="675" spans="1:26" ht="12.75" customHeight="1">
      <c r="A675" s="879"/>
      <c r="B675" s="879"/>
      <c r="C675" s="879"/>
      <c r="D675" s="879"/>
      <c r="E675" s="879"/>
      <c r="F675" s="879"/>
      <c r="G675" s="879"/>
      <c r="H675" s="879"/>
      <c r="I675" s="879"/>
      <c r="J675" s="879"/>
      <c r="K675" s="879"/>
      <c r="L675" s="879"/>
      <c r="M675" s="879"/>
      <c r="N675" s="879"/>
      <c r="O675" s="879"/>
      <c r="P675" s="879"/>
      <c r="Q675" s="879"/>
      <c r="R675" s="879"/>
      <c r="S675" s="879"/>
      <c r="T675" s="879"/>
      <c r="U675" s="879"/>
      <c r="V675" s="879"/>
      <c r="W675" s="879"/>
      <c r="X675" s="879"/>
      <c r="Y675" s="879"/>
      <c r="Z675" s="879"/>
    </row>
    <row r="676" spans="1:26" ht="12.75" customHeight="1">
      <c r="A676" s="879"/>
      <c r="B676" s="879"/>
      <c r="C676" s="879"/>
      <c r="D676" s="879"/>
      <c r="E676" s="879"/>
      <c r="F676" s="879"/>
      <c r="G676" s="879"/>
      <c r="H676" s="879"/>
      <c r="I676" s="879"/>
      <c r="J676" s="879"/>
      <c r="K676" s="879"/>
      <c r="L676" s="879"/>
      <c r="M676" s="879"/>
      <c r="N676" s="879"/>
      <c r="O676" s="879"/>
      <c r="P676" s="879"/>
      <c r="Q676" s="879"/>
      <c r="R676" s="879"/>
      <c r="S676" s="879"/>
      <c r="T676" s="879"/>
      <c r="U676" s="879"/>
      <c r="V676" s="879"/>
      <c r="W676" s="879"/>
      <c r="X676" s="879"/>
      <c r="Y676" s="879"/>
      <c r="Z676" s="879"/>
    </row>
    <row r="677" spans="1:26" ht="12.75" customHeight="1">
      <c r="A677" s="879"/>
      <c r="B677" s="879"/>
      <c r="C677" s="879"/>
      <c r="D677" s="879"/>
      <c r="E677" s="879"/>
      <c r="F677" s="879"/>
      <c r="G677" s="879"/>
      <c r="H677" s="879"/>
      <c r="I677" s="879"/>
      <c r="J677" s="879"/>
      <c r="K677" s="879"/>
      <c r="L677" s="879"/>
      <c r="M677" s="879"/>
      <c r="N677" s="879"/>
      <c r="O677" s="879"/>
      <c r="P677" s="879"/>
      <c r="Q677" s="879"/>
      <c r="R677" s="879"/>
      <c r="S677" s="879"/>
      <c r="T677" s="879"/>
      <c r="U677" s="879"/>
      <c r="V677" s="879"/>
      <c r="W677" s="879"/>
      <c r="X677" s="879"/>
      <c r="Y677" s="879"/>
      <c r="Z677" s="879"/>
    </row>
    <row r="678" spans="1:26" ht="12.75" customHeight="1">
      <c r="A678" s="879"/>
      <c r="B678" s="879"/>
      <c r="C678" s="879"/>
      <c r="D678" s="879"/>
      <c r="E678" s="879"/>
      <c r="F678" s="879"/>
      <c r="G678" s="879"/>
      <c r="H678" s="879"/>
      <c r="I678" s="879"/>
      <c r="J678" s="879"/>
      <c r="K678" s="879"/>
      <c r="L678" s="879"/>
      <c r="M678" s="879"/>
      <c r="N678" s="879"/>
      <c r="O678" s="879"/>
      <c r="P678" s="879"/>
      <c r="Q678" s="879"/>
      <c r="R678" s="879"/>
      <c r="S678" s="879"/>
      <c r="T678" s="879"/>
      <c r="U678" s="879"/>
      <c r="V678" s="879"/>
      <c r="W678" s="879"/>
      <c r="X678" s="879"/>
      <c r="Y678" s="879"/>
      <c r="Z678" s="879"/>
    </row>
    <row r="679" spans="1:26" ht="12.75" customHeight="1">
      <c r="A679" s="879"/>
      <c r="B679" s="879"/>
      <c r="C679" s="879"/>
      <c r="D679" s="879"/>
      <c r="E679" s="879"/>
      <c r="F679" s="879"/>
      <c r="G679" s="879"/>
      <c r="H679" s="879"/>
      <c r="I679" s="879"/>
      <c r="J679" s="879"/>
      <c r="K679" s="879"/>
      <c r="L679" s="879"/>
      <c r="M679" s="879"/>
      <c r="N679" s="879"/>
      <c r="O679" s="879"/>
      <c r="P679" s="879"/>
      <c r="Q679" s="879"/>
      <c r="R679" s="879"/>
      <c r="S679" s="879"/>
      <c r="T679" s="879"/>
      <c r="U679" s="879"/>
      <c r="V679" s="879"/>
      <c r="W679" s="879"/>
      <c r="X679" s="879"/>
      <c r="Y679" s="879"/>
      <c r="Z679" s="879"/>
    </row>
    <row r="680" spans="1:26" ht="12.75" customHeight="1">
      <c r="A680" s="879"/>
      <c r="B680" s="879"/>
      <c r="C680" s="879"/>
      <c r="D680" s="879"/>
      <c r="E680" s="879"/>
      <c r="F680" s="879"/>
      <c r="G680" s="879"/>
      <c r="H680" s="879"/>
      <c r="I680" s="879"/>
      <c r="J680" s="879"/>
      <c r="K680" s="879"/>
      <c r="L680" s="879"/>
      <c r="M680" s="879"/>
      <c r="N680" s="879"/>
      <c r="O680" s="879"/>
      <c r="P680" s="879"/>
      <c r="Q680" s="879"/>
      <c r="R680" s="879"/>
      <c r="S680" s="879"/>
      <c r="T680" s="879"/>
      <c r="U680" s="879"/>
      <c r="V680" s="879"/>
      <c r="W680" s="879"/>
      <c r="X680" s="879"/>
      <c r="Y680" s="879"/>
      <c r="Z680" s="879"/>
    </row>
    <row r="681" spans="1:26" ht="12.75" customHeight="1">
      <c r="A681" s="879"/>
      <c r="B681" s="879"/>
      <c r="C681" s="879"/>
      <c r="D681" s="879"/>
      <c r="E681" s="879"/>
      <c r="F681" s="879"/>
      <c r="G681" s="879"/>
      <c r="H681" s="879"/>
      <c r="I681" s="879"/>
      <c r="J681" s="879"/>
      <c r="K681" s="879"/>
      <c r="L681" s="879"/>
      <c r="M681" s="879"/>
      <c r="N681" s="879"/>
      <c r="O681" s="879"/>
      <c r="P681" s="879"/>
      <c r="Q681" s="879"/>
      <c r="R681" s="879"/>
      <c r="S681" s="879"/>
      <c r="T681" s="879"/>
      <c r="U681" s="879"/>
      <c r="V681" s="879"/>
      <c r="W681" s="879"/>
      <c r="X681" s="879"/>
      <c r="Y681" s="879"/>
      <c r="Z681" s="879"/>
    </row>
    <row r="682" spans="1:26" ht="12.75" customHeight="1">
      <c r="A682" s="879"/>
      <c r="B682" s="879"/>
      <c r="C682" s="879"/>
      <c r="D682" s="879"/>
      <c r="E682" s="879"/>
      <c r="F682" s="879"/>
      <c r="G682" s="879"/>
      <c r="H682" s="879"/>
      <c r="I682" s="879"/>
      <c r="J682" s="879"/>
      <c r="K682" s="879"/>
      <c r="L682" s="879"/>
      <c r="M682" s="879"/>
      <c r="N682" s="879"/>
      <c r="O682" s="879"/>
      <c r="P682" s="879"/>
      <c r="Q682" s="879"/>
      <c r="R682" s="879"/>
      <c r="S682" s="879"/>
      <c r="T682" s="879"/>
      <c r="U682" s="879"/>
      <c r="V682" s="879"/>
      <c r="W682" s="879"/>
      <c r="X682" s="879"/>
      <c r="Y682" s="879"/>
      <c r="Z682" s="879"/>
    </row>
    <row r="683" spans="1:26" ht="12.75" customHeight="1">
      <c r="A683" s="879"/>
      <c r="B683" s="879"/>
      <c r="C683" s="879"/>
      <c r="D683" s="879"/>
      <c r="E683" s="879"/>
      <c r="F683" s="879"/>
      <c r="G683" s="879"/>
      <c r="H683" s="879"/>
      <c r="I683" s="879"/>
      <c r="J683" s="879"/>
      <c r="K683" s="879"/>
      <c r="L683" s="879"/>
      <c r="M683" s="879"/>
      <c r="N683" s="879"/>
      <c r="O683" s="879"/>
      <c r="P683" s="879"/>
      <c r="Q683" s="879"/>
      <c r="R683" s="879"/>
      <c r="S683" s="879"/>
      <c r="T683" s="879"/>
      <c r="U683" s="879"/>
      <c r="V683" s="879"/>
      <c r="W683" s="879"/>
      <c r="X683" s="879"/>
      <c r="Y683" s="879"/>
      <c r="Z683" s="879"/>
    </row>
    <row r="684" spans="1:26" ht="12.75" customHeight="1">
      <c r="A684" s="879"/>
      <c r="B684" s="879"/>
      <c r="C684" s="879"/>
      <c r="D684" s="879"/>
      <c r="E684" s="879"/>
      <c r="F684" s="879"/>
      <c r="G684" s="879"/>
      <c r="H684" s="879"/>
      <c r="I684" s="879"/>
      <c r="J684" s="879"/>
      <c r="K684" s="879"/>
      <c r="L684" s="879"/>
      <c r="M684" s="879"/>
      <c r="N684" s="879"/>
      <c r="O684" s="879"/>
      <c r="P684" s="879"/>
      <c r="Q684" s="879"/>
      <c r="R684" s="879"/>
      <c r="S684" s="879"/>
      <c r="T684" s="879"/>
      <c r="U684" s="879"/>
      <c r="V684" s="879"/>
      <c r="W684" s="879"/>
      <c r="X684" s="879"/>
      <c r="Y684" s="879"/>
      <c r="Z684" s="879"/>
    </row>
    <row r="685" spans="1:26" ht="12.75" customHeight="1">
      <c r="A685" s="879"/>
      <c r="B685" s="879"/>
      <c r="C685" s="879"/>
      <c r="D685" s="879"/>
      <c r="E685" s="879"/>
      <c r="F685" s="879"/>
      <c r="G685" s="879"/>
      <c r="H685" s="879"/>
      <c r="I685" s="879"/>
      <c r="J685" s="879"/>
      <c r="K685" s="879"/>
      <c r="L685" s="879"/>
      <c r="M685" s="879"/>
      <c r="N685" s="879"/>
      <c r="O685" s="879"/>
      <c r="P685" s="879"/>
      <c r="Q685" s="879"/>
      <c r="R685" s="879"/>
      <c r="S685" s="879"/>
      <c r="T685" s="879"/>
      <c r="U685" s="879"/>
      <c r="V685" s="879"/>
      <c r="W685" s="879"/>
      <c r="X685" s="879"/>
      <c r="Y685" s="879"/>
      <c r="Z685" s="879"/>
    </row>
    <row r="686" spans="1:26" ht="12.75" customHeight="1">
      <c r="A686" s="879"/>
      <c r="B686" s="879"/>
      <c r="C686" s="879"/>
      <c r="D686" s="879"/>
      <c r="E686" s="879"/>
      <c r="F686" s="879"/>
      <c r="G686" s="879"/>
      <c r="H686" s="879"/>
      <c r="I686" s="879"/>
      <c r="J686" s="879"/>
      <c r="K686" s="879"/>
      <c r="L686" s="879"/>
      <c r="M686" s="879"/>
      <c r="N686" s="879"/>
      <c r="O686" s="879"/>
      <c r="P686" s="879"/>
      <c r="Q686" s="879"/>
      <c r="R686" s="879"/>
      <c r="S686" s="879"/>
      <c r="T686" s="879"/>
      <c r="U686" s="879"/>
      <c r="V686" s="879"/>
      <c r="W686" s="879"/>
      <c r="X686" s="879"/>
      <c r="Y686" s="879"/>
      <c r="Z686" s="879"/>
    </row>
    <row r="687" spans="1:26" ht="12.75" customHeight="1">
      <c r="A687" s="879"/>
      <c r="B687" s="879"/>
      <c r="C687" s="879"/>
      <c r="D687" s="879"/>
      <c r="E687" s="879"/>
      <c r="F687" s="879"/>
      <c r="G687" s="879"/>
      <c r="H687" s="879"/>
      <c r="I687" s="879"/>
      <c r="J687" s="879"/>
      <c r="K687" s="879"/>
      <c r="L687" s="879"/>
      <c r="M687" s="879"/>
      <c r="N687" s="879"/>
      <c r="O687" s="879"/>
      <c r="P687" s="879"/>
      <c r="Q687" s="879"/>
      <c r="R687" s="879"/>
      <c r="S687" s="879"/>
      <c r="T687" s="879"/>
      <c r="U687" s="879"/>
      <c r="V687" s="879"/>
      <c r="W687" s="879"/>
      <c r="X687" s="879"/>
      <c r="Y687" s="879"/>
      <c r="Z687" s="879"/>
    </row>
    <row r="688" spans="1:26" ht="12.75" customHeight="1">
      <c r="A688" s="879"/>
      <c r="B688" s="879"/>
      <c r="C688" s="879"/>
      <c r="D688" s="879"/>
      <c r="E688" s="879"/>
      <c r="F688" s="879"/>
      <c r="G688" s="879"/>
      <c r="H688" s="879"/>
      <c r="I688" s="879"/>
      <c r="J688" s="879"/>
      <c r="K688" s="879"/>
      <c r="L688" s="879"/>
      <c r="M688" s="879"/>
      <c r="N688" s="879"/>
      <c r="O688" s="879"/>
      <c r="P688" s="879"/>
      <c r="Q688" s="879"/>
      <c r="R688" s="879"/>
      <c r="S688" s="879"/>
      <c r="T688" s="879"/>
      <c r="U688" s="879"/>
      <c r="V688" s="879"/>
      <c r="W688" s="879"/>
      <c r="X688" s="879"/>
      <c r="Y688" s="879"/>
      <c r="Z688" s="879"/>
    </row>
    <row r="689" spans="1:26" ht="12.75" customHeight="1">
      <c r="A689" s="879"/>
      <c r="B689" s="879"/>
      <c r="C689" s="879"/>
      <c r="D689" s="879"/>
      <c r="E689" s="879"/>
      <c r="F689" s="879"/>
      <c r="G689" s="879"/>
      <c r="H689" s="879"/>
      <c r="I689" s="879"/>
      <c r="J689" s="879"/>
      <c r="K689" s="879"/>
      <c r="L689" s="879"/>
      <c r="M689" s="879"/>
      <c r="N689" s="879"/>
      <c r="O689" s="879"/>
      <c r="P689" s="879"/>
      <c r="Q689" s="879"/>
      <c r="R689" s="879"/>
      <c r="S689" s="879"/>
      <c r="T689" s="879"/>
      <c r="U689" s="879"/>
      <c r="V689" s="879"/>
      <c r="W689" s="879"/>
      <c r="X689" s="879"/>
      <c r="Y689" s="879"/>
      <c r="Z689" s="879"/>
    </row>
    <row r="690" spans="1:26" ht="12.75" customHeight="1">
      <c r="A690" s="879"/>
      <c r="B690" s="879"/>
      <c r="C690" s="879"/>
      <c r="D690" s="879"/>
      <c r="E690" s="879"/>
      <c r="F690" s="879"/>
      <c r="G690" s="879"/>
      <c r="H690" s="879"/>
      <c r="I690" s="879"/>
      <c r="J690" s="879"/>
      <c r="K690" s="879"/>
      <c r="L690" s="879"/>
      <c r="M690" s="879"/>
      <c r="N690" s="879"/>
      <c r="O690" s="879"/>
      <c r="P690" s="879"/>
      <c r="Q690" s="879"/>
      <c r="R690" s="879"/>
      <c r="S690" s="879"/>
      <c r="T690" s="879"/>
      <c r="U690" s="879"/>
      <c r="V690" s="879"/>
      <c r="W690" s="879"/>
      <c r="X690" s="879"/>
      <c r="Y690" s="879"/>
      <c r="Z690" s="879"/>
    </row>
    <row r="691" spans="1:26" ht="12.75" customHeight="1">
      <c r="A691" s="879"/>
      <c r="B691" s="879"/>
      <c r="C691" s="879"/>
      <c r="D691" s="879"/>
      <c r="E691" s="879"/>
      <c r="F691" s="879"/>
      <c r="G691" s="879"/>
      <c r="H691" s="879"/>
      <c r="I691" s="879"/>
      <c r="J691" s="879"/>
      <c r="K691" s="879"/>
      <c r="L691" s="879"/>
      <c r="M691" s="879"/>
      <c r="N691" s="879"/>
      <c r="O691" s="879"/>
      <c r="P691" s="879"/>
      <c r="Q691" s="879"/>
      <c r="R691" s="879"/>
      <c r="S691" s="879"/>
      <c r="T691" s="879"/>
      <c r="U691" s="879"/>
      <c r="V691" s="879"/>
      <c r="W691" s="879"/>
      <c r="X691" s="879"/>
      <c r="Y691" s="879"/>
      <c r="Z691" s="879"/>
    </row>
    <row r="692" spans="1:26" ht="12.75" customHeight="1">
      <c r="A692" s="879"/>
      <c r="B692" s="879"/>
      <c r="C692" s="879"/>
      <c r="D692" s="879"/>
      <c r="E692" s="879"/>
      <c r="F692" s="879"/>
      <c r="G692" s="879"/>
      <c r="H692" s="879"/>
      <c r="I692" s="879"/>
      <c r="J692" s="879"/>
      <c r="K692" s="879"/>
      <c r="L692" s="879"/>
      <c r="M692" s="879"/>
      <c r="N692" s="879"/>
      <c r="O692" s="879"/>
      <c r="P692" s="879"/>
      <c r="Q692" s="879"/>
      <c r="R692" s="879"/>
      <c r="S692" s="879"/>
      <c r="T692" s="879"/>
      <c r="U692" s="879"/>
      <c r="V692" s="879"/>
      <c r="W692" s="879"/>
      <c r="X692" s="879"/>
      <c r="Y692" s="879"/>
      <c r="Z692" s="879"/>
    </row>
    <row r="693" spans="1:26" ht="12.75" customHeight="1">
      <c r="A693" s="879"/>
      <c r="B693" s="879"/>
      <c r="C693" s="879"/>
      <c r="D693" s="879"/>
      <c r="E693" s="879"/>
      <c r="F693" s="879"/>
      <c r="G693" s="879"/>
      <c r="H693" s="879"/>
      <c r="I693" s="879"/>
      <c r="J693" s="879"/>
      <c r="K693" s="879"/>
      <c r="L693" s="879"/>
      <c r="M693" s="879"/>
      <c r="N693" s="879"/>
      <c r="O693" s="879"/>
      <c r="P693" s="879"/>
      <c r="Q693" s="879"/>
      <c r="R693" s="879"/>
      <c r="S693" s="879"/>
      <c r="T693" s="879"/>
      <c r="U693" s="879"/>
      <c r="V693" s="879"/>
      <c r="W693" s="879"/>
      <c r="X693" s="879"/>
      <c r="Y693" s="879"/>
      <c r="Z693" s="879"/>
    </row>
    <row r="694" spans="1:26" ht="12.75" customHeight="1">
      <c r="A694" s="879"/>
      <c r="B694" s="879"/>
      <c r="C694" s="879"/>
      <c r="D694" s="879"/>
      <c r="E694" s="879"/>
      <c r="F694" s="879"/>
      <c r="G694" s="879"/>
      <c r="H694" s="879"/>
      <c r="I694" s="879"/>
      <c r="J694" s="879"/>
      <c r="K694" s="879"/>
      <c r="L694" s="879"/>
      <c r="M694" s="879"/>
      <c r="N694" s="879"/>
      <c r="O694" s="879"/>
      <c r="P694" s="879"/>
      <c r="Q694" s="879"/>
      <c r="R694" s="879"/>
      <c r="S694" s="879"/>
      <c r="T694" s="879"/>
      <c r="U694" s="879"/>
      <c r="V694" s="879"/>
      <c r="W694" s="879"/>
      <c r="X694" s="879"/>
      <c r="Y694" s="879"/>
      <c r="Z694" s="879"/>
    </row>
    <row r="695" spans="1:26" ht="12.75" customHeight="1">
      <c r="A695" s="879"/>
      <c r="B695" s="879"/>
      <c r="C695" s="879"/>
      <c r="D695" s="879"/>
      <c r="E695" s="879"/>
      <c r="F695" s="879"/>
      <c r="G695" s="879"/>
      <c r="H695" s="879"/>
      <c r="I695" s="879"/>
      <c r="J695" s="879"/>
      <c r="K695" s="879"/>
      <c r="L695" s="879"/>
      <c r="M695" s="879"/>
      <c r="N695" s="879"/>
      <c r="O695" s="879"/>
      <c r="P695" s="879"/>
      <c r="Q695" s="879"/>
      <c r="R695" s="879"/>
      <c r="S695" s="879"/>
      <c r="T695" s="879"/>
      <c r="U695" s="879"/>
      <c r="V695" s="879"/>
      <c r="W695" s="879"/>
      <c r="X695" s="879"/>
      <c r="Y695" s="879"/>
      <c r="Z695" s="879"/>
    </row>
    <row r="696" spans="1:26" ht="12.75" customHeight="1">
      <c r="A696" s="879"/>
      <c r="B696" s="879"/>
      <c r="C696" s="879"/>
      <c r="D696" s="879"/>
      <c r="E696" s="879"/>
      <c r="F696" s="879"/>
      <c r="G696" s="879"/>
      <c r="H696" s="879"/>
      <c r="I696" s="879"/>
      <c r="J696" s="879"/>
      <c r="K696" s="879"/>
      <c r="L696" s="879"/>
      <c r="M696" s="879"/>
      <c r="N696" s="879"/>
      <c r="O696" s="879"/>
      <c r="P696" s="879"/>
      <c r="Q696" s="879"/>
      <c r="R696" s="879"/>
      <c r="S696" s="879"/>
      <c r="T696" s="879"/>
      <c r="U696" s="879"/>
      <c r="V696" s="879"/>
      <c r="W696" s="879"/>
      <c r="X696" s="879"/>
      <c r="Y696" s="879"/>
      <c r="Z696" s="879"/>
    </row>
    <row r="697" spans="1:26" ht="12.75" customHeight="1">
      <c r="A697" s="879"/>
      <c r="B697" s="879"/>
      <c r="C697" s="879"/>
      <c r="D697" s="879"/>
      <c r="E697" s="879"/>
      <c r="F697" s="879"/>
      <c r="G697" s="879"/>
      <c r="H697" s="879"/>
      <c r="I697" s="879"/>
      <c r="J697" s="879"/>
      <c r="K697" s="879"/>
      <c r="L697" s="879"/>
      <c r="M697" s="879"/>
      <c r="N697" s="879"/>
      <c r="O697" s="879"/>
      <c r="P697" s="879"/>
      <c r="Q697" s="879"/>
      <c r="R697" s="879"/>
      <c r="S697" s="879"/>
      <c r="T697" s="879"/>
      <c r="U697" s="879"/>
      <c r="V697" s="879"/>
      <c r="W697" s="879"/>
      <c r="X697" s="879"/>
      <c r="Y697" s="879"/>
      <c r="Z697" s="879"/>
    </row>
    <row r="698" spans="1:26" ht="12.75" customHeight="1">
      <c r="A698" s="879"/>
      <c r="B698" s="879"/>
      <c r="C698" s="879"/>
      <c r="D698" s="879"/>
      <c r="E698" s="879"/>
      <c r="F698" s="879"/>
      <c r="G698" s="879"/>
      <c r="H698" s="879"/>
      <c r="I698" s="879"/>
      <c r="J698" s="879"/>
      <c r="K698" s="879"/>
      <c r="L698" s="879"/>
      <c r="M698" s="879"/>
      <c r="N698" s="879"/>
      <c r="O698" s="879"/>
      <c r="P698" s="879"/>
      <c r="Q698" s="879"/>
      <c r="R698" s="879"/>
      <c r="S698" s="879"/>
      <c r="T698" s="879"/>
      <c r="U698" s="879"/>
      <c r="V698" s="879"/>
      <c r="W698" s="879"/>
      <c r="X698" s="879"/>
      <c r="Y698" s="879"/>
      <c r="Z698" s="879"/>
    </row>
    <row r="699" spans="1:26" ht="12.75" customHeight="1">
      <c r="A699" s="879"/>
      <c r="B699" s="879"/>
      <c r="C699" s="879"/>
      <c r="D699" s="879"/>
      <c r="E699" s="879"/>
      <c r="F699" s="879"/>
      <c r="G699" s="879"/>
      <c r="H699" s="879"/>
      <c r="I699" s="879"/>
      <c r="J699" s="879"/>
      <c r="K699" s="879"/>
      <c r="L699" s="879"/>
      <c r="M699" s="879"/>
      <c r="N699" s="879"/>
      <c r="O699" s="879"/>
      <c r="P699" s="879"/>
      <c r="Q699" s="879"/>
      <c r="R699" s="879"/>
      <c r="S699" s="879"/>
      <c r="T699" s="879"/>
      <c r="U699" s="879"/>
      <c r="V699" s="879"/>
      <c r="W699" s="879"/>
      <c r="X699" s="879"/>
      <c r="Y699" s="879"/>
      <c r="Z699" s="879"/>
    </row>
    <row r="700" spans="1:26" ht="12.75" customHeight="1">
      <c r="A700" s="879"/>
      <c r="B700" s="879"/>
      <c r="C700" s="879"/>
      <c r="D700" s="879"/>
      <c r="E700" s="879"/>
      <c r="F700" s="879"/>
      <c r="G700" s="879"/>
      <c r="H700" s="879"/>
      <c r="I700" s="879"/>
      <c r="J700" s="879"/>
      <c r="K700" s="879"/>
      <c r="L700" s="879"/>
      <c r="M700" s="879"/>
      <c r="N700" s="879"/>
      <c r="O700" s="879"/>
      <c r="P700" s="879"/>
      <c r="Q700" s="879"/>
      <c r="R700" s="879"/>
      <c r="S700" s="879"/>
      <c r="T700" s="879"/>
      <c r="U700" s="879"/>
      <c r="V700" s="879"/>
      <c r="W700" s="879"/>
      <c r="X700" s="879"/>
      <c r="Y700" s="879"/>
      <c r="Z700" s="879"/>
    </row>
    <row r="701" spans="1:26" ht="12.75" customHeight="1">
      <c r="A701" s="879"/>
      <c r="B701" s="879"/>
      <c r="C701" s="879"/>
      <c r="D701" s="879"/>
      <c r="E701" s="879"/>
      <c r="F701" s="879"/>
      <c r="G701" s="879"/>
      <c r="H701" s="879"/>
      <c r="I701" s="879"/>
      <c r="J701" s="879"/>
      <c r="K701" s="879"/>
      <c r="L701" s="879"/>
      <c r="M701" s="879"/>
      <c r="N701" s="879"/>
      <c r="O701" s="879"/>
      <c r="P701" s="879"/>
      <c r="Q701" s="879"/>
      <c r="R701" s="879"/>
      <c r="S701" s="879"/>
      <c r="T701" s="879"/>
      <c r="U701" s="879"/>
      <c r="V701" s="879"/>
      <c r="W701" s="879"/>
      <c r="X701" s="879"/>
      <c r="Y701" s="879"/>
      <c r="Z701" s="879"/>
    </row>
    <row r="702" spans="1:26" ht="12.75" customHeight="1">
      <c r="A702" s="879"/>
      <c r="B702" s="879"/>
      <c r="C702" s="879"/>
      <c r="D702" s="879"/>
      <c r="E702" s="879"/>
      <c r="F702" s="879"/>
      <c r="G702" s="879"/>
      <c r="H702" s="879"/>
      <c r="I702" s="879"/>
      <c r="J702" s="879"/>
      <c r="K702" s="879"/>
      <c r="L702" s="879"/>
      <c r="M702" s="879"/>
      <c r="N702" s="879"/>
      <c r="O702" s="879"/>
      <c r="P702" s="879"/>
      <c r="Q702" s="879"/>
      <c r="R702" s="879"/>
      <c r="S702" s="879"/>
      <c r="T702" s="879"/>
      <c r="U702" s="879"/>
      <c r="V702" s="879"/>
      <c r="W702" s="879"/>
      <c r="X702" s="879"/>
      <c r="Y702" s="879"/>
      <c r="Z702" s="879"/>
    </row>
    <row r="703" spans="1:26" ht="12.75" customHeight="1">
      <c r="A703" s="879"/>
      <c r="B703" s="879"/>
      <c r="C703" s="879"/>
      <c r="D703" s="879"/>
      <c r="E703" s="879"/>
      <c r="F703" s="879"/>
      <c r="G703" s="879"/>
      <c r="H703" s="879"/>
      <c r="I703" s="879"/>
      <c r="J703" s="879"/>
      <c r="K703" s="879"/>
      <c r="L703" s="879"/>
      <c r="M703" s="879"/>
      <c r="N703" s="879"/>
      <c r="O703" s="879"/>
      <c r="P703" s="879"/>
      <c r="Q703" s="879"/>
      <c r="R703" s="879"/>
      <c r="S703" s="879"/>
      <c r="T703" s="879"/>
      <c r="U703" s="879"/>
      <c r="V703" s="879"/>
      <c r="W703" s="879"/>
      <c r="X703" s="879"/>
      <c r="Y703" s="879"/>
      <c r="Z703" s="879"/>
    </row>
    <row r="704" spans="1:26" ht="12.75" customHeight="1">
      <c r="A704" s="879"/>
      <c r="B704" s="879"/>
      <c r="C704" s="879"/>
      <c r="D704" s="879"/>
      <c r="E704" s="879"/>
      <c r="F704" s="879"/>
      <c r="G704" s="879"/>
      <c r="H704" s="879"/>
      <c r="I704" s="879"/>
      <c r="J704" s="879"/>
      <c r="K704" s="879"/>
      <c r="L704" s="879"/>
      <c r="M704" s="879"/>
      <c r="N704" s="879"/>
      <c r="O704" s="879"/>
      <c r="P704" s="879"/>
      <c r="Q704" s="879"/>
      <c r="R704" s="879"/>
      <c r="S704" s="879"/>
      <c r="T704" s="879"/>
      <c r="U704" s="879"/>
      <c r="V704" s="879"/>
      <c r="W704" s="879"/>
      <c r="X704" s="879"/>
      <c r="Y704" s="879"/>
      <c r="Z704" s="879"/>
    </row>
    <row r="705" spans="1:26" ht="12.75" customHeight="1">
      <c r="A705" s="879"/>
      <c r="B705" s="879"/>
      <c r="C705" s="879"/>
      <c r="D705" s="879"/>
      <c r="E705" s="879"/>
      <c r="F705" s="879"/>
      <c r="G705" s="879"/>
      <c r="H705" s="879"/>
      <c r="I705" s="879"/>
      <c r="J705" s="879"/>
      <c r="K705" s="879"/>
      <c r="L705" s="879"/>
      <c r="M705" s="879"/>
      <c r="N705" s="879"/>
      <c r="O705" s="879"/>
      <c r="P705" s="879"/>
      <c r="Q705" s="879"/>
      <c r="R705" s="879"/>
      <c r="S705" s="879"/>
      <c r="T705" s="879"/>
      <c r="U705" s="879"/>
      <c r="V705" s="879"/>
      <c r="W705" s="879"/>
      <c r="X705" s="879"/>
      <c r="Y705" s="879"/>
      <c r="Z705" s="879"/>
    </row>
    <row r="706" spans="1:26" ht="12.75" customHeight="1">
      <c r="A706" s="879"/>
      <c r="B706" s="879"/>
      <c r="C706" s="879"/>
      <c r="D706" s="879"/>
      <c r="E706" s="879"/>
      <c r="F706" s="879"/>
      <c r="G706" s="879"/>
      <c r="H706" s="879"/>
      <c r="I706" s="879"/>
      <c r="J706" s="879"/>
      <c r="K706" s="879"/>
      <c r="L706" s="879"/>
      <c r="M706" s="879"/>
      <c r="N706" s="879"/>
      <c r="O706" s="879"/>
      <c r="P706" s="879"/>
      <c r="Q706" s="879"/>
      <c r="R706" s="879"/>
      <c r="S706" s="879"/>
      <c r="T706" s="879"/>
      <c r="U706" s="879"/>
      <c r="V706" s="879"/>
      <c r="W706" s="879"/>
      <c r="X706" s="879"/>
      <c r="Y706" s="879"/>
      <c r="Z706" s="879"/>
    </row>
    <row r="707" spans="1:26" ht="12.75" customHeight="1">
      <c r="A707" s="879"/>
      <c r="B707" s="879"/>
      <c r="C707" s="879"/>
      <c r="D707" s="879"/>
      <c r="E707" s="879"/>
      <c r="F707" s="879"/>
      <c r="G707" s="879"/>
      <c r="H707" s="879"/>
      <c r="I707" s="879"/>
      <c r="J707" s="879"/>
      <c r="K707" s="879"/>
      <c r="L707" s="879"/>
      <c r="M707" s="879"/>
      <c r="N707" s="879"/>
      <c r="O707" s="879"/>
      <c r="P707" s="879"/>
      <c r="Q707" s="879"/>
      <c r="R707" s="879"/>
      <c r="S707" s="879"/>
      <c r="T707" s="879"/>
      <c r="U707" s="879"/>
      <c r="V707" s="879"/>
      <c r="W707" s="879"/>
      <c r="X707" s="879"/>
      <c r="Y707" s="879"/>
      <c r="Z707" s="879"/>
    </row>
    <row r="708" spans="1:26" ht="12.75" customHeight="1">
      <c r="A708" s="879"/>
      <c r="B708" s="879"/>
      <c r="C708" s="879"/>
      <c r="D708" s="879"/>
      <c r="E708" s="879"/>
      <c r="F708" s="879"/>
      <c r="G708" s="879"/>
      <c r="H708" s="879"/>
      <c r="I708" s="879"/>
      <c r="J708" s="879"/>
      <c r="K708" s="879"/>
      <c r="L708" s="879"/>
      <c r="M708" s="879"/>
      <c r="N708" s="879"/>
      <c r="O708" s="879"/>
      <c r="P708" s="879"/>
      <c r="Q708" s="879"/>
      <c r="R708" s="879"/>
      <c r="S708" s="879"/>
      <c r="T708" s="879"/>
      <c r="U708" s="879"/>
      <c r="V708" s="879"/>
      <c r="W708" s="879"/>
      <c r="X708" s="879"/>
      <c r="Y708" s="879"/>
      <c r="Z708" s="879"/>
    </row>
    <row r="709" spans="1:26" ht="12.75" customHeight="1">
      <c r="A709" s="879"/>
      <c r="B709" s="879"/>
      <c r="C709" s="879"/>
      <c r="D709" s="879"/>
      <c r="E709" s="879"/>
      <c r="F709" s="879"/>
      <c r="G709" s="879"/>
      <c r="H709" s="879"/>
      <c r="I709" s="879"/>
      <c r="J709" s="879"/>
      <c r="K709" s="879"/>
      <c r="L709" s="879"/>
      <c r="M709" s="879"/>
      <c r="N709" s="879"/>
      <c r="O709" s="879"/>
      <c r="P709" s="879"/>
      <c r="Q709" s="879"/>
      <c r="R709" s="879"/>
      <c r="S709" s="879"/>
      <c r="T709" s="879"/>
      <c r="U709" s="879"/>
      <c r="V709" s="879"/>
      <c r="W709" s="879"/>
      <c r="X709" s="879"/>
      <c r="Y709" s="879"/>
      <c r="Z709" s="879"/>
    </row>
    <row r="710" spans="1:26" ht="12.75" customHeight="1">
      <c r="A710" s="879"/>
      <c r="B710" s="879"/>
      <c r="C710" s="879"/>
      <c r="D710" s="879"/>
      <c r="E710" s="879"/>
      <c r="F710" s="879"/>
      <c r="G710" s="879"/>
      <c r="H710" s="879"/>
      <c r="I710" s="879"/>
      <c r="J710" s="879"/>
      <c r="K710" s="879"/>
      <c r="L710" s="879"/>
      <c r="M710" s="879"/>
      <c r="N710" s="879"/>
      <c r="O710" s="879"/>
      <c r="P710" s="879"/>
      <c r="Q710" s="879"/>
      <c r="R710" s="879"/>
      <c r="S710" s="879"/>
      <c r="T710" s="879"/>
      <c r="U710" s="879"/>
      <c r="V710" s="879"/>
      <c r="W710" s="879"/>
      <c r="X710" s="879"/>
      <c r="Y710" s="879"/>
      <c r="Z710" s="879"/>
    </row>
    <row r="711" spans="1:26" ht="12.75" customHeight="1">
      <c r="A711" s="879"/>
      <c r="B711" s="879"/>
      <c r="C711" s="879"/>
      <c r="D711" s="879"/>
      <c r="E711" s="879"/>
      <c r="F711" s="879"/>
      <c r="G711" s="879"/>
      <c r="H711" s="879"/>
      <c r="I711" s="879"/>
      <c r="J711" s="879"/>
      <c r="K711" s="879"/>
      <c r="L711" s="879"/>
      <c r="M711" s="879"/>
      <c r="N711" s="879"/>
      <c r="O711" s="879"/>
      <c r="P711" s="879"/>
      <c r="Q711" s="879"/>
      <c r="R711" s="879"/>
      <c r="S711" s="879"/>
      <c r="T711" s="879"/>
      <c r="U711" s="879"/>
      <c r="V711" s="879"/>
      <c r="W711" s="879"/>
      <c r="X711" s="879"/>
      <c r="Y711" s="879"/>
      <c r="Z711" s="879"/>
    </row>
    <row r="712" spans="1:26" ht="12.75" customHeight="1">
      <c r="A712" s="879"/>
      <c r="B712" s="879"/>
      <c r="C712" s="879"/>
      <c r="D712" s="879"/>
      <c r="E712" s="879"/>
      <c r="F712" s="879"/>
      <c r="G712" s="879"/>
      <c r="H712" s="879"/>
      <c r="I712" s="879"/>
      <c r="J712" s="879"/>
      <c r="K712" s="879"/>
      <c r="L712" s="879"/>
      <c r="M712" s="879"/>
      <c r="N712" s="879"/>
      <c r="O712" s="879"/>
      <c r="P712" s="879"/>
      <c r="Q712" s="879"/>
      <c r="R712" s="879"/>
      <c r="S712" s="879"/>
      <c r="T712" s="879"/>
      <c r="U712" s="879"/>
      <c r="V712" s="879"/>
      <c r="W712" s="879"/>
      <c r="X712" s="879"/>
      <c r="Y712" s="879"/>
      <c r="Z712" s="879"/>
    </row>
    <row r="713" spans="1:26" ht="12.75" customHeight="1">
      <c r="A713" s="879"/>
      <c r="B713" s="879"/>
      <c r="C713" s="879"/>
      <c r="D713" s="879"/>
      <c r="E713" s="879"/>
      <c r="F713" s="879"/>
      <c r="G713" s="879"/>
      <c r="H713" s="879"/>
      <c r="I713" s="879"/>
      <c r="J713" s="879"/>
      <c r="K713" s="879"/>
      <c r="L713" s="879"/>
      <c r="M713" s="879"/>
      <c r="N713" s="879"/>
      <c r="O713" s="879"/>
      <c r="P713" s="879"/>
      <c r="Q713" s="879"/>
      <c r="R713" s="879"/>
      <c r="S713" s="879"/>
      <c r="T713" s="879"/>
      <c r="U713" s="879"/>
      <c r="V713" s="879"/>
      <c r="W713" s="879"/>
      <c r="X713" s="879"/>
      <c r="Y713" s="879"/>
      <c r="Z713" s="879"/>
    </row>
    <row r="714" spans="1:26" ht="12.75" customHeight="1">
      <c r="A714" s="879"/>
      <c r="B714" s="879"/>
      <c r="C714" s="879"/>
      <c r="D714" s="879"/>
      <c r="E714" s="879"/>
      <c r="F714" s="879"/>
      <c r="G714" s="879"/>
      <c r="H714" s="879"/>
      <c r="I714" s="879"/>
      <c r="J714" s="879"/>
      <c r="K714" s="879"/>
      <c r="L714" s="879"/>
      <c r="M714" s="879"/>
      <c r="N714" s="879"/>
      <c r="O714" s="879"/>
      <c r="P714" s="879"/>
      <c r="Q714" s="879"/>
      <c r="R714" s="879"/>
      <c r="S714" s="879"/>
      <c r="T714" s="879"/>
      <c r="U714" s="879"/>
      <c r="V714" s="879"/>
      <c r="W714" s="879"/>
      <c r="X714" s="879"/>
      <c r="Y714" s="879"/>
      <c r="Z714" s="879"/>
    </row>
    <row r="715" spans="1:26" ht="12.75" customHeight="1">
      <c r="A715" s="879"/>
      <c r="B715" s="879"/>
      <c r="C715" s="879"/>
      <c r="D715" s="879"/>
      <c r="E715" s="879"/>
      <c r="F715" s="879"/>
      <c r="G715" s="879"/>
      <c r="H715" s="879"/>
      <c r="I715" s="879"/>
      <c r="J715" s="879"/>
      <c r="K715" s="879"/>
      <c r="L715" s="879"/>
      <c r="M715" s="879"/>
      <c r="N715" s="879"/>
      <c r="O715" s="879"/>
      <c r="P715" s="879"/>
      <c r="Q715" s="879"/>
      <c r="R715" s="879"/>
      <c r="S715" s="879"/>
      <c r="T715" s="879"/>
      <c r="U715" s="879"/>
      <c r="V715" s="879"/>
      <c r="W715" s="879"/>
      <c r="X715" s="879"/>
      <c r="Y715" s="879"/>
      <c r="Z715" s="879"/>
    </row>
    <row r="716" spans="1:26" ht="12.75" customHeight="1">
      <c r="A716" s="879"/>
      <c r="B716" s="879"/>
      <c r="C716" s="879"/>
      <c r="D716" s="879"/>
      <c r="E716" s="879"/>
      <c r="F716" s="879"/>
      <c r="G716" s="879"/>
      <c r="H716" s="879"/>
      <c r="I716" s="879"/>
      <c r="J716" s="879"/>
      <c r="K716" s="879"/>
      <c r="L716" s="879"/>
      <c r="M716" s="879"/>
      <c r="N716" s="879"/>
      <c r="O716" s="879"/>
      <c r="P716" s="879"/>
      <c r="Q716" s="879"/>
      <c r="R716" s="879"/>
      <c r="S716" s="879"/>
      <c r="T716" s="879"/>
      <c r="U716" s="879"/>
      <c r="V716" s="879"/>
      <c r="W716" s="879"/>
      <c r="X716" s="879"/>
      <c r="Y716" s="879"/>
      <c r="Z716" s="879"/>
    </row>
    <row r="717" spans="1:26" ht="12.75" customHeight="1">
      <c r="A717" s="879"/>
      <c r="B717" s="879"/>
      <c r="C717" s="879"/>
      <c r="D717" s="879"/>
      <c r="E717" s="879"/>
      <c r="F717" s="879"/>
      <c r="G717" s="879"/>
      <c r="H717" s="879"/>
      <c r="I717" s="879"/>
      <c r="J717" s="879"/>
      <c r="K717" s="879"/>
      <c r="L717" s="879"/>
      <c r="M717" s="879"/>
      <c r="N717" s="879"/>
      <c r="O717" s="879"/>
      <c r="P717" s="879"/>
      <c r="Q717" s="879"/>
      <c r="R717" s="879"/>
      <c r="S717" s="879"/>
      <c r="T717" s="879"/>
      <c r="U717" s="879"/>
      <c r="V717" s="879"/>
      <c r="W717" s="879"/>
      <c r="X717" s="879"/>
      <c r="Y717" s="879"/>
      <c r="Z717" s="879"/>
    </row>
    <row r="718" spans="1:26" ht="12.75" customHeight="1">
      <c r="A718" s="879"/>
      <c r="B718" s="879"/>
      <c r="C718" s="879"/>
      <c r="D718" s="879"/>
      <c r="E718" s="879"/>
      <c r="F718" s="879"/>
      <c r="G718" s="879"/>
      <c r="H718" s="879"/>
      <c r="I718" s="879"/>
      <c r="J718" s="879"/>
      <c r="K718" s="879"/>
      <c r="L718" s="879"/>
      <c r="M718" s="879"/>
      <c r="N718" s="879"/>
      <c r="O718" s="879"/>
      <c r="P718" s="879"/>
      <c r="Q718" s="879"/>
      <c r="R718" s="879"/>
      <c r="S718" s="879"/>
      <c r="T718" s="879"/>
      <c r="U718" s="879"/>
      <c r="V718" s="879"/>
      <c r="W718" s="879"/>
      <c r="X718" s="879"/>
      <c r="Y718" s="879"/>
      <c r="Z718" s="879"/>
    </row>
    <row r="719" spans="1:26" ht="12.75" customHeight="1">
      <c r="A719" s="879"/>
      <c r="B719" s="879"/>
      <c r="C719" s="879"/>
      <c r="D719" s="879"/>
      <c r="E719" s="879"/>
      <c r="F719" s="879"/>
      <c r="G719" s="879"/>
      <c r="H719" s="879"/>
      <c r="I719" s="879"/>
      <c r="J719" s="879"/>
      <c r="K719" s="879"/>
      <c r="L719" s="879"/>
      <c r="M719" s="879"/>
      <c r="N719" s="879"/>
      <c r="O719" s="879"/>
      <c r="P719" s="879"/>
      <c r="Q719" s="879"/>
      <c r="R719" s="879"/>
      <c r="S719" s="879"/>
      <c r="T719" s="879"/>
      <c r="U719" s="879"/>
      <c r="V719" s="879"/>
      <c r="W719" s="879"/>
      <c r="X719" s="879"/>
      <c r="Y719" s="879"/>
      <c r="Z719" s="879"/>
    </row>
    <row r="720" spans="1:26" ht="12.75" customHeight="1">
      <c r="A720" s="879"/>
      <c r="B720" s="879"/>
      <c r="C720" s="879"/>
      <c r="D720" s="879"/>
      <c r="E720" s="879"/>
      <c r="F720" s="879"/>
      <c r="G720" s="879"/>
      <c r="H720" s="879"/>
      <c r="I720" s="879"/>
      <c r="J720" s="879"/>
      <c r="K720" s="879"/>
      <c r="L720" s="879"/>
      <c r="M720" s="879"/>
      <c r="N720" s="879"/>
      <c r="O720" s="879"/>
      <c r="P720" s="879"/>
      <c r="Q720" s="879"/>
      <c r="R720" s="879"/>
      <c r="S720" s="879"/>
      <c r="T720" s="879"/>
      <c r="U720" s="879"/>
      <c r="V720" s="879"/>
      <c r="W720" s="879"/>
      <c r="X720" s="879"/>
      <c r="Y720" s="879"/>
      <c r="Z720" s="879"/>
    </row>
    <row r="721" spans="1:26" ht="12.75" customHeight="1">
      <c r="A721" s="879"/>
      <c r="B721" s="879"/>
      <c r="C721" s="879"/>
      <c r="D721" s="879"/>
      <c r="E721" s="879"/>
      <c r="F721" s="879"/>
      <c r="G721" s="879"/>
      <c r="H721" s="879"/>
      <c r="I721" s="879"/>
      <c r="J721" s="879"/>
      <c r="K721" s="879"/>
      <c r="L721" s="879"/>
      <c r="M721" s="879"/>
      <c r="N721" s="879"/>
      <c r="O721" s="879"/>
      <c r="P721" s="879"/>
      <c r="Q721" s="879"/>
      <c r="R721" s="879"/>
      <c r="S721" s="879"/>
      <c r="T721" s="879"/>
      <c r="U721" s="879"/>
      <c r="V721" s="879"/>
      <c r="W721" s="879"/>
      <c r="X721" s="879"/>
      <c r="Y721" s="879"/>
      <c r="Z721" s="879"/>
    </row>
    <row r="722" spans="1:26" ht="12.75" customHeight="1">
      <c r="A722" s="879"/>
      <c r="B722" s="879"/>
      <c r="C722" s="879"/>
      <c r="D722" s="879"/>
      <c r="E722" s="879"/>
      <c r="F722" s="879"/>
      <c r="G722" s="879"/>
      <c r="H722" s="879"/>
      <c r="I722" s="879"/>
      <c r="J722" s="879"/>
      <c r="K722" s="879"/>
      <c r="L722" s="879"/>
      <c r="M722" s="879"/>
      <c r="N722" s="879"/>
      <c r="O722" s="879"/>
      <c r="P722" s="879"/>
      <c r="Q722" s="879"/>
      <c r="R722" s="879"/>
      <c r="S722" s="879"/>
      <c r="T722" s="879"/>
      <c r="U722" s="879"/>
      <c r="V722" s="879"/>
      <c r="W722" s="879"/>
      <c r="X722" s="879"/>
      <c r="Y722" s="879"/>
      <c r="Z722" s="879"/>
    </row>
    <row r="723" spans="1:26" ht="12.75" customHeight="1">
      <c r="A723" s="879"/>
      <c r="B723" s="879"/>
      <c r="C723" s="879"/>
      <c r="D723" s="879"/>
      <c r="E723" s="879"/>
      <c r="F723" s="879"/>
      <c r="G723" s="879"/>
      <c r="H723" s="879"/>
      <c r="I723" s="879"/>
      <c r="J723" s="879"/>
      <c r="K723" s="879"/>
      <c r="L723" s="879"/>
      <c r="M723" s="879"/>
      <c r="N723" s="879"/>
      <c r="O723" s="879"/>
      <c r="P723" s="879"/>
      <c r="Q723" s="879"/>
      <c r="R723" s="879"/>
      <c r="S723" s="879"/>
      <c r="T723" s="879"/>
      <c r="U723" s="879"/>
      <c r="V723" s="879"/>
      <c r="W723" s="879"/>
      <c r="X723" s="879"/>
      <c r="Y723" s="879"/>
      <c r="Z723" s="879"/>
    </row>
    <row r="724" spans="1:26" ht="12.75" customHeight="1">
      <c r="A724" s="879"/>
      <c r="B724" s="879"/>
      <c r="C724" s="879"/>
      <c r="D724" s="879"/>
      <c r="E724" s="879"/>
      <c r="F724" s="879"/>
      <c r="G724" s="879"/>
      <c r="H724" s="879"/>
      <c r="I724" s="879"/>
      <c r="J724" s="879"/>
      <c r="K724" s="879"/>
      <c r="L724" s="879"/>
      <c r="M724" s="879"/>
      <c r="N724" s="879"/>
      <c r="O724" s="879"/>
      <c r="P724" s="879"/>
      <c r="Q724" s="879"/>
      <c r="R724" s="879"/>
      <c r="S724" s="879"/>
      <c r="T724" s="879"/>
      <c r="U724" s="879"/>
      <c r="V724" s="879"/>
      <c r="W724" s="879"/>
      <c r="X724" s="879"/>
      <c r="Y724" s="879"/>
      <c r="Z724" s="879"/>
    </row>
    <row r="725" spans="1:26" ht="12.75" customHeight="1">
      <c r="A725" s="879"/>
      <c r="B725" s="879"/>
      <c r="C725" s="879"/>
      <c r="D725" s="879"/>
      <c r="E725" s="879"/>
      <c r="F725" s="879"/>
      <c r="G725" s="879"/>
      <c r="H725" s="879"/>
      <c r="I725" s="879"/>
      <c r="J725" s="879"/>
      <c r="K725" s="879"/>
      <c r="L725" s="879"/>
      <c r="M725" s="879"/>
      <c r="N725" s="879"/>
      <c r="O725" s="879"/>
      <c r="P725" s="879"/>
      <c r="Q725" s="879"/>
      <c r="R725" s="879"/>
      <c r="S725" s="879"/>
      <c r="T725" s="879"/>
      <c r="U725" s="879"/>
      <c r="V725" s="879"/>
      <c r="W725" s="879"/>
      <c r="X725" s="879"/>
      <c r="Y725" s="879"/>
      <c r="Z725" s="879"/>
    </row>
    <row r="726" spans="1:26" ht="12.75" customHeight="1">
      <c r="A726" s="879"/>
      <c r="B726" s="879"/>
      <c r="C726" s="879"/>
      <c r="D726" s="879"/>
      <c r="E726" s="879"/>
      <c r="F726" s="879"/>
      <c r="G726" s="879"/>
      <c r="H726" s="879"/>
      <c r="I726" s="879"/>
      <c r="J726" s="879"/>
      <c r="K726" s="879"/>
      <c r="L726" s="879"/>
      <c r="M726" s="879"/>
      <c r="N726" s="879"/>
      <c r="O726" s="879"/>
      <c r="P726" s="879"/>
      <c r="Q726" s="879"/>
      <c r="R726" s="879"/>
      <c r="S726" s="879"/>
      <c r="T726" s="879"/>
      <c r="U726" s="879"/>
      <c r="V726" s="879"/>
      <c r="W726" s="879"/>
      <c r="X726" s="879"/>
      <c r="Y726" s="879"/>
      <c r="Z726" s="879"/>
    </row>
    <row r="727" spans="1:26" ht="12.75" customHeight="1">
      <c r="A727" s="879"/>
      <c r="B727" s="879"/>
      <c r="C727" s="879"/>
      <c r="D727" s="879"/>
      <c r="E727" s="879"/>
      <c r="F727" s="879"/>
      <c r="G727" s="879"/>
      <c r="H727" s="879"/>
      <c r="I727" s="879"/>
      <c r="J727" s="879"/>
      <c r="K727" s="879"/>
      <c r="L727" s="879"/>
      <c r="M727" s="879"/>
      <c r="N727" s="879"/>
      <c r="O727" s="879"/>
      <c r="P727" s="879"/>
      <c r="Q727" s="879"/>
      <c r="R727" s="879"/>
      <c r="S727" s="879"/>
      <c r="T727" s="879"/>
      <c r="U727" s="879"/>
      <c r="V727" s="879"/>
      <c r="W727" s="879"/>
      <c r="X727" s="879"/>
      <c r="Y727" s="879"/>
      <c r="Z727" s="879"/>
    </row>
    <row r="728" spans="1:26" ht="12.75" customHeight="1">
      <c r="A728" s="879"/>
      <c r="B728" s="879"/>
      <c r="C728" s="879"/>
      <c r="D728" s="879"/>
      <c r="E728" s="879"/>
      <c r="F728" s="879"/>
      <c r="G728" s="879"/>
      <c r="H728" s="879"/>
      <c r="I728" s="879"/>
      <c r="J728" s="879"/>
      <c r="K728" s="879"/>
      <c r="L728" s="879"/>
      <c r="M728" s="879"/>
      <c r="N728" s="879"/>
      <c r="O728" s="879"/>
      <c r="P728" s="879"/>
      <c r="Q728" s="879"/>
      <c r="R728" s="879"/>
      <c r="S728" s="879"/>
      <c r="T728" s="879"/>
      <c r="U728" s="879"/>
      <c r="V728" s="879"/>
      <c r="W728" s="879"/>
      <c r="X728" s="879"/>
      <c r="Y728" s="879"/>
      <c r="Z728" s="879"/>
    </row>
    <row r="729" spans="1:26" ht="12.75" customHeight="1">
      <c r="A729" s="879"/>
      <c r="B729" s="879"/>
      <c r="C729" s="879"/>
      <c r="D729" s="879"/>
      <c r="E729" s="879"/>
      <c r="F729" s="879"/>
      <c r="G729" s="879"/>
      <c r="H729" s="879"/>
      <c r="I729" s="879"/>
      <c r="J729" s="879"/>
      <c r="K729" s="879"/>
      <c r="L729" s="879"/>
      <c r="M729" s="879"/>
      <c r="N729" s="879"/>
      <c r="O729" s="879"/>
      <c r="P729" s="879"/>
      <c r="Q729" s="879"/>
      <c r="R729" s="879"/>
      <c r="S729" s="879"/>
      <c r="T729" s="879"/>
      <c r="U729" s="879"/>
      <c r="V729" s="879"/>
      <c r="W729" s="879"/>
      <c r="X729" s="879"/>
      <c r="Y729" s="879"/>
      <c r="Z729" s="879"/>
    </row>
    <row r="730" spans="1:26" ht="12.75" customHeight="1">
      <c r="A730" s="879"/>
      <c r="B730" s="879"/>
      <c r="C730" s="879"/>
      <c r="D730" s="879"/>
      <c r="E730" s="879"/>
      <c r="F730" s="879"/>
      <c r="G730" s="879"/>
      <c r="H730" s="879"/>
      <c r="I730" s="879"/>
      <c r="J730" s="879"/>
      <c r="K730" s="879"/>
      <c r="L730" s="879"/>
      <c r="M730" s="879"/>
      <c r="N730" s="879"/>
      <c r="O730" s="879"/>
      <c r="P730" s="879"/>
      <c r="Q730" s="879"/>
      <c r="R730" s="879"/>
      <c r="S730" s="879"/>
      <c r="T730" s="879"/>
      <c r="U730" s="879"/>
      <c r="V730" s="879"/>
      <c r="W730" s="879"/>
      <c r="X730" s="879"/>
      <c r="Y730" s="879"/>
      <c r="Z730" s="879"/>
    </row>
    <row r="731" spans="1:26" ht="12.75" customHeight="1">
      <c r="A731" s="879"/>
      <c r="B731" s="879"/>
      <c r="C731" s="879"/>
      <c r="D731" s="879"/>
      <c r="E731" s="879"/>
      <c r="F731" s="879"/>
      <c r="G731" s="879"/>
      <c r="H731" s="879"/>
      <c r="I731" s="879"/>
      <c r="J731" s="879"/>
      <c r="K731" s="879"/>
      <c r="L731" s="879"/>
      <c r="M731" s="879"/>
      <c r="N731" s="879"/>
      <c r="O731" s="879"/>
      <c r="P731" s="879"/>
      <c r="Q731" s="879"/>
      <c r="R731" s="879"/>
      <c r="S731" s="879"/>
      <c r="T731" s="879"/>
      <c r="U731" s="879"/>
      <c r="V731" s="879"/>
      <c r="W731" s="879"/>
      <c r="X731" s="879"/>
      <c r="Y731" s="879"/>
      <c r="Z731" s="879"/>
    </row>
    <row r="732" spans="1:26" ht="12.75" customHeight="1">
      <c r="A732" s="879"/>
      <c r="B732" s="879"/>
      <c r="C732" s="879"/>
      <c r="D732" s="879"/>
      <c r="E732" s="879"/>
      <c r="F732" s="879"/>
      <c r="G732" s="879"/>
      <c r="H732" s="879"/>
      <c r="I732" s="879"/>
      <c r="J732" s="879"/>
      <c r="K732" s="879"/>
      <c r="L732" s="879"/>
      <c r="M732" s="879"/>
      <c r="N732" s="879"/>
      <c r="O732" s="879"/>
      <c r="P732" s="879"/>
      <c r="Q732" s="879"/>
      <c r="R732" s="879"/>
      <c r="S732" s="879"/>
      <c r="T732" s="879"/>
      <c r="U732" s="879"/>
      <c r="V732" s="879"/>
      <c r="W732" s="879"/>
      <c r="X732" s="879"/>
      <c r="Y732" s="879"/>
      <c r="Z732" s="879"/>
    </row>
    <row r="733" spans="1:26" ht="12.75" customHeight="1">
      <c r="A733" s="879"/>
      <c r="B733" s="879"/>
      <c r="C733" s="879"/>
      <c r="D733" s="879"/>
      <c r="E733" s="879"/>
      <c r="F733" s="879"/>
      <c r="G733" s="879"/>
      <c r="H733" s="879"/>
      <c r="I733" s="879"/>
      <c r="J733" s="879"/>
      <c r="K733" s="879"/>
      <c r="L733" s="879"/>
      <c r="M733" s="879"/>
      <c r="N733" s="879"/>
      <c r="O733" s="879"/>
      <c r="P733" s="879"/>
      <c r="Q733" s="879"/>
      <c r="R733" s="879"/>
      <c r="S733" s="879"/>
      <c r="T733" s="879"/>
      <c r="U733" s="879"/>
      <c r="V733" s="879"/>
      <c r="W733" s="879"/>
      <c r="X733" s="879"/>
      <c r="Y733" s="879"/>
      <c r="Z733" s="879"/>
    </row>
    <row r="734" spans="1:26" ht="12.75" customHeight="1">
      <c r="A734" s="879"/>
      <c r="B734" s="879"/>
      <c r="C734" s="879"/>
      <c r="D734" s="879"/>
      <c r="E734" s="879"/>
      <c r="F734" s="879"/>
      <c r="G734" s="879"/>
      <c r="H734" s="879"/>
      <c r="I734" s="879"/>
      <c r="J734" s="879"/>
      <c r="K734" s="879"/>
      <c r="L734" s="879"/>
      <c r="M734" s="879"/>
      <c r="N734" s="879"/>
      <c r="O734" s="879"/>
      <c r="P734" s="879"/>
      <c r="Q734" s="879"/>
      <c r="R734" s="879"/>
      <c r="S734" s="879"/>
      <c r="T734" s="879"/>
      <c r="U734" s="879"/>
      <c r="V734" s="879"/>
      <c r="W734" s="879"/>
      <c r="X734" s="879"/>
      <c r="Y734" s="879"/>
      <c r="Z734" s="879"/>
    </row>
    <row r="735" spans="1:26" ht="12.75" customHeight="1">
      <c r="A735" s="879"/>
      <c r="B735" s="879"/>
      <c r="C735" s="879"/>
      <c r="D735" s="879"/>
      <c r="E735" s="879"/>
      <c r="F735" s="879"/>
      <c r="G735" s="879"/>
      <c r="H735" s="879"/>
      <c r="I735" s="879"/>
      <c r="J735" s="879"/>
      <c r="K735" s="879"/>
      <c r="L735" s="879"/>
      <c r="M735" s="879"/>
      <c r="N735" s="879"/>
      <c r="O735" s="879"/>
      <c r="P735" s="879"/>
      <c r="Q735" s="879"/>
      <c r="R735" s="879"/>
      <c r="S735" s="879"/>
      <c r="T735" s="879"/>
      <c r="U735" s="879"/>
      <c r="V735" s="879"/>
      <c r="W735" s="879"/>
      <c r="X735" s="879"/>
      <c r="Y735" s="879"/>
      <c r="Z735" s="879"/>
    </row>
    <row r="736" spans="1:26" ht="12.75" customHeight="1">
      <c r="A736" s="879"/>
      <c r="B736" s="879"/>
      <c r="C736" s="879"/>
      <c r="D736" s="879"/>
      <c r="E736" s="879"/>
      <c r="F736" s="879"/>
      <c r="G736" s="879"/>
      <c r="H736" s="879"/>
      <c r="I736" s="879"/>
      <c r="J736" s="879"/>
      <c r="K736" s="879"/>
      <c r="L736" s="879"/>
      <c r="M736" s="879"/>
      <c r="N736" s="879"/>
      <c r="O736" s="879"/>
      <c r="P736" s="879"/>
      <c r="Q736" s="879"/>
      <c r="R736" s="879"/>
      <c r="S736" s="879"/>
      <c r="T736" s="879"/>
      <c r="U736" s="879"/>
      <c r="V736" s="879"/>
      <c r="W736" s="879"/>
      <c r="X736" s="879"/>
      <c r="Y736" s="879"/>
      <c r="Z736" s="879"/>
    </row>
    <row r="737" spans="1:26" ht="12.75" customHeight="1">
      <c r="A737" s="879"/>
      <c r="B737" s="879"/>
      <c r="C737" s="879"/>
      <c r="D737" s="879"/>
      <c r="E737" s="879"/>
      <c r="F737" s="879"/>
      <c r="G737" s="879"/>
      <c r="H737" s="879"/>
      <c r="I737" s="879"/>
      <c r="J737" s="879"/>
      <c r="K737" s="879"/>
      <c r="L737" s="879"/>
      <c r="M737" s="879"/>
      <c r="N737" s="879"/>
      <c r="O737" s="879"/>
      <c r="P737" s="879"/>
      <c r="Q737" s="879"/>
      <c r="R737" s="879"/>
      <c r="S737" s="879"/>
      <c r="T737" s="879"/>
      <c r="U737" s="879"/>
      <c r="V737" s="879"/>
      <c r="W737" s="879"/>
      <c r="X737" s="879"/>
      <c r="Y737" s="879"/>
      <c r="Z737" s="879"/>
    </row>
    <row r="738" spans="1:26" ht="12.75" customHeight="1">
      <c r="A738" s="879"/>
      <c r="B738" s="879"/>
      <c r="C738" s="879"/>
      <c r="D738" s="879"/>
      <c r="E738" s="879"/>
      <c r="F738" s="879"/>
      <c r="G738" s="879"/>
      <c r="H738" s="879"/>
      <c r="I738" s="879"/>
      <c r="J738" s="879"/>
      <c r="K738" s="879"/>
      <c r="L738" s="879"/>
      <c r="M738" s="879"/>
      <c r="N738" s="879"/>
      <c r="O738" s="879"/>
      <c r="P738" s="879"/>
      <c r="Q738" s="879"/>
      <c r="R738" s="879"/>
      <c r="S738" s="879"/>
      <c r="T738" s="879"/>
      <c r="U738" s="879"/>
      <c r="V738" s="879"/>
      <c r="W738" s="879"/>
      <c r="X738" s="879"/>
      <c r="Y738" s="879"/>
      <c r="Z738" s="879"/>
    </row>
    <row r="739" spans="1:26" ht="12.75" customHeight="1">
      <c r="A739" s="879"/>
      <c r="B739" s="879"/>
      <c r="C739" s="879"/>
      <c r="D739" s="879"/>
      <c r="E739" s="879"/>
      <c r="F739" s="879"/>
      <c r="G739" s="879"/>
      <c r="H739" s="879"/>
      <c r="I739" s="879"/>
      <c r="J739" s="879"/>
      <c r="K739" s="879"/>
      <c r="L739" s="879"/>
      <c r="M739" s="879"/>
      <c r="N739" s="879"/>
      <c r="O739" s="879"/>
      <c r="P739" s="879"/>
      <c r="Q739" s="879"/>
      <c r="R739" s="879"/>
      <c r="S739" s="879"/>
      <c r="T739" s="879"/>
      <c r="U739" s="879"/>
      <c r="V739" s="879"/>
      <c r="W739" s="879"/>
      <c r="X739" s="879"/>
      <c r="Y739" s="879"/>
      <c r="Z739" s="879"/>
    </row>
    <row r="740" spans="1:26" ht="12.75" customHeight="1">
      <c r="A740" s="879"/>
      <c r="B740" s="879"/>
      <c r="C740" s="879"/>
      <c r="D740" s="879"/>
      <c r="E740" s="879"/>
      <c r="F740" s="879"/>
      <c r="G740" s="879"/>
      <c r="H740" s="879"/>
      <c r="I740" s="879"/>
      <c r="J740" s="879"/>
      <c r="K740" s="879"/>
      <c r="L740" s="879"/>
      <c r="M740" s="879"/>
      <c r="N740" s="879"/>
      <c r="O740" s="879"/>
      <c r="P740" s="879"/>
      <c r="Q740" s="879"/>
      <c r="R740" s="879"/>
      <c r="S740" s="879"/>
      <c r="T740" s="879"/>
      <c r="U740" s="879"/>
      <c r="V740" s="879"/>
      <c r="W740" s="879"/>
      <c r="X740" s="879"/>
      <c r="Y740" s="879"/>
      <c r="Z740" s="879"/>
    </row>
    <row r="741" spans="1:26" ht="12.75" customHeight="1">
      <c r="A741" s="879"/>
      <c r="B741" s="879"/>
      <c r="C741" s="879"/>
      <c r="D741" s="879"/>
      <c r="E741" s="879"/>
      <c r="F741" s="879"/>
      <c r="G741" s="879"/>
      <c r="H741" s="879"/>
      <c r="I741" s="879"/>
      <c r="J741" s="879"/>
      <c r="K741" s="879"/>
      <c r="L741" s="879"/>
      <c r="M741" s="879"/>
      <c r="N741" s="879"/>
      <c r="O741" s="879"/>
      <c r="P741" s="879"/>
      <c r="Q741" s="879"/>
      <c r="R741" s="879"/>
      <c r="S741" s="879"/>
      <c r="T741" s="879"/>
      <c r="U741" s="879"/>
      <c r="V741" s="879"/>
      <c r="W741" s="879"/>
      <c r="X741" s="879"/>
      <c r="Y741" s="879"/>
      <c r="Z741" s="879"/>
    </row>
    <row r="742" spans="1:26" ht="12.75" customHeight="1">
      <c r="A742" s="879"/>
      <c r="B742" s="879"/>
      <c r="C742" s="879"/>
      <c r="D742" s="879"/>
      <c r="E742" s="879"/>
      <c r="F742" s="879"/>
      <c r="G742" s="879"/>
      <c r="H742" s="879"/>
      <c r="I742" s="879"/>
      <c r="J742" s="879"/>
      <c r="K742" s="879"/>
      <c r="L742" s="879"/>
      <c r="M742" s="879"/>
      <c r="N742" s="879"/>
      <c r="O742" s="879"/>
      <c r="P742" s="879"/>
      <c r="Q742" s="879"/>
      <c r="R742" s="879"/>
      <c r="S742" s="879"/>
      <c r="T742" s="879"/>
      <c r="U742" s="879"/>
      <c r="V742" s="879"/>
      <c r="W742" s="879"/>
      <c r="X742" s="879"/>
      <c r="Y742" s="879"/>
      <c r="Z742" s="879"/>
    </row>
    <row r="743" spans="1:26" ht="12.75" customHeight="1">
      <c r="A743" s="879"/>
      <c r="B743" s="879"/>
      <c r="C743" s="879"/>
      <c r="D743" s="879"/>
      <c r="E743" s="879"/>
      <c r="F743" s="879"/>
      <c r="G743" s="879"/>
      <c r="H743" s="879"/>
      <c r="I743" s="879"/>
      <c r="J743" s="879"/>
      <c r="K743" s="879"/>
      <c r="L743" s="879"/>
      <c r="M743" s="879"/>
      <c r="N743" s="879"/>
      <c r="O743" s="879"/>
      <c r="P743" s="879"/>
      <c r="Q743" s="879"/>
      <c r="R743" s="879"/>
      <c r="S743" s="879"/>
      <c r="T743" s="879"/>
      <c r="U743" s="879"/>
      <c r="V743" s="879"/>
      <c r="W743" s="879"/>
      <c r="X743" s="879"/>
      <c r="Y743" s="879"/>
      <c r="Z743" s="879"/>
    </row>
    <row r="744" spans="1:26" ht="12.75" customHeight="1">
      <c r="A744" s="879"/>
      <c r="B744" s="879"/>
      <c r="C744" s="879"/>
      <c r="D744" s="879"/>
      <c r="E744" s="879"/>
      <c r="F744" s="879"/>
      <c r="G744" s="879"/>
      <c r="H744" s="879"/>
      <c r="I744" s="879"/>
      <c r="J744" s="879"/>
      <c r="K744" s="879"/>
      <c r="L744" s="879"/>
      <c r="M744" s="879"/>
      <c r="N744" s="879"/>
      <c r="O744" s="879"/>
      <c r="P744" s="879"/>
      <c r="Q744" s="879"/>
      <c r="R744" s="879"/>
      <c r="S744" s="879"/>
      <c r="T744" s="879"/>
      <c r="U744" s="879"/>
      <c r="V744" s="879"/>
      <c r="W744" s="879"/>
      <c r="X744" s="879"/>
      <c r="Y744" s="879"/>
      <c r="Z744" s="879"/>
    </row>
    <row r="745" spans="1:26" ht="12.75" customHeight="1">
      <c r="A745" s="879"/>
      <c r="B745" s="879"/>
      <c r="C745" s="879"/>
      <c r="D745" s="879"/>
      <c r="E745" s="879"/>
      <c r="F745" s="879"/>
      <c r="G745" s="879"/>
      <c r="H745" s="879"/>
      <c r="I745" s="879"/>
      <c r="J745" s="879"/>
      <c r="K745" s="879"/>
      <c r="L745" s="879"/>
      <c r="M745" s="879"/>
      <c r="N745" s="879"/>
      <c r="O745" s="879"/>
      <c r="P745" s="879"/>
      <c r="Q745" s="879"/>
      <c r="R745" s="879"/>
      <c r="S745" s="879"/>
      <c r="T745" s="879"/>
      <c r="U745" s="879"/>
      <c r="V745" s="879"/>
      <c r="W745" s="879"/>
      <c r="X745" s="879"/>
      <c r="Y745" s="879"/>
      <c r="Z745" s="879"/>
    </row>
    <row r="746" spans="1:26" ht="12.75" customHeight="1">
      <c r="A746" s="879"/>
      <c r="B746" s="879"/>
      <c r="C746" s="879"/>
      <c r="D746" s="879"/>
      <c r="E746" s="879"/>
      <c r="F746" s="879"/>
      <c r="G746" s="879"/>
      <c r="H746" s="879"/>
      <c r="I746" s="879"/>
      <c r="J746" s="879"/>
      <c r="K746" s="879"/>
      <c r="L746" s="879"/>
      <c r="M746" s="879"/>
      <c r="N746" s="879"/>
      <c r="O746" s="879"/>
      <c r="P746" s="879"/>
      <c r="Q746" s="879"/>
      <c r="R746" s="879"/>
      <c r="S746" s="879"/>
      <c r="T746" s="879"/>
      <c r="U746" s="879"/>
      <c r="V746" s="879"/>
      <c r="W746" s="879"/>
      <c r="X746" s="879"/>
      <c r="Y746" s="879"/>
      <c r="Z746" s="879"/>
    </row>
    <row r="747" spans="1:26" ht="12.75" customHeight="1">
      <c r="A747" s="879"/>
      <c r="B747" s="879"/>
      <c r="C747" s="879"/>
      <c r="D747" s="879"/>
      <c r="E747" s="879"/>
      <c r="F747" s="879"/>
      <c r="G747" s="879"/>
      <c r="H747" s="879"/>
      <c r="I747" s="879"/>
      <c r="J747" s="879"/>
      <c r="K747" s="879"/>
      <c r="L747" s="879"/>
      <c r="M747" s="879"/>
      <c r="N747" s="879"/>
      <c r="O747" s="879"/>
      <c r="P747" s="879"/>
      <c r="Q747" s="879"/>
      <c r="R747" s="879"/>
      <c r="S747" s="879"/>
      <c r="T747" s="879"/>
      <c r="U747" s="879"/>
      <c r="V747" s="879"/>
      <c r="W747" s="879"/>
      <c r="X747" s="879"/>
      <c r="Y747" s="879"/>
      <c r="Z747" s="879"/>
    </row>
    <row r="748" spans="1:26" ht="12.75" customHeight="1">
      <c r="A748" s="879"/>
      <c r="B748" s="879"/>
      <c r="C748" s="879"/>
      <c r="D748" s="879"/>
      <c r="E748" s="879"/>
      <c r="F748" s="879"/>
      <c r="G748" s="879"/>
      <c r="H748" s="879"/>
      <c r="I748" s="879"/>
      <c r="J748" s="879"/>
      <c r="K748" s="879"/>
      <c r="L748" s="879"/>
      <c r="M748" s="879"/>
      <c r="N748" s="879"/>
      <c r="O748" s="879"/>
      <c r="P748" s="879"/>
      <c r="Q748" s="879"/>
      <c r="R748" s="879"/>
      <c r="S748" s="879"/>
      <c r="T748" s="879"/>
      <c r="U748" s="879"/>
      <c r="V748" s="879"/>
      <c r="W748" s="879"/>
      <c r="X748" s="879"/>
      <c r="Y748" s="879"/>
      <c r="Z748" s="879"/>
    </row>
    <row r="749" spans="1:26" ht="12.75" customHeight="1">
      <c r="A749" s="879"/>
      <c r="B749" s="879"/>
      <c r="C749" s="879"/>
      <c r="D749" s="879"/>
      <c r="E749" s="879"/>
      <c r="F749" s="879"/>
      <c r="G749" s="879"/>
      <c r="H749" s="879"/>
      <c r="I749" s="879"/>
      <c r="J749" s="879"/>
      <c r="K749" s="879"/>
      <c r="L749" s="879"/>
      <c r="M749" s="879"/>
      <c r="N749" s="879"/>
      <c r="O749" s="879"/>
      <c r="P749" s="879"/>
      <c r="Q749" s="879"/>
      <c r="R749" s="879"/>
      <c r="S749" s="879"/>
      <c r="T749" s="879"/>
      <c r="U749" s="879"/>
      <c r="V749" s="879"/>
      <c r="W749" s="879"/>
      <c r="X749" s="879"/>
      <c r="Y749" s="879"/>
      <c r="Z749" s="879"/>
    </row>
    <row r="750" spans="1:26" ht="12.75" customHeight="1">
      <c r="A750" s="879"/>
      <c r="B750" s="879"/>
      <c r="C750" s="879"/>
      <c r="D750" s="879"/>
      <c r="E750" s="879"/>
      <c r="F750" s="879"/>
      <c r="G750" s="879"/>
      <c r="H750" s="879"/>
      <c r="I750" s="879"/>
      <c r="J750" s="879"/>
      <c r="K750" s="879"/>
      <c r="L750" s="879"/>
      <c r="M750" s="879"/>
      <c r="N750" s="879"/>
      <c r="O750" s="879"/>
      <c r="P750" s="879"/>
      <c r="Q750" s="879"/>
      <c r="R750" s="879"/>
      <c r="S750" s="879"/>
      <c r="T750" s="879"/>
      <c r="U750" s="879"/>
      <c r="V750" s="879"/>
      <c r="W750" s="879"/>
      <c r="X750" s="879"/>
      <c r="Y750" s="879"/>
      <c r="Z750" s="879"/>
    </row>
    <row r="751" spans="1:26" ht="12.75" customHeight="1">
      <c r="A751" s="879"/>
      <c r="B751" s="879"/>
      <c r="C751" s="879"/>
      <c r="D751" s="879"/>
      <c r="E751" s="879"/>
      <c r="F751" s="879"/>
      <c r="G751" s="879"/>
      <c r="H751" s="879"/>
      <c r="I751" s="879"/>
      <c r="J751" s="879"/>
      <c r="K751" s="879"/>
      <c r="L751" s="879"/>
      <c r="M751" s="879"/>
      <c r="N751" s="879"/>
      <c r="O751" s="879"/>
      <c r="P751" s="879"/>
      <c r="Q751" s="879"/>
      <c r="R751" s="879"/>
      <c r="S751" s="879"/>
      <c r="T751" s="879"/>
      <c r="U751" s="879"/>
      <c r="V751" s="879"/>
      <c r="W751" s="879"/>
      <c r="X751" s="879"/>
      <c r="Y751" s="879"/>
      <c r="Z751" s="879"/>
    </row>
    <row r="752" spans="1:26" ht="12.75" customHeight="1">
      <c r="A752" s="879"/>
      <c r="B752" s="879"/>
      <c r="C752" s="879"/>
      <c r="D752" s="879"/>
      <c r="E752" s="879"/>
      <c r="F752" s="879"/>
      <c r="G752" s="879"/>
      <c r="H752" s="879"/>
      <c r="I752" s="879"/>
      <c r="J752" s="879"/>
      <c r="K752" s="879"/>
      <c r="L752" s="879"/>
      <c r="M752" s="879"/>
      <c r="N752" s="879"/>
      <c r="O752" s="879"/>
      <c r="P752" s="879"/>
      <c r="Q752" s="879"/>
      <c r="R752" s="879"/>
      <c r="S752" s="879"/>
      <c r="T752" s="879"/>
      <c r="U752" s="879"/>
      <c r="V752" s="879"/>
      <c r="W752" s="879"/>
      <c r="X752" s="879"/>
      <c r="Y752" s="879"/>
      <c r="Z752" s="879"/>
    </row>
    <row r="753" spans="1:26" ht="12.75" customHeight="1">
      <c r="A753" s="879"/>
      <c r="B753" s="879"/>
      <c r="C753" s="879"/>
      <c r="D753" s="879"/>
      <c r="E753" s="879"/>
      <c r="F753" s="879"/>
      <c r="G753" s="879"/>
      <c r="H753" s="879"/>
      <c r="I753" s="879"/>
      <c r="J753" s="879"/>
      <c r="K753" s="879"/>
      <c r="L753" s="879"/>
      <c r="M753" s="879"/>
      <c r="N753" s="879"/>
      <c r="O753" s="879"/>
      <c r="P753" s="879"/>
      <c r="Q753" s="879"/>
      <c r="R753" s="879"/>
      <c r="S753" s="879"/>
      <c r="T753" s="879"/>
      <c r="U753" s="879"/>
      <c r="V753" s="879"/>
      <c r="W753" s="879"/>
      <c r="X753" s="879"/>
      <c r="Y753" s="879"/>
      <c r="Z753" s="879"/>
    </row>
    <row r="754" spans="1:26" ht="12.75" customHeight="1">
      <c r="A754" s="879"/>
      <c r="B754" s="879"/>
      <c r="C754" s="879"/>
      <c r="D754" s="879"/>
      <c r="E754" s="879"/>
      <c r="F754" s="879"/>
      <c r="G754" s="879"/>
      <c r="H754" s="879"/>
      <c r="I754" s="879"/>
      <c r="J754" s="879"/>
      <c r="K754" s="879"/>
      <c r="L754" s="879"/>
      <c r="M754" s="879"/>
      <c r="N754" s="879"/>
      <c r="O754" s="879"/>
      <c r="P754" s="879"/>
      <c r="Q754" s="879"/>
      <c r="R754" s="879"/>
      <c r="S754" s="879"/>
      <c r="T754" s="879"/>
      <c r="U754" s="879"/>
      <c r="V754" s="879"/>
      <c r="W754" s="879"/>
      <c r="X754" s="879"/>
      <c r="Y754" s="879"/>
      <c r="Z754" s="879"/>
    </row>
    <row r="755" spans="1:26" ht="12.75" customHeight="1">
      <c r="A755" s="879"/>
      <c r="B755" s="879"/>
      <c r="C755" s="879"/>
      <c r="D755" s="879"/>
      <c r="E755" s="879"/>
      <c r="F755" s="879"/>
      <c r="G755" s="879"/>
      <c r="H755" s="879"/>
      <c r="I755" s="879"/>
      <c r="J755" s="879"/>
      <c r="K755" s="879"/>
      <c r="L755" s="879"/>
      <c r="M755" s="879"/>
      <c r="N755" s="879"/>
      <c r="O755" s="879"/>
      <c r="P755" s="879"/>
      <c r="Q755" s="879"/>
      <c r="R755" s="879"/>
      <c r="S755" s="879"/>
      <c r="T755" s="879"/>
      <c r="U755" s="879"/>
      <c r="V755" s="879"/>
      <c r="W755" s="879"/>
      <c r="X755" s="879"/>
      <c r="Y755" s="879"/>
      <c r="Z755" s="879"/>
    </row>
    <row r="756" spans="1:26" ht="12.75" customHeight="1">
      <c r="A756" s="879"/>
      <c r="B756" s="879"/>
      <c r="C756" s="879"/>
      <c r="D756" s="879"/>
      <c r="E756" s="879"/>
      <c r="F756" s="879"/>
      <c r="G756" s="879"/>
      <c r="H756" s="879"/>
      <c r="I756" s="879"/>
      <c r="J756" s="879"/>
      <c r="K756" s="879"/>
      <c r="L756" s="879"/>
      <c r="M756" s="879"/>
      <c r="N756" s="879"/>
      <c r="O756" s="879"/>
      <c r="P756" s="879"/>
      <c r="Q756" s="879"/>
      <c r="R756" s="879"/>
      <c r="S756" s="879"/>
      <c r="T756" s="879"/>
      <c r="U756" s="879"/>
      <c r="V756" s="879"/>
      <c r="W756" s="879"/>
      <c r="X756" s="879"/>
      <c r="Y756" s="879"/>
      <c r="Z756" s="879"/>
    </row>
    <row r="757" spans="1:26" ht="12.75" customHeight="1">
      <c r="A757" s="879"/>
      <c r="B757" s="879"/>
      <c r="C757" s="879"/>
      <c r="D757" s="879"/>
      <c r="E757" s="879"/>
      <c r="F757" s="879"/>
      <c r="G757" s="879"/>
      <c r="H757" s="879"/>
      <c r="I757" s="879"/>
      <c r="J757" s="879"/>
      <c r="K757" s="879"/>
      <c r="L757" s="879"/>
      <c r="M757" s="879"/>
      <c r="N757" s="879"/>
      <c r="O757" s="879"/>
      <c r="P757" s="879"/>
      <c r="Q757" s="879"/>
      <c r="R757" s="879"/>
      <c r="S757" s="879"/>
      <c r="T757" s="879"/>
      <c r="U757" s="879"/>
      <c r="V757" s="879"/>
      <c r="W757" s="879"/>
      <c r="X757" s="879"/>
      <c r="Y757" s="879"/>
      <c r="Z757" s="879"/>
    </row>
    <row r="758" spans="1:26" ht="12.75" customHeight="1">
      <c r="A758" s="879"/>
      <c r="B758" s="879"/>
      <c r="C758" s="879"/>
      <c r="D758" s="879"/>
      <c r="E758" s="879"/>
      <c r="F758" s="879"/>
      <c r="G758" s="879"/>
      <c r="H758" s="879"/>
      <c r="I758" s="879"/>
      <c r="J758" s="879"/>
      <c r="K758" s="879"/>
      <c r="L758" s="879"/>
      <c r="M758" s="879"/>
      <c r="N758" s="879"/>
      <c r="O758" s="879"/>
      <c r="P758" s="879"/>
      <c r="Q758" s="879"/>
      <c r="R758" s="879"/>
      <c r="S758" s="879"/>
      <c r="T758" s="879"/>
      <c r="U758" s="879"/>
      <c r="V758" s="879"/>
      <c r="W758" s="879"/>
      <c r="X758" s="879"/>
      <c r="Y758" s="879"/>
      <c r="Z758" s="879"/>
    </row>
    <row r="759" spans="1:26" ht="12.75" customHeight="1">
      <c r="A759" s="879"/>
      <c r="B759" s="879"/>
      <c r="C759" s="879"/>
      <c r="D759" s="879"/>
      <c r="E759" s="879"/>
      <c r="F759" s="879"/>
      <c r="G759" s="879"/>
      <c r="H759" s="879"/>
      <c r="I759" s="879"/>
      <c r="J759" s="879"/>
      <c r="K759" s="879"/>
      <c r="L759" s="879"/>
      <c r="M759" s="879"/>
      <c r="N759" s="879"/>
      <c r="O759" s="879"/>
      <c r="P759" s="879"/>
      <c r="Q759" s="879"/>
      <c r="R759" s="879"/>
      <c r="S759" s="879"/>
      <c r="T759" s="879"/>
      <c r="U759" s="879"/>
      <c r="V759" s="879"/>
      <c r="W759" s="879"/>
      <c r="X759" s="879"/>
      <c r="Y759" s="879"/>
      <c r="Z759" s="879"/>
    </row>
    <row r="760" spans="1:26" ht="12.75" customHeight="1">
      <c r="A760" s="879"/>
      <c r="B760" s="879"/>
      <c r="C760" s="879"/>
      <c r="D760" s="879"/>
      <c r="E760" s="879"/>
      <c r="F760" s="879"/>
      <c r="G760" s="879"/>
      <c r="H760" s="879"/>
      <c r="I760" s="879"/>
      <c r="J760" s="879"/>
      <c r="K760" s="879"/>
      <c r="L760" s="879"/>
      <c r="M760" s="879"/>
      <c r="N760" s="879"/>
      <c r="O760" s="879"/>
      <c r="P760" s="879"/>
      <c r="Q760" s="879"/>
      <c r="R760" s="879"/>
      <c r="S760" s="879"/>
      <c r="T760" s="879"/>
      <c r="U760" s="879"/>
      <c r="V760" s="879"/>
      <c r="W760" s="879"/>
      <c r="X760" s="879"/>
      <c r="Y760" s="879"/>
      <c r="Z760" s="879"/>
    </row>
    <row r="761" spans="1:26" ht="12.75" customHeight="1">
      <c r="A761" s="879"/>
      <c r="B761" s="879"/>
      <c r="C761" s="879"/>
      <c r="D761" s="879"/>
      <c r="E761" s="879"/>
      <c r="F761" s="879"/>
      <c r="G761" s="879"/>
      <c r="H761" s="879"/>
      <c r="I761" s="879"/>
      <c r="J761" s="879"/>
      <c r="K761" s="879"/>
      <c r="L761" s="879"/>
      <c r="M761" s="879"/>
      <c r="N761" s="879"/>
      <c r="O761" s="879"/>
      <c r="P761" s="879"/>
      <c r="Q761" s="879"/>
      <c r="R761" s="879"/>
      <c r="S761" s="879"/>
      <c r="T761" s="879"/>
      <c r="U761" s="879"/>
      <c r="V761" s="879"/>
      <c r="W761" s="879"/>
      <c r="X761" s="879"/>
      <c r="Y761" s="879"/>
      <c r="Z761" s="879"/>
    </row>
    <row r="762" spans="1:26" ht="12.75" customHeight="1">
      <c r="A762" s="879"/>
      <c r="B762" s="879"/>
      <c r="C762" s="879"/>
      <c r="D762" s="879"/>
      <c r="E762" s="879"/>
      <c r="F762" s="879"/>
      <c r="G762" s="879"/>
      <c r="H762" s="879"/>
      <c r="I762" s="879"/>
      <c r="J762" s="879"/>
      <c r="K762" s="879"/>
      <c r="L762" s="879"/>
      <c r="M762" s="879"/>
      <c r="N762" s="879"/>
      <c r="O762" s="879"/>
      <c r="P762" s="879"/>
      <c r="Q762" s="879"/>
      <c r="R762" s="879"/>
      <c r="S762" s="879"/>
      <c r="T762" s="879"/>
      <c r="U762" s="879"/>
      <c r="V762" s="879"/>
      <c r="W762" s="879"/>
      <c r="X762" s="879"/>
      <c r="Y762" s="879"/>
      <c r="Z762" s="879"/>
    </row>
    <row r="763" spans="1:26" ht="12.75" customHeight="1">
      <c r="A763" s="879"/>
      <c r="B763" s="879"/>
      <c r="C763" s="879"/>
      <c r="D763" s="879"/>
      <c r="E763" s="879"/>
      <c r="F763" s="879"/>
      <c r="G763" s="879"/>
      <c r="H763" s="879"/>
      <c r="I763" s="879"/>
      <c r="J763" s="879"/>
      <c r="K763" s="879"/>
      <c r="L763" s="879"/>
      <c r="M763" s="879"/>
      <c r="N763" s="879"/>
      <c r="O763" s="879"/>
      <c r="P763" s="879"/>
      <c r="Q763" s="879"/>
      <c r="R763" s="879"/>
      <c r="S763" s="879"/>
      <c r="T763" s="879"/>
      <c r="U763" s="879"/>
      <c r="V763" s="879"/>
      <c r="W763" s="879"/>
      <c r="X763" s="879"/>
      <c r="Y763" s="879"/>
      <c r="Z763" s="879"/>
    </row>
    <row r="764" spans="1:26" ht="12.75" customHeight="1">
      <c r="A764" s="879"/>
      <c r="B764" s="879"/>
      <c r="C764" s="879"/>
      <c r="D764" s="879"/>
      <c r="E764" s="879"/>
      <c r="F764" s="879"/>
      <c r="G764" s="879"/>
      <c r="H764" s="879"/>
      <c r="I764" s="879"/>
      <c r="J764" s="879"/>
      <c r="K764" s="879"/>
      <c r="L764" s="879"/>
      <c r="M764" s="879"/>
      <c r="N764" s="879"/>
      <c r="O764" s="879"/>
      <c r="P764" s="879"/>
      <c r="Q764" s="879"/>
      <c r="R764" s="879"/>
      <c r="S764" s="879"/>
      <c r="T764" s="879"/>
      <c r="U764" s="879"/>
      <c r="V764" s="879"/>
      <c r="W764" s="879"/>
      <c r="X764" s="879"/>
      <c r="Y764" s="879"/>
      <c r="Z764" s="879"/>
    </row>
    <row r="765" spans="1:26" ht="12.75" customHeight="1">
      <c r="A765" s="879"/>
      <c r="B765" s="879"/>
      <c r="C765" s="879"/>
      <c r="D765" s="879"/>
      <c r="E765" s="879"/>
      <c r="F765" s="879"/>
      <c r="G765" s="879"/>
      <c r="H765" s="879"/>
      <c r="I765" s="879"/>
      <c r="J765" s="879"/>
      <c r="K765" s="879"/>
      <c r="L765" s="879"/>
      <c r="M765" s="879"/>
      <c r="N765" s="879"/>
      <c r="O765" s="879"/>
      <c r="P765" s="879"/>
      <c r="Q765" s="879"/>
      <c r="R765" s="879"/>
      <c r="S765" s="879"/>
      <c r="T765" s="879"/>
      <c r="U765" s="879"/>
      <c r="V765" s="879"/>
      <c r="W765" s="879"/>
      <c r="X765" s="879"/>
      <c r="Y765" s="879"/>
      <c r="Z765" s="879"/>
    </row>
    <row r="766" spans="1:26" ht="12.75" customHeight="1">
      <c r="A766" s="879"/>
      <c r="B766" s="879"/>
      <c r="C766" s="879"/>
      <c r="D766" s="879"/>
      <c r="E766" s="879"/>
      <c r="F766" s="879"/>
      <c r="G766" s="879"/>
      <c r="H766" s="879"/>
      <c r="I766" s="879"/>
      <c r="J766" s="879"/>
      <c r="K766" s="879"/>
      <c r="L766" s="879"/>
      <c r="M766" s="879"/>
      <c r="N766" s="879"/>
      <c r="O766" s="879"/>
      <c r="P766" s="879"/>
      <c r="Q766" s="879"/>
      <c r="R766" s="879"/>
      <c r="S766" s="879"/>
      <c r="T766" s="879"/>
      <c r="U766" s="879"/>
      <c r="V766" s="879"/>
      <c r="W766" s="879"/>
      <c r="X766" s="879"/>
      <c r="Y766" s="879"/>
      <c r="Z766" s="879"/>
    </row>
  </sheetData>
  <sheetProtection algorithmName="SHA-512" hashValue="YPyOey3J1dcSOHGexzDRvmdqkCiXGCzaVquw1X1ZWwqXbUtORGbGTRjfL9+yLz/g2CNSno/cTaJkGy0AIisUbA==" saltValue="O3V3jcD3qlpr4S4krZdnLA==" spinCount="100000" sheet="1" objects="1" scenarios="1"/>
  <mergeCells count="39">
    <mergeCell ref="J14:J16"/>
    <mergeCell ref="I2:K2"/>
    <mergeCell ref="I3:K3"/>
    <mergeCell ref="I4:K4"/>
    <mergeCell ref="I5:K5"/>
    <mergeCell ref="I6:K6"/>
    <mergeCell ref="D15:D16"/>
    <mergeCell ref="G15:G16"/>
    <mergeCell ref="I41:I42"/>
    <mergeCell ref="A39:C39"/>
    <mergeCell ref="C41:C42"/>
    <mergeCell ref="D41:D42"/>
    <mergeCell ref="E41:E42"/>
    <mergeCell ref="G41:H42"/>
    <mergeCell ref="A14:A16"/>
    <mergeCell ref="B14:D14"/>
    <mergeCell ref="E14:G14"/>
    <mergeCell ref="H14:H15"/>
    <mergeCell ref="J41:J42"/>
    <mergeCell ref="D46:E46"/>
    <mergeCell ref="F46:G46"/>
    <mergeCell ref="H46:I46"/>
    <mergeCell ref="D48:E48"/>
    <mergeCell ref="F48:G48"/>
    <mergeCell ref="H48:I48"/>
    <mergeCell ref="D47:E47"/>
    <mergeCell ref="F47:G47"/>
    <mergeCell ref="H47:I47"/>
    <mergeCell ref="D49:E49"/>
    <mergeCell ref="F49:G49"/>
    <mergeCell ref="H49:I49"/>
    <mergeCell ref="I56:K56"/>
    <mergeCell ref="I57:K57"/>
    <mergeCell ref="D50:E50"/>
    <mergeCell ref="F50:G50"/>
    <mergeCell ref="H50:I50"/>
    <mergeCell ref="D51:E51"/>
    <mergeCell ref="F51:G51"/>
    <mergeCell ref="H51:I51"/>
  </mergeCells>
  <conditionalFormatting sqref="I13 J11:K12">
    <cfRule type="expression" dxfId="1" priority="1">
      <formula>#REF!=1</formula>
    </cfRule>
  </conditionalFormatting>
  <printOptions horizontalCentered="1" verticalCentered="1"/>
  <pageMargins left="0.11811023622047245" right="0.11811023622047245" top="0.19685039370078741" bottom="0.35433070866141736" header="0.19685039370078741" footer="0.31496062992125984"/>
  <pageSetup paperSize="9" scale="90" orientation="portrait" r:id="rId1"/>
  <rowBreaks count="2" manualBreakCount="2">
    <brk id="67" max="11" man="1"/>
    <brk id="680" max="11" man="1"/>
  </rowBreaks>
  <colBreaks count="1" manualBreakCount="1">
    <brk id="12" max="999" man="1"/>
  </colBreaks>
  <ignoredErrors>
    <ignoredError sqref="A19:E50 H19:H32 Q18:Q34 T18:T32 A18:C18 E18" unlocked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4B350-8367-408D-8810-9D1E80761002}">
  <sheetPr codeName="Feuil12"/>
  <dimension ref="A1:Z766"/>
  <sheetViews>
    <sheetView showRowColHeaders="0" zoomScaleNormal="100" workbookViewId="0">
      <selection activeCell="S18" sqref="S18"/>
    </sheetView>
  </sheetViews>
  <sheetFormatPr baseColWidth="10" defaultColWidth="12.6328125" defaultRowHeight="15" customHeight="1"/>
  <cols>
    <col min="1" max="1" width="5.7265625" style="1028" customWidth="1"/>
    <col min="2" max="2" width="6.90625" style="1028" customWidth="1"/>
    <col min="3" max="3" width="7.7265625" style="1028" customWidth="1"/>
    <col min="4" max="4" width="9.08984375" style="1028" customWidth="1"/>
    <col min="5" max="5" width="7.90625" style="1028" customWidth="1"/>
    <col min="6" max="6" width="9.08984375" style="1028" customWidth="1"/>
    <col min="7" max="7" width="7.26953125" style="1028" customWidth="1"/>
    <col min="8" max="8" width="12.26953125" style="1028" customWidth="1"/>
    <col min="9" max="9" width="4.26953125" style="1028" customWidth="1"/>
    <col min="10" max="10" width="11.26953125" style="1028" customWidth="1"/>
    <col min="11" max="11" width="6" style="1028" customWidth="1"/>
    <col min="12" max="13" width="9.08984375" style="1028" hidden="1" customWidth="1"/>
    <col min="14" max="14" width="11.6328125" style="1028" hidden="1" customWidth="1"/>
    <col min="15" max="17" width="9.08984375" style="1028" hidden="1" customWidth="1"/>
    <col min="18" max="18" width="10" style="1028" hidden="1" customWidth="1"/>
    <col min="19" max="23" width="10" style="1028" customWidth="1"/>
    <col min="24" max="16384" width="12.6328125" style="1028"/>
  </cols>
  <sheetData>
    <row r="1" spans="1:26" ht="18.75" customHeight="1">
      <c r="A1" s="707"/>
      <c r="B1" s="707"/>
      <c r="C1" s="707"/>
      <c r="D1" s="707"/>
      <c r="E1" s="707"/>
      <c r="F1" s="707"/>
      <c r="G1" s="707"/>
      <c r="H1" s="707"/>
      <c r="I1" s="879"/>
      <c r="J1" s="879"/>
      <c r="K1" s="879"/>
      <c r="L1" s="879"/>
      <c r="M1" s="879"/>
      <c r="N1" s="879"/>
      <c r="O1" s="879"/>
      <c r="P1" s="879"/>
      <c r="Q1" s="879"/>
      <c r="R1" s="879"/>
      <c r="S1" s="879"/>
      <c r="T1" s="879"/>
      <c r="U1" s="879"/>
      <c r="V1" s="879"/>
      <c r="W1" s="879"/>
      <c r="X1" s="879"/>
      <c r="Y1" s="879"/>
      <c r="Z1" s="879"/>
    </row>
    <row r="2" spans="1:26" ht="12" customHeight="1">
      <c r="A2" s="692"/>
      <c r="B2" s="692"/>
      <c r="C2" s="692"/>
      <c r="D2" s="692"/>
      <c r="E2" s="881" t="s">
        <v>271</v>
      </c>
      <c r="F2" s="1959"/>
      <c r="G2" s="1918"/>
      <c r="H2" s="1891"/>
      <c r="I2" s="879"/>
      <c r="J2" s="879"/>
      <c r="K2" s="879"/>
      <c r="L2" s="879"/>
      <c r="M2" s="879"/>
      <c r="N2" s="879"/>
      <c r="O2" s="879"/>
      <c r="P2" s="879"/>
      <c r="Q2" s="879"/>
      <c r="R2" s="879"/>
      <c r="S2" s="879"/>
      <c r="T2" s="879"/>
      <c r="U2" s="879"/>
      <c r="V2" s="879"/>
      <c r="W2" s="879"/>
      <c r="X2" s="879"/>
      <c r="Y2" s="879"/>
      <c r="Z2" s="879"/>
    </row>
    <row r="3" spans="1:26" ht="12" customHeight="1">
      <c r="A3" s="692"/>
      <c r="B3" s="692"/>
      <c r="C3" s="692"/>
      <c r="D3" s="692"/>
      <c r="E3" s="882" t="s">
        <v>272</v>
      </c>
      <c r="F3" s="1892" t="s">
        <v>557</v>
      </c>
      <c r="G3" s="1919"/>
      <c r="H3" s="1893"/>
      <c r="I3" s="879"/>
      <c r="J3" s="879"/>
      <c r="K3" s="879"/>
      <c r="L3" s="879"/>
      <c r="M3" s="879"/>
      <c r="N3" s="879"/>
      <c r="O3" s="879"/>
      <c r="P3" s="879"/>
      <c r="Q3" s="879"/>
      <c r="R3" s="879"/>
      <c r="S3" s="879"/>
      <c r="T3" s="879"/>
      <c r="U3" s="879"/>
      <c r="V3" s="879"/>
      <c r="W3" s="879"/>
      <c r="X3" s="879"/>
      <c r="Y3" s="879"/>
      <c r="Z3" s="879"/>
    </row>
    <row r="4" spans="1:26" ht="12" customHeight="1">
      <c r="A4" s="692"/>
      <c r="B4" s="692"/>
      <c r="C4" s="692"/>
      <c r="D4" s="692"/>
      <c r="E4" s="882" t="s">
        <v>39</v>
      </c>
      <c r="F4" s="1892"/>
      <c r="G4" s="1919"/>
      <c r="H4" s="1893"/>
      <c r="I4" s="879"/>
      <c r="J4" s="879"/>
      <c r="K4" s="879"/>
      <c r="L4" s="879"/>
      <c r="M4" s="879"/>
      <c r="N4" s="879"/>
      <c r="O4" s="879"/>
      <c r="P4" s="879"/>
      <c r="Q4" s="879"/>
      <c r="R4" s="879"/>
      <c r="S4" s="879"/>
      <c r="T4" s="879"/>
      <c r="U4" s="879"/>
      <c r="V4" s="879"/>
      <c r="W4" s="879"/>
      <c r="X4" s="879"/>
      <c r="Y4" s="879"/>
      <c r="Z4" s="879"/>
    </row>
    <row r="5" spans="1:26" ht="12" customHeight="1">
      <c r="A5" s="692"/>
      <c r="B5" s="692"/>
      <c r="C5" s="692"/>
      <c r="D5" s="692"/>
      <c r="E5" s="882" t="s">
        <v>273</v>
      </c>
      <c r="F5" s="1920">
        <v>44414</v>
      </c>
      <c r="G5" s="1919"/>
      <c r="H5" s="1893"/>
      <c r="I5" s="879"/>
      <c r="J5" s="879"/>
      <c r="K5" s="879"/>
      <c r="L5" s="879"/>
      <c r="M5" s="879"/>
      <c r="N5" s="879"/>
      <c r="O5" s="879"/>
      <c r="P5" s="879"/>
      <c r="Q5" s="879"/>
      <c r="R5" s="879"/>
      <c r="S5" s="879"/>
      <c r="T5" s="879"/>
      <c r="U5" s="879"/>
      <c r="V5" s="879"/>
      <c r="W5" s="879"/>
      <c r="X5" s="879"/>
      <c r="Y5" s="879"/>
      <c r="Z5" s="879"/>
    </row>
    <row r="6" spans="1:26" ht="12" customHeight="1">
      <c r="A6" s="854"/>
      <c r="B6" s="854"/>
      <c r="C6" s="854"/>
      <c r="D6" s="854"/>
      <c r="E6" s="883" t="s">
        <v>37</v>
      </c>
      <c r="F6" s="1895" t="s">
        <v>551</v>
      </c>
      <c r="G6" s="1921"/>
      <c r="H6" s="1896"/>
      <c r="I6" s="879"/>
      <c r="J6" s="879"/>
      <c r="K6" s="879"/>
      <c r="L6" s="879"/>
      <c r="M6" s="879"/>
      <c r="N6" s="879"/>
      <c r="O6" s="879"/>
      <c r="P6" s="879"/>
      <c r="Q6" s="879"/>
      <c r="R6" s="879"/>
      <c r="S6" s="879"/>
      <c r="T6" s="879"/>
      <c r="U6" s="879"/>
      <c r="V6" s="879"/>
      <c r="W6" s="879"/>
      <c r="X6" s="879"/>
      <c r="Y6" s="879"/>
      <c r="Z6" s="879"/>
    </row>
    <row r="7" spans="1:26" ht="12.75" customHeight="1">
      <c r="A7" s="854"/>
      <c r="B7" s="885" t="s">
        <v>277</v>
      </c>
      <c r="C7" s="922" t="s">
        <v>278</v>
      </c>
      <c r="D7" s="854"/>
      <c r="E7" s="705"/>
      <c r="F7" s="692"/>
      <c r="I7" s="879"/>
      <c r="J7" s="879"/>
      <c r="K7" s="879"/>
      <c r="L7" s="879"/>
      <c r="M7" s="879"/>
      <c r="N7" s="879"/>
      <c r="O7" s="879"/>
      <c r="P7" s="879"/>
      <c r="Q7" s="879"/>
      <c r="R7" s="879"/>
      <c r="S7" s="879"/>
      <c r="T7" s="879"/>
      <c r="U7" s="879"/>
      <c r="V7" s="879"/>
      <c r="W7" s="879"/>
      <c r="X7" s="879"/>
      <c r="Y7" s="879"/>
      <c r="Z7" s="879"/>
    </row>
    <row r="8" spans="1:26" ht="15.75" customHeight="1">
      <c r="A8" s="707"/>
      <c r="B8" s="884"/>
      <c r="C8" s="884"/>
      <c r="D8" s="884"/>
      <c r="E8" s="884"/>
      <c r="F8" s="884"/>
      <c r="I8" s="879"/>
      <c r="J8" s="879"/>
      <c r="K8" s="879"/>
      <c r="L8" s="879"/>
      <c r="M8" s="879"/>
      <c r="N8" s="879"/>
      <c r="O8" s="879"/>
      <c r="P8" s="879"/>
      <c r="Q8" s="879"/>
      <c r="R8" s="879"/>
      <c r="S8" s="879"/>
      <c r="T8" s="879"/>
      <c r="U8" s="879"/>
      <c r="V8" s="879"/>
      <c r="W8" s="879"/>
      <c r="X8" s="879"/>
      <c r="Y8" s="879"/>
      <c r="Z8" s="879"/>
    </row>
    <row r="9" spans="1:26" ht="12.75" customHeight="1">
      <c r="A9" s="692"/>
      <c r="B9" s="692"/>
      <c r="C9" s="692"/>
      <c r="D9" s="692"/>
      <c r="E9" s="705"/>
      <c r="F9" s="692"/>
      <c r="I9" s="879"/>
      <c r="J9" s="879"/>
      <c r="K9" s="879"/>
      <c r="L9" s="879"/>
      <c r="M9" s="879"/>
      <c r="N9" s="879"/>
      <c r="O9" s="879"/>
      <c r="P9" s="879"/>
      <c r="Q9" s="879"/>
      <c r="R9" s="879"/>
      <c r="S9" s="879"/>
      <c r="T9" s="879"/>
      <c r="U9" s="879"/>
      <c r="V9" s="879"/>
      <c r="W9" s="879"/>
      <c r="X9" s="879"/>
      <c r="Y9" s="879"/>
      <c r="Z9" s="879"/>
    </row>
    <row r="10" spans="1:26" ht="12.75" customHeight="1">
      <c r="A10" s="705" t="s">
        <v>275</v>
      </c>
      <c r="B10" s="705" t="s">
        <v>276</v>
      </c>
      <c r="C10" s="921">
        <v>15</v>
      </c>
      <c r="D10" s="705" t="s">
        <v>279</v>
      </c>
      <c r="E10" s="704" t="s">
        <v>552</v>
      </c>
      <c r="F10" s="707"/>
      <c r="G10" s="705" t="s">
        <v>554</v>
      </c>
      <c r="H10" s="923">
        <v>1.8399000000000001</v>
      </c>
      <c r="I10" s="879"/>
      <c r="J10" s="879"/>
      <c r="K10" s="879"/>
      <c r="L10" s="879"/>
      <c r="M10" s="879"/>
      <c r="N10" s="879"/>
      <c r="O10" s="879"/>
      <c r="P10" s="879"/>
      <c r="Q10" s="879"/>
      <c r="R10" s="879"/>
      <c r="S10" s="879"/>
      <c r="T10" s="879"/>
      <c r="U10" s="879"/>
      <c r="V10" s="879"/>
      <c r="W10" s="879"/>
      <c r="X10" s="879"/>
      <c r="Y10" s="879"/>
      <c r="Z10" s="879"/>
    </row>
    <row r="11" spans="1:26" ht="12.75" customHeight="1">
      <c r="A11" s="705"/>
      <c r="B11" s="705" t="s">
        <v>282</v>
      </c>
      <c r="C11" s="921">
        <v>15</v>
      </c>
      <c r="D11" s="705" t="s">
        <v>283</v>
      </c>
      <c r="E11" s="704" t="s">
        <v>131</v>
      </c>
      <c r="F11" s="707"/>
      <c r="G11" s="705" t="s">
        <v>555</v>
      </c>
      <c r="H11" s="751">
        <v>15</v>
      </c>
      <c r="I11" s="879"/>
      <c r="J11" s="879"/>
      <c r="K11" s="879"/>
      <c r="L11" s="879"/>
      <c r="M11" s="879"/>
      <c r="N11" s="879"/>
      <c r="O11" s="879"/>
      <c r="P11" s="879"/>
      <c r="Q11" s="879"/>
      <c r="R11" s="879"/>
      <c r="S11" s="879"/>
      <c r="T11" s="879"/>
      <c r="U11" s="879"/>
      <c r="V11" s="879"/>
      <c r="W11" s="879"/>
      <c r="X11" s="879"/>
      <c r="Y11" s="879"/>
      <c r="Z11" s="879"/>
    </row>
    <row r="12" spans="1:26" ht="12.75" customHeight="1">
      <c r="A12" s="705" t="s">
        <v>285</v>
      </c>
      <c r="B12" s="887"/>
      <c r="C12" s="921">
        <f>+C11-C10</f>
        <v>0</v>
      </c>
      <c r="D12" s="705" t="s">
        <v>553</v>
      </c>
      <c r="E12" s="704">
        <v>6</v>
      </c>
      <c r="F12" s="707"/>
      <c r="G12" s="705" t="s">
        <v>556</v>
      </c>
      <c r="H12" s="751">
        <v>1E-3</v>
      </c>
      <c r="I12" s="879"/>
      <c r="J12" s="879"/>
      <c r="K12" s="879"/>
      <c r="L12" s="879"/>
      <c r="M12" s="879"/>
      <c r="N12" s="879"/>
      <c r="O12" s="879"/>
      <c r="P12" s="879"/>
      <c r="Q12" s="879"/>
      <c r="R12" s="879"/>
      <c r="S12" s="879"/>
      <c r="T12" s="879"/>
      <c r="U12" s="879"/>
      <c r="V12" s="879"/>
      <c r="W12" s="879"/>
      <c r="X12" s="879"/>
      <c r="Y12" s="879"/>
      <c r="Z12" s="879"/>
    </row>
    <row r="13" spans="1:26" ht="12.75" customHeight="1">
      <c r="A13" s="692"/>
      <c r="B13" s="692"/>
      <c r="C13" s="692"/>
      <c r="D13" s="705"/>
      <c r="E13" s="707"/>
      <c r="F13" s="692"/>
      <c r="G13" s="707"/>
      <c r="H13" s="707"/>
      <c r="I13" s="879"/>
      <c r="J13" s="879"/>
      <c r="K13" s="879"/>
      <c r="L13" s="879"/>
      <c r="M13" s="879"/>
      <c r="N13" s="879"/>
      <c r="O13" s="879"/>
      <c r="P13" s="879"/>
      <c r="Q13" s="879"/>
      <c r="R13" s="879"/>
      <c r="S13" s="879"/>
      <c r="T13" s="879"/>
      <c r="U13" s="879"/>
      <c r="V13" s="879"/>
      <c r="W13" s="879"/>
      <c r="X13" s="879"/>
      <c r="Y13" s="879"/>
      <c r="Z13" s="879"/>
    </row>
    <row r="14" spans="1:26" ht="12.75" customHeight="1">
      <c r="A14" s="1955" t="s">
        <v>288</v>
      </c>
      <c r="B14" s="1957" t="s">
        <v>289</v>
      </c>
      <c r="C14" s="1952"/>
      <c r="D14" s="1903"/>
      <c r="E14" s="1955" t="s">
        <v>291</v>
      </c>
      <c r="F14" s="889" t="s">
        <v>292</v>
      </c>
      <c r="G14" s="1958" t="s">
        <v>562</v>
      </c>
      <c r="H14" s="890" t="s">
        <v>294</v>
      </c>
      <c r="I14" s="879"/>
      <c r="J14" s="879"/>
      <c r="K14" s="879"/>
      <c r="L14" s="879"/>
      <c r="M14" s="879"/>
      <c r="N14" s="879"/>
      <c r="O14" s="879"/>
      <c r="P14" s="879"/>
      <c r="Q14" s="879"/>
      <c r="R14" s="879"/>
      <c r="S14" s="879"/>
      <c r="T14" s="879"/>
      <c r="U14" s="879"/>
      <c r="V14" s="879"/>
      <c r="W14" s="879"/>
      <c r="X14" s="879"/>
      <c r="Y14" s="879"/>
      <c r="Z14" s="879"/>
    </row>
    <row r="15" spans="1:26" ht="11.25" customHeight="1">
      <c r="A15" s="1956"/>
      <c r="B15" s="889" t="s">
        <v>295</v>
      </c>
      <c r="C15" s="1031" t="s">
        <v>296</v>
      </c>
      <c r="D15" s="1946" t="str">
        <f>"VOLUME"</f>
        <v>VOLUME</v>
      </c>
      <c r="E15" s="1956"/>
      <c r="F15" s="892" t="s">
        <v>297</v>
      </c>
      <c r="G15" s="1908"/>
      <c r="H15" s="893" t="s">
        <v>298</v>
      </c>
      <c r="I15" s="879"/>
      <c r="J15" s="879"/>
      <c r="K15" s="879"/>
      <c r="L15" s="879"/>
      <c r="M15" s="879"/>
      <c r="N15" s="879"/>
      <c r="O15" s="879"/>
      <c r="P15" s="879"/>
      <c r="Q15" s="879"/>
      <c r="R15" s="879"/>
      <c r="S15" s="879"/>
      <c r="T15" s="879"/>
      <c r="U15" s="879"/>
      <c r="V15" s="879"/>
      <c r="W15" s="879"/>
      <c r="X15" s="879"/>
      <c r="Y15" s="879"/>
      <c r="Z15" s="879"/>
    </row>
    <row r="16" spans="1:26" ht="11.25" customHeight="1">
      <c r="A16" s="1947"/>
      <c r="B16" s="894" t="s">
        <v>299</v>
      </c>
      <c r="C16" s="895" t="s">
        <v>300</v>
      </c>
      <c r="D16" s="1947"/>
      <c r="E16" s="896" t="s">
        <v>319</v>
      </c>
      <c r="F16" s="897"/>
      <c r="G16" s="1912"/>
      <c r="H16" s="898"/>
      <c r="I16" s="879"/>
      <c r="J16" s="879"/>
      <c r="K16" s="879"/>
      <c r="L16" s="879"/>
      <c r="M16" s="879"/>
      <c r="N16" s="879"/>
      <c r="O16" s="879"/>
      <c r="P16" s="879"/>
      <c r="Q16" s="879"/>
      <c r="R16" s="879"/>
      <c r="S16" s="879"/>
      <c r="T16" s="879"/>
      <c r="U16" s="879"/>
      <c r="V16" s="879"/>
      <c r="W16" s="879"/>
      <c r="X16" s="879"/>
      <c r="Y16" s="879"/>
      <c r="Z16" s="879"/>
    </row>
    <row r="17" spans="1:26" ht="12.75" customHeight="1">
      <c r="A17" s="924"/>
      <c r="B17" s="925"/>
      <c r="C17" s="926"/>
      <c r="D17" s="927"/>
      <c r="E17" s="755"/>
      <c r="F17" s="899"/>
      <c r="G17" s="1018" t="str">
        <f>IF(A17="","",[5]!T54A($H$10,P17))</f>
        <v/>
      </c>
      <c r="H17" s="1019" t="str">
        <f t="shared" ref="H17:H38" si="0">IF(A17="","",ROUND(PRODUCT(F17:G17), ))</f>
        <v/>
      </c>
      <c r="I17" s="879"/>
      <c r="J17" s="879"/>
      <c r="K17" s="879"/>
      <c r="L17" s="1022" t="s">
        <v>302</v>
      </c>
      <c r="M17" s="1022" t="s">
        <v>303</v>
      </c>
      <c r="N17" s="1022" t="s">
        <v>304</v>
      </c>
      <c r="O17" s="879"/>
      <c r="P17" s="1022" t="s">
        <v>305</v>
      </c>
      <c r="Q17" s="1022" t="s">
        <v>306</v>
      </c>
      <c r="R17" s="879"/>
      <c r="S17" s="879"/>
      <c r="T17" s="879"/>
      <c r="U17" s="879"/>
      <c r="V17" s="879"/>
      <c r="W17" s="879"/>
      <c r="X17" s="879"/>
      <c r="Y17" s="879"/>
      <c r="Z17" s="879"/>
    </row>
    <row r="18" spans="1:26" ht="12.75" customHeight="1">
      <c r="A18" s="768" t="s">
        <v>307</v>
      </c>
      <c r="B18" s="1038">
        <v>6.0149999999999997</v>
      </c>
      <c r="C18" s="1039">
        <f t="shared" ref="C18:C29" si="1">+B18</f>
        <v>6.0149999999999997</v>
      </c>
      <c r="D18" s="931">
        <f t="shared" ref="D18:D29" si="2">N18</f>
        <v>64763.657646000007</v>
      </c>
      <c r="E18" s="948">
        <v>22</v>
      </c>
      <c r="F18" s="899">
        <v>1253.049</v>
      </c>
      <c r="G18" s="1045">
        <f t="shared" ref="G18:G37" si="3">IF(A18="","",ABS((($H$11-E18)*$H$12)+$H$10))</f>
        <v>1.8329000000000002</v>
      </c>
      <c r="H18" s="1021">
        <f t="shared" si="0"/>
        <v>2297</v>
      </c>
      <c r="I18" s="879"/>
      <c r="J18" s="879"/>
      <c r="K18" s="879"/>
      <c r="L18" s="1022" t="s">
        <v>307</v>
      </c>
      <c r="M18" s="1022">
        <v>10296.6</v>
      </c>
      <c r="N18" s="1023">
        <f t="shared" ref="N18:N31" si="4">+M18*6.28981</f>
        <v>64763.657646000007</v>
      </c>
      <c r="O18" s="879"/>
      <c r="P18" s="1022">
        <v>29.9</v>
      </c>
      <c r="Q18" s="1024">
        <f t="shared" ref="Q18:Q31" si="5">(P18*1.8)+32</f>
        <v>85.82</v>
      </c>
      <c r="R18" s="879"/>
      <c r="S18" s="879"/>
      <c r="T18" s="879"/>
      <c r="U18" s="879"/>
      <c r="V18" s="879"/>
      <c r="W18" s="879"/>
      <c r="X18" s="879"/>
      <c r="Y18" s="879"/>
      <c r="Z18" s="879"/>
    </row>
    <row r="19" spans="1:26" ht="12.75" customHeight="1">
      <c r="A19" s="768" t="s">
        <v>309</v>
      </c>
      <c r="B19" s="1038">
        <v>6.0140000000000002</v>
      </c>
      <c r="C19" s="1039">
        <f t="shared" si="1"/>
        <v>6.0140000000000002</v>
      </c>
      <c r="D19" s="931">
        <f t="shared" si="2"/>
        <v>64643.522275000003</v>
      </c>
      <c r="E19" s="948">
        <v>22</v>
      </c>
      <c r="F19" s="899">
        <v>1246.317</v>
      </c>
      <c r="G19" s="1045">
        <f t="shared" si="3"/>
        <v>1.8329000000000002</v>
      </c>
      <c r="H19" s="1021">
        <f t="shared" si="0"/>
        <v>2284</v>
      </c>
      <c r="I19" s="879"/>
      <c r="J19" s="879"/>
      <c r="K19" s="879"/>
      <c r="L19" s="1022" t="s">
        <v>309</v>
      </c>
      <c r="M19" s="1022">
        <v>10277.5</v>
      </c>
      <c r="N19" s="1023">
        <f t="shared" si="4"/>
        <v>64643.522275000003</v>
      </c>
      <c r="O19" s="879"/>
      <c r="P19" s="1022">
        <v>29.9</v>
      </c>
      <c r="Q19" s="1024">
        <f t="shared" si="5"/>
        <v>85.82</v>
      </c>
      <c r="R19" s="879"/>
      <c r="S19" s="879"/>
      <c r="T19" s="879"/>
      <c r="U19" s="879"/>
      <c r="V19" s="879"/>
      <c r="W19" s="879"/>
      <c r="X19" s="879"/>
      <c r="Y19" s="879"/>
      <c r="Z19" s="879"/>
    </row>
    <row r="20" spans="1:26" ht="12.75" customHeight="1">
      <c r="A20" s="768" t="s">
        <v>310</v>
      </c>
      <c r="B20" s="1038">
        <v>6.1020000000000003</v>
      </c>
      <c r="C20" s="1039">
        <f t="shared" si="1"/>
        <v>6.1020000000000003</v>
      </c>
      <c r="D20" s="931">
        <f t="shared" si="2"/>
        <v>84096.017662000013</v>
      </c>
      <c r="E20" s="948">
        <v>21</v>
      </c>
      <c r="F20" s="899">
        <v>1421.558</v>
      </c>
      <c r="G20" s="1045">
        <f t="shared" si="3"/>
        <v>1.8339000000000001</v>
      </c>
      <c r="H20" s="1021">
        <f t="shared" si="0"/>
        <v>2607</v>
      </c>
      <c r="I20" s="879"/>
      <c r="J20" s="879"/>
      <c r="K20" s="879"/>
      <c r="L20" s="1022" t="s">
        <v>310</v>
      </c>
      <c r="M20" s="1022">
        <v>13370.2</v>
      </c>
      <c r="N20" s="1023">
        <f t="shared" si="4"/>
        <v>84096.017662000013</v>
      </c>
      <c r="O20" s="879"/>
      <c r="P20" s="1022">
        <v>30.2</v>
      </c>
      <c r="Q20" s="1024">
        <f t="shared" si="5"/>
        <v>86.36</v>
      </c>
      <c r="R20" s="879"/>
      <c r="S20" s="879"/>
      <c r="T20" s="879"/>
      <c r="U20" s="879"/>
      <c r="V20" s="879"/>
      <c r="W20" s="879"/>
      <c r="X20" s="879"/>
      <c r="Y20" s="879"/>
      <c r="Z20" s="879"/>
    </row>
    <row r="21" spans="1:26" ht="12.75" customHeight="1">
      <c r="A21" s="768" t="s">
        <v>311</v>
      </c>
      <c r="B21" s="1038">
        <v>6.1</v>
      </c>
      <c r="C21" s="1039">
        <f t="shared" si="1"/>
        <v>6.1</v>
      </c>
      <c r="D21" s="931">
        <f t="shared" si="2"/>
        <v>84028.716694999996</v>
      </c>
      <c r="E21" s="948">
        <v>15</v>
      </c>
      <c r="F21" s="899">
        <v>1422.2090000000001</v>
      </c>
      <c r="G21" s="1045">
        <f t="shared" si="3"/>
        <v>1.8399000000000001</v>
      </c>
      <c r="H21" s="1021">
        <f t="shared" si="0"/>
        <v>2617</v>
      </c>
      <c r="I21" s="879"/>
      <c r="J21" s="879"/>
      <c r="K21" s="879"/>
      <c r="L21" s="1022" t="s">
        <v>311</v>
      </c>
      <c r="M21" s="1022">
        <v>13359.5</v>
      </c>
      <c r="N21" s="1023">
        <f t="shared" si="4"/>
        <v>84028.716694999996</v>
      </c>
      <c r="O21" s="879"/>
      <c r="P21" s="1022">
        <v>30.1</v>
      </c>
      <c r="Q21" s="1024">
        <f t="shared" si="5"/>
        <v>86.18</v>
      </c>
      <c r="R21" s="879"/>
      <c r="S21" s="879"/>
      <c r="T21" s="879"/>
      <c r="U21" s="879"/>
      <c r="V21" s="879"/>
      <c r="W21" s="879"/>
      <c r="X21" s="879"/>
      <c r="Y21" s="879"/>
      <c r="Z21" s="879"/>
    </row>
    <row r="22" spans="1:26" ht="12.75" customHeight="1">
      <c r="A22" s="768" t="s">
        <v>312</v>
      </c>
      <c r="B22" s="1038">
        <v>6.0949999999999998</v>
      </c>
      <c r="C22" s="1039">
        <f t="shared" si="1"/>
        <v>6.0949999999999998</v>
      </c>
      <c r="D22" s="931">
        <f t="shared" si="2"/>
        <v>84521.837799000001</v>
      </c>
      <c r="E22" s="948">
        <v>18</v>
      </c>
      <c r="F22" s="899">
        <v>1482.73</v>
      </c>
      <c r="G22" s="1045">
        <f t="shared" si="3"/>
        <v>1.8369000000000002</v>
      </c>
      <c r="H22" s="1021">
        <f t="shared" si="0"/>
        <v>2724</v>
      </c>
      <c r="I22" s="879"/>
      <c r="J22" s="879"/>
      <c r="K22" s="879"/>
      <c r="L22" s="1022" t="s">
        <v>312</v>
      </c>
      <c r="M22" s="1022">
        <v>13437.9</v>
      </c>
      <c r="N22" s="1023">
        <f t="shared" si="4"/>
        <v>84521.837799000001</v>
      </c>
      <c r="O22" s="879"/>
      <c r="P22" s="1022">
        <v>30.2</v>
      </c>
      <c r="Q22" s="1024">
        <f t="shared" si="5"/>
        <v>86.36</v>
      </c>
      <c r="R22" s="879"/>
      <c r="S22" s="879"/>
      <c r="T22" s="879"/>
      <c r="U22" s="879"/>
      <c r="V22" s="879"/>
      <c r="W22" s="879"/>
      <c r="X22" s="879"/>
      <c r="Y22" s="879"/>
      <c r="Z22" s="879"/>
    </row>
    <row r="23" spans="1:26" ht="12.75" customHeight="1">
      <c r="A23" s="768" t="s">
        <v>313</v>
      </c>
      <c r="B23" s="1038">
        <v>6.0620000000000003</v>
      </c>
      <c r="C23" s="1039">
        <f t="shared" si="1"/>
        <v>6.0620000000000003</v>
      </c>
      <c r="D23" s="931">
        <f t="shared" si="2"/>
        <v>84368.995416000005</v>
      </c>
      <c r="E23" s="948">
        <v>19</v>
      </c>
      <c r="F23" s="899">
        <v>1490.1189999999999</v>
      </c>
      <c r="G23" s="1045">
        <f t="shared" si="3"/>
        <v>1.8359000000000001</v>
      </c>
      <c r="H23" s="1021">
        <f t="shared" si="0"/>
        <v>2736</v>
      </c>
      <c r="I23" s="879"/>
      <c r="J23" s="879"/>
      <c r="K23" s="879"/>
      <c r="L23" s="1022" t="s">
        <v>313</v>
      </c>
      <c r="M23" s="1024">
        <v>13413.6</v>
      </c>
      <c r="N23" s="1023">
        <f t="shared" si="4"/>
        <v>84368.995416000005</v>
      </c>
      <c r="O23" s="879"/>
      <c r="P23" s="1022">
        <v>30.2</v>
      </c>
      <c r="Q23" s="1024">
        <f t="shared" si="5"/>
        <v>86.36</v>
      </c>
      <c r="R23" s="879"/>
      <c r="S23" s="879"/>
      <c r="T23" s="879"/>
      <c r="U23" s="879"/>
      <c r="V23" s="879"/>
      <c r="W23" s="879"/>
      <c r="X23" s="879"/>
      <c r="Y23" s="879"/>
      <c r="Z23" s="879"/>
    </row>
    <row r="24" spans="1:26" ht="12.75" customHeight="1">
      <c r="A24" s="768" t="s">
        <v>316</v>
      </c>
      <c r="B24" s="1038">
        <v>6.1050000000000004</v>
      </c>
      <c r="C24" s="1039">
        <f t="shared" si="1"/>
        <v>6.1050000000000004</v>
      </c>
      <c r="D24" s="931">
        <f t="shared" si="2"/>
        <v>78540.228489000001</v>
      </c>
      <c r="E24" s="948">
        <v>17</v>
      </c>
      <c r="F24" s="899">
        <v>1786.482</v>
      </c>
      <c r="G24" s="1045">
        <f t="shared" si="3"/>
        <v>1.8379000000000001</v>
      </c>
      <c r="H24" s="1021">
        <f t="shared" si="0"/>
        <v>3283</v>
      </c>
      <c r="I24" s="879"/>
      <c r="J24" s="879"/>
      <c r="K24" s="879"/>
      <c r="L24" s="1022" t="s">
        <v>314</v>
      </c>
      <c r="M24" s="1022">
        <v>12486.9</v>
      </c>
      <c r="N24" s="1023">
        <f t="shared" si="4"/>
        <v>78540.228489000001</v>
      </c>
      <c r="O24" s="879"/>
      <c r="P24" s="1022">
        <v>30.2</v>
      </c>
      <c r="Q24" s="1024">
        <f t="shared" si="5"/>
        <v>86.36</v>
      </c>
      <c r="R24" s="879"/>
      <c r="S24" s="879"/>
      <c r="T24" s="879"/>
      <c r="U24" s="879"/>
      <c r="V24" s="879"/>
      <c r="W24" s="879"/>
      <c r="X24" s="879"/>
      <c r="Y24" s="879"/>
      <c r="Z24" s="879"/>
    </row>
    <row r="25" spans="1:26" ht="12.75" customHeight="1">
      <c r="A25" s="768" t="s">
        <v>317</v>
      </c>
      <c r="B25" s="1038">
        <v>6.1050000000000004</v>
      </c>
      <c r="C25" s="1039">
        <f t="shared" si="1"/>
        <v>6.1050000000000004</v>
      </c>
      <c r="D25" s="931">
        <f t="shared" si="2"/>
        <v>83450.683155999999</v>
      </c>
      <c r="E25" s="948">
        <v>19</v>
      </c>
      <c r="F25" s="899">
        <v>1782.2660000000001</v>
      </c>
      <c r="G25" s="1045">
        <f t="shared" si="3"/>
        <v>1.8359000000000001</v>
      </c>
      <c r="H25" s="1021">
        <f t="shared" si="0"/>
        <v>3272</v>
      </c>
      <c r="I25" s="879"/>
      <c r="J25" s="879"/>
      <c r="K25" s="879"/>
      <c r="L25" s="1022" t="s">
        <v>315</v>
      </c>
      <c r="M25" s="1024">
        <v>13267.6</v>
      </c>
      <c r="N25" s="1023">
        <f t="shared" si="4"/>
        <v>83450.683155999999</v>
      </c>
      <c r="O25" s="879"/>
      <c r="P25" s="1022">
        <v>30.2</v>
      </c>
      <c r="Q25" s="1024">
        <f t="shared" si="5"/>
        <v>86.36</v>
      </c>
      <c r="R25" s="879"/>
      <c r="S25" s="879"/>
      <c r="T25" s="879"/>
      <c r="U25" s="879"/>
      <c r="V25" s="879"/>
      <c r="W25" s="879"/>
      <c r="X25" s="879"/>
      <c r="Y25" s="879"/>
      <c r="Z25" s="879"/>
    </row>
    <row r="26" spans="1:26" ht="12.75" customHeight="1">
      <c r="A26" s="768" t="s">
        <v>558</v>
      </c>
      <c r="B26" s="1038">
        <v>5.59</v>
      </c>
      <c r="C26" s="1039">
        <f t="shared" si="1"/>
        <v>5.59</v>
      </c>
      <c r="D26" s="931">
        <f t="shared" si="2"/>
        <v>82718.549272000004</v>
      </c>
      <c r="E26" s="948">
        <v>19</v>
      </c>
      <c r="F26" s="899">
        <v>1759.67</v>
      </c>
      <c r="G26" s="1045">
        <f t="shared" si="3"/>
        <v>1.8359000000000001</v>
      </c>
      <c r="H26" s="1021">
        <f t="shared" si="0"/>
        <v>3231</v>
      </c>
      <c r="I26" s="879"/>
      <c r="J26" s="879"/>
      <c r="K26" s="879"/>
      <c r="L26" s="1022" t="s">
        <v>316</v>
      </c>
      <c r="M26" s="1022">
        <v>13151.2</v>
      </c>
      <c r="N26" s="1023">
        <f t="shared" si="4"/>
        <v>82718.549272000004</v>
      </c>
      <c r="O26" s="879"/>
      <c r="P26" s="1022">
        <v>30.3</v>
      </c>
      <c r="Q26" s="1024">
        <f t="shared" si="5"/>
        <v>86.539999999999992</v>
      </c>
      <c r="R26" s="879"/>
      <c r="S26" s="879"/>
      <c r="T26" s="879"/>
      <c r="U26" s="879"/>
      <c r="V26" s="879"/>
      <c r="W26" s="879"/>
      <c r="X26" s="879"/>
      <c r="Y26" s="879"/>
      <c r="Z26" s="879"/>
    </row>
    <row r="27" spans="1:26" ht="12.75" customHeight="1">
      <c r="A27" s="768" t="s">
        <v>559</v>
      </c>
      <c r="B27" s="1038">
        <v>5.51</v>
      </c>
      <c r="C27" s="1039">
        <f t="shared" si="1"/>
        <v>5.51</v>
      </c>
      <c r="D27" s="931">
        <f t="shared" si="2"/>
        <v>82609.735558999993</v>
      </c>
      <c r="E27" s="948">
        <v>19</v>
      </c>
      <c r="F27" s="899">
        <v>1776.318</v>
      </c>
      <c r="G27" s="1045">
        <f t="shared" si="3"/>
        <v>1.8359000000000001</v>
      </c>
      <c r="H27" s="1021">
        <f t="shared" si="0"/>
        <v>3261</v>
      </c>
      <c r="I27" s="879"/>
      <c r="J27" s="879"/>
      <c r="K27" s="879"/>
      <c r="L27" s="1022" t="s">
        <v>317</v>
      </c>
      <c r="M27" s="1022">
        <v>13133.9</v>
      </c>
      <c r="N27" s="1023">
        <f t="shared" si="4"/>
        <v>82609.735558999993</v>
      </c>
      <c r="O27" s="879"/>
      <c r="P27" s="1022">
        <v>30.2</v>
      </c>
      <c r="Q27" s="1024">
        <f t="shared" si="5"/>
        <v>86.36</v>
      </c>
      <c r="R27" s="879"/>
      <c r="S27" s="879"/>
      <c r="T27" s="879"/>
      <c r="U27" s="879"/>
      <c r="V27" s="879"/>
      <c r="W27" s="879"/>
      <c r="X27" s="879"/>
      <c r="Y27" s="879"/>
      <c r="Z27" s="879"/>
    </row>
    <row r="28" spans="1:26" ht="12.75" customHeight="1">
      <c r="A28" s="768" t="s">
        <v>560</v>
      </c>
      <c r="B28" s="1038">
        <v>4.75</v>
      </c>
      <c r="C28" s="1039">
        <f t="shared" si="1"/>
        <v>4.75</v>
      </c>
      <c r="D28" s="931">
        <f t="shared" si="2"/>
        <v>77082.879512</v>
      </c>
      <c r="E28" s="948">
        <v>19</v>
      </c>
      <c r="F28" s="899">
        <v>485.45600000000002</v>
      </c>
      <c r="G28" s="1045">
        <f t="shared" si="3"/>
        <v>1.8359000000000001</v>
      </c>
      <c r="H28" s="1021">
        <f t="shared" si="0"/>
        <v>891</v>
      </c>
      <c r="I28" s="879"/>
      <c r="J28" s="879"/>
      <c r="K28" s="879"/>
      <c r="L28" s="1022" t="s">
        <v>318</v>
      </c>
      <c r="M28" s="1022">
        <v>12255.2</v>
      </c>
      <c r="N28" s="1023">
        <f t="shared" si="4"/>
        <v>77082.879512</v>
      </c>
      <c r="O28" s="879"/>
      <c r="P28" s="1022">
        <v>30.6</v>
      </c>
      <c r="Q28" s="1024">
        <f t="shared" si="5"/>
        <v>87.080000000000013</v>
      </c>
      <c r="R28" s="879"/>
      <c r="S28" s="879"/>
      <c r="T28" s="879"/>
      <c r="U28" s="879"/>
      <c r="V28" s="879"/>
      <c r="W28" s="879"/>
      <c r="X28" s="879"/>
      <c r="Y28" s="879"/>
      <c r="Z28" s="879"/>
    </row>
    <row r="29" spans="1:26" ht="12.75" customHeight="1">
      <c r="A29" s="768" t="s">
        <v>561</v>
      </c>
      <c r="B29" s="1038">
        <v>4.5339999999999998</v>
      </c>
      <c r="C29" s="1039">
        <f t="shared" si="1"/>
        <v>4.5339999999999998</v>
      </c>
      <c r="D29" s="931">
        <f t="shared" si="2"/>
        <v>76994.822172</v>
      </c>
      <c r="E29" s="948">
        <v>19</v>
      </c>
      <c r="F29" s="899">
        <v>508.65199999999999</v>
      </c>
      <c r="G29" s="1045">
        <f t="shared" si="3"/>
        <v>1.8359000000000001</v>
      </c>
      <c r="H29" s="1021">
        <f t="shared" si="0"/>
        <v>934</v>
      </c>
      <c r="I29" s="879"/>
      <c r="J29" s="879"/>
      <c r="K29" s="879"/>
      <c r="L29" s="1022" t="s">
        <v>320</v>
      </c>
      <c r="M29" s="1022">
        <v>12241.2</v>
      </c>
      <c r="N29" s="1023">
        <f t="shared" si="4"/>
        <v>76994.822172</v>
      </c>
      <c r="O29" s="879"/>
      <c r="P29" s="1022">
        <v>30.6</v>
      </c>
      <c r="Q29" s="1024">
        <f t="shared" si="5"/>
        <v>87.080000000000013</v>
      </c>
      <c r="R29" s="879"/>
      <c r="S29" s="879"/>
      <c r="T29" s="879"/>
      <c r="U29" s="879"/>
      <c r="V29" s="879"/>
      <c r="W29" s="879"/>
      <c r="X29" s="879"/>
      <c r="Y29" s="879"/>
      <c r="Z29" s="879"/>
    </row>
    <row r="30" spans="1:26" ht="12.75" customHeight="1">
      <c r="A30" s="768"/>
      <c r="B30" s="1040"/>
      <c r="C30" s="1041"/>
      <c r="D30" s="931"/>
      <c r="E30" s="948"/>
      <c r="F30" s="900"/>
      <c r="G30" s="1045" t="str">
        <f t="shared" si="3"/>
        <v/>
      </c>
      <c r="H30" s="1021" t="str">
        <f t="shared" si="0"/>
        <v/>
      </c>
      <c r="I30" s="879"/>
      <c r="J30" s="879"/>
      <c r="K30" s="879"/>
      <c r="L30" s="1022" t="s">
        <v>321</v>
      </c>
      <c r="M30" s="1022">
        <v>1129.08</v>
      </c>
      <c r="N30" s="1023">
        <f t="shared" si="4"/>
        <v>7101.6986747999999</v>
      </c>
      <c r="O30" s="879"/>
      <c r="P30" s="1022">
        <v>32.299999999999997</v>
      </c>
      <c r="Q30" s="1024">
        <f t="shared" si="5"/>
        <v>90.139999999999986</v>
      </c>
      <c r="R30" s="879"/>
      <c r="S30" s="879"/>
      <c r="T30" s="879"/>
      <c r="U30" s="879"/>
      <c r="V30" s="879"/>
      <c r="W30" s="879"/>
      <c r="X30" s="879"/>
      <c r="Y30" s="879"/>
      <c r="Z30" s="879"/>
    </row>
    <row r="31" spans="1:26" ht="12.75" customHeight="1">
      <c r="A31" s="768"/>
      <c r="B31" s="1040"/>
      <c r="C31" s="1041"/>
      <c r="D31" s="931"/>
      <c r="E31" s="948"/>
      <c r="F31" s="900"/>
      <c r="G31" s="1045" t="str">
        <f t="shared" si="3"/>
        <v/>
      </c>
      <c r="H31" s="1021" t="str">
        <f t="shared" si="0"/>
        <v/>
      </c>
      <c r="I31" s="879"/>
      <c r="J31" s="879"/>
      <c r="K31" s="879"/>
      <c r="L31" s="1022" t="s">
        <v>322</v>
      </c>
      <c r="M31" s="1022">
        <v>1141.3499999999999</v>
      </c>
      <c r="N31" s="1023">
        <f t="shared" si="4"/>
        <v>7178.8746434999994</v>
      </c>
      <c r="O31" s="879"/>
      <c r="P31" s="1022">
        <v>31.2</v>
      </c>
      <c r="Q31" s="1024">
        <f t="shared" si="5"/>
        <v>88.16</v>
      </c>
      <c r="R31" s="879"/>
      <c r="S31" s="879"/>
      <c r="T31" s="879"/>
      <c r="U31" s="879"/>
      <c r="V31" s="879"/>
      <c r="W31" s="879"/>
      <c r="X31" s="879"/>
      <c r="Y31" s="879"/>
      <c r="Z31" s="879"/>
    </row>
    <row r="32" spans="1:26" ht="12.75" customHeight="1">
      <c r="A32" s="768"/>
      <c r="B32" s="1040"/>
      <c r="C32" s="1041"/>
      <c r="D32" s="932"/>
      <c r="E32" s="948"/>
      <c r="F32" s="900"/>
      <c r="G32" s="1045" t="str">
        <f t="shared" si="3"/>
        <v/>
      </c>
      <c r="H32" s="1021" t="str">
        <f t="shared" si="0"/>
        <v/>
      </c>
      <c r="I32" s="879"/>
      <c r="J32" s="879"/>
      <c r="K32" s="879"/>
      <c r="L32" s="879"/>
      <c r="M32" s="879"/>
      <c r="N32" s="879"/>
      <c r="O32" s="879"/>
      <c r="P32" s="879"/>
      <c r="Q32" s="879"/>
      <c r="R32" s="879"/>
      <c r="S32" s="879"/>
      <c r="T32" s="879"/>
      <c r="U32" s="879"/>
      <c r="V32" s="879"/>
      <c r="W32" s="879"/>
      <c r="X32" s="879"/>
      <c r="Y32" s="879"/>
      <c r="Z32" s="879"/>
    </row>
    <row r="33" spans="1:26" ht="12.75" customHeight="1">
      <c r="A33" s="933"/>
      <c r="B33" s="1042"/>
      <c r="C33" s="1043"/>
      <c r="D33" s="936"/>
      <c r="E33" s="951"/>
      <c r="F33" s="900"/>
      <c r="G33" s="1045" t="str">
        <f t="shared" si="3"/>
        <v/>
      </c>
      <c r="H33" s="1021" t="str">
        <f t="shared" si="0"/>
        <v/>
      </c>
      <c r="I33" s="879"/>
      <c r="J33" s="879"/>
      <c r="K33" s="879"/>
      <c r="L33" s="879"/>
      <c r="M33" s="879"/>
      <c r="N33" s="879"/>
      <c r="O33" s="879"/>
      <c r="P33" s="879"/>
      <c r="Q33" s="879"/>
      <c r="R33" s="879"/>
      <c r="S33" s="879"/>
      <c r="T33" s="879"/>
      <c r="U33" s="879"/>
      <c r="V33" s="879"/>
      <c r="W33" s="879"/>
      <c r="X33" s="879"/>
      <c r="Y33" s="879"/>
      <c r="Z33" s="879"/>
    </row>
    <row r="34" spans="1:26" ht="12.75" customHeight="1">
      <c r="A34" s="933"/>
      <c r="B34" s="1042"/>
      <c r="C34" s="1043"/>
      <c r="D34" s="936"/>
      <c r="E34" s="951"/>
      <c r="F34" s="901"/>
      <c r="G34" s="1045" t="str">
        <f t="shared" si="3"/>
        <v/>
      </c>
      <c r="H34" s="1021" t="str">
        <f t="shared" si="0"/>
        <v/>
      </c>
      <c r="I34" s="879"/>
      <c r="J34" s="879"/>
      <c r="K34" s="879"/>
      <c r="L34" s="879"/>
      <c r="M34" s="879"/>
      <c r="N34" s="879"/>
      <c r="O34" s="879"/>
      <c r="P34" s="879"/>
      <c r="Q34" s="879"/>
      <c r="R34" s="879"/>
      <c r="S34" s="879"/>
      <c r="T34" s="879"/>
      <c r="U34" s="879"/>
      <c r="V34" s="879"/>
      <c r="W34" s="879"/>
      <c r="X34" s="879"/>
      <c r="Y34" s="879"/>
      <c r="Z34" s="879"/>
    </row>
    <row r="35" spans="1:26" ht="12.75" customHeight="1">
      <c r="A35" s="933"/>
      <c r="B35" s="1040"/>
      <c r="C35" s="1044"/>
      <c r="D35" s="940"/>
      <c r="E35" s="951"/>
      <c r="F35" s="901"/>
      <c r="G35" s="1045" t="str">
        <f t="shared" si="3"/>
        <v/>
      </c>
      <c r="H35" s="1021" t="str">
        <f t="shared" si="0"/>
        <v/>
      </c>
      <c r="I35" s="879"/>
      <c r="J35" s="879"/>
      <c r="K35" s="879"/>
      <c r="L35" s="879"/>
      <c r="M35" s="879"/>
      <c r="N35" s="879"/>
      <c r="O35" s="879"/>
      <c r="P35" s="879"/>
      <c r="Q35" s="879"/>
      <c r="R35" s="879"/>
      <c r="S35" s="879"/>
      <c r="T35" s="879"/>
      <c r="U35" s="879"/>
      <c r="V35" s="879"/>
      <c r="W35" s="879"/>
      <c r="X35" s="879"/>
      <c r="Y35" s="879"/>
      <c r="Z35" s="879"/>
    </row>
    <row r="36" spans="1:26" ht="12.75" customHeight="1">
      <c r="A36" s="933"/>
      <c r="B36" s="1040"/>
      <c r="C36" s="1044"/>
      <c r="D36" s="940"/>
      <c r="E36" s="951"/>
      <c r="F36" s="901"/>
      <c r="G36" s="1045" t="str">
        <f t="shared" si="3"/>
        <v/>
      </c>
      <c r="H36" s="1021" t="str">
        <f t="shared" si="0"/>
        <v/>
      </c>
      <c r="I36" s="879"/>
      <c r="J36" s="879"/>
      <c r="K36" s="879"/>
      <c r="L36" s="879"/>
      <c r="M36" s="879"/>
      <c r="N36" s="879"/>
      <c r="O36" s="879"/>
      <c r="P36" s="879"/>
      <c r="Q36" s="879"/>
      <c r="R36" s="879"/>
      <c r="S36" s="879"/>
      <c r="T36" s="879"/>
      <c r="U36" s="879"/>
      <c r="V36" s="879"/>
      <c r="W36" s="879"/>
      <c r="X36" s="879"/>
      <c r="Y36" s="879"/>
      <c r="Z36" s="879"/>
    </row>
    <row r="37" spans="1:26" ht="12.75" customHeight="1">
      <c r="A37" s="933"/>
      <c r="B37" s="1040"/>
      <c r="C37" s="1044"/>
      <c r="D37" s="940"/>
      <c r="E37" s="951"/>
      <c r="F37" s="901"/>
      <c r="G37" s="1045" t="str">
        <f t="shared" si="3"/>
        <v/>
      </c>
      <c r="H37" s="1021" t="str">
        <f t="shared" si="0"/>
        <v/>
      </c>
      <c r="I37" s="879"/>
      <c r="J37" s="879"/>
      <c r="K37" s="879"/>
      <c r="L37" s="879"/>
      <c r="M37" s="879"/>
      <c r="N37" s="879"/>
      <c r="O37" s="879"/>
      <c r="P37" s="879"/>
      <c r="Q37" s="879"/>
      <c r="R37" s="879"/>
      <c r="S37" s="879"/>
      <c r="T37" s="879"/>
      <c r="U37" s="879"/>
      <c r="V37" s="879"/>
      <c r="W37" s="879"/>
      <c r="X37" s="879"/>
      <c r="Y37" s="879"/>
      <c r="Z37" s="879"/>
    </row>
    <row r="38" spans="1:26" ht="12.75" customHeight="1">
      <c r="A38" s="941"/>
      <c r="B38" s="942"/>
      <c r="C38" s="943"/>
      <c r="D38" s="944"/>
      <c r="E38" s="953"/>
      <c r="F38" s="902"/>
      <c r="G38" s="1020" t="str">
        <f>IF(A38="","",[5]!T54A($H$10,P38))</f>
        <v/>
      </c>
      <c r="H38" s="1021" t="str">
        <f t="shared" si="0"/>
        <v/>
      </c>
      <c r="I38" s="879"/>
      <c r="J38" s="879"/>
      <c r="K38" s="879"/>
      <c r="L38" s="879"/>
      <c r="M38" s="879"/>
      <c r="N38" s="879"/>
      <c r="O38" s="879"/>
      <c r="P38" s="879"/>
      <c r="Q38" s="879"/>
      <c r="R38" s="879"/>
      <c r="S38" s="879"/>
      <c r="T38" s="879"/>
      <c r="U38" s="879"/>
      <c r="V38" s="879"/>
      <c r="W38" s="879"/>
      <c r="X38" s="879"/>
      <c r="Y38" s="879"/>
      <c r="Z38" s="879"/>
    </row>
    <row r="39" spans="1:26" ht="12.75" customHeight="1">
      <c r="A39" s="1951" t="s">
        <v>324</v>
      </c>
      <c r="B39" s="1952"/>
      <c r="C39" s="1903"/>
      <c r="D39" s="903">
        <f>SUM(D17:D38)</f>
        <v>947819.64565299987</v>
      </c>
      <c r="E39" s="905"/>
      <c r="F39" s="906">
        <f>SUM(F17:F38)</f>
        <v>16414.825999999997</v>
      </c>
      <c r="G39" s="907"/>
      <c r="H39" s="903">
        <f>SUM(H17:H38)</f>
        <v>30137</v>
      </c>
      <c r="I39" s="879"/>
      <c r="J39" s="1025"/>
      <c r="K39" s="879"/>
      <c r="L39" s="879"/>
      <c r="M39" s="879"/>
      <c r="N39" s="879"/>
      <c r="O39" s="879"/>
      <c r="P39" s="879"/>
      <c r="Q39" s="879"/>
      <c r="R39" s="879"/>
      <c r="S39" s="879"/>
      <c r="T39" s="879"/>
      <c r="U39" s="879"/>
      <c r="V39" s="879"/>
      <c r="W39" s="879"/>
      <c r="X39" s="879"/>
      <c r="Y39" s="879"/>
      <c r="Z39" s="879"/>
    </row>
    <row r="40" spans="1:26" ht="12.75" customHeight="1">
      <c r="A40" s="692"/>
      <c r="B40" s="1030"/>
      <c r="C40" s="1030"/>
      <c r="D40" s="1029"/>
      <c r="E40" s="692"/>
      <c r="F40" s="692"/>
      <c r="G40" s="908"/>
      <c r="H40" s="908"/>
      <c r="I40" s="879"/>
      <c r="J40" s="879"/>
      <c r="K40" s="879"/>
      <c r="L40" s="879"/>
      <c r="M40" s="879"/>
      <c r="N40" s="879"/>
      <c r="O40" s="879"/>
      <c r="P40" s="879"/>
      <c r="Q40" s="879"/>
      <c r="R40" s="879"/>
      <c r="S40" s="879"/>
      <c r="T40" s="879"/>
      <c r="U40" s="879"/>
      <c r="V40" s="879"/>
      <c r="W40" s="879"/>
      <c r="X40" s="879"/>
      <c r="Y40" s="879"/>
      <c r="Z40" s="879"/>
    </row>
    <row r="41" spans="1:26" ht="12.75" customHeight="1">
      <c r="A41" s="692"/>
      <c r="B41" s="692"/>
      <c r="C41" s="1953"/>
      <c r="D41" s="1950"/>
      <c r="E41" s="1898"/>
      <c r="F41" s="1950"/>
      <c r="G41" s="1940"/>
      <c r="H41" s="692"/>
      <c r="I41" s="879"/>
      <c r="J41" s="879"/>
      <c r="K41" s="879"/>
      <c r="L41" s="879"/>
      <c r="M41" s="879"/>
      <c r="N41" s="879"/>
      <c r="O41" s="879"/>
      <c r="P41" s="879"/>
      <c r="Q41" s="879"/>
      <c r="R41" s="879"/>
      <c r="S41" s="879"/>
      <c r="T41" s="879"/>
      <c r="U41" s="879"/>
      <c r="V41" s="879"/>
      <c r="W41" s="879"/>
      <c r="X41" s="879"/>
      <c r="Y41" s="879"/>
      <c r="Z41" s="879"/>
    </row>
    <row r="42" spans="1:26" ht="12.75" customHeight="1">
      <c r="A42" s="909"/>
      <c r="B42" s="692"/>
      <c r="C42" s="1898"/>
      <c r="D42" s="1898"/>
      <c r="E42" s="1898"/>
      <c r="F42" s="1898"/>
      <c r="G42" s="1898"/>
      <c r="H42" s="692"/>
      <c r="I42" s="879"/>
      <c r="J42" s="879"/>
      <c r="K42" s="879"/>
      <c r="L42" s="879"/>
      <c r="M42" s="879"/>
      <c r="N42" s="879"/>
      <c r="O42" s="879"/>
      <c r="P42" s="879"/>
      <c r="Q42" s="879"/>
      <c r="R42" s="879"/>
      <c r="S42" s="879"/>
      <c r="T42" s="879"/>
      <c r="U42" s="879"/>
      <c r="V42" s="879"/>
      <c r="W42" s="879"/>
      <c r="X42" s="879"/>
      <c r="Y42" s="879"/>
      <c r="Z42" s="879"/>
    </row>
    <row r="43" spans="1:26" ht="12.75" customHeight="1">
      <c r="A43" s="707"/>
      <c r="B43" s="707"/>
      <c r="C43" s="707"/>
      <c r="D43" s="707"/>
      <c r="E43" s="707"/>
      <c r="F43" s="707"/>
      <c r="G43" s="707"/>
      <c r="H43" s="707"/>
      <c r="I43" s="879"/>
      <c r="J43" s="879"/>
      <c r="K43" s="879"/>
      <c r="L43" s="879"/>
      <c r="M43" s="879"/>
      <c r="N43" s="879"/>
      <c r="O43" s="879"/>
      <c r="P43" s="879"/>
      <c r="Q43" s="879"/>
      <c r="R43" s="879"/>
      <c r="S43" s="879"/>
      <c r="T43" s="879"/>
      <c r="U43" s="879"/>
      <c r="V43" s="879"/>
      <c r="W43" s="879"/>
      <c r="X43" s="879"/>
      <c r="Y43" s="879"/>
      <c r="Z43" s="879"/>
    </row>
    <row r="44" spans="1:26" ht="12.75" customHeight="1">
      <c r="A44" s="707"/>
      <c r="B44" s="707"/>
      <c r="C44" s="707"/>
      <c r="D44" s="707"/>
      <c r="E44" s="707"/>
      <c r="F44" s="707"/>
      <c r="G44" s="707"/>
      <c r="H44" s="707"/>
      <c r="I44" s="879"/>
      <c r="J44" s="879"/>
      <c r="K44" s="879"/>
      <c r="L44" s="879"/>
      <c r="M44" s="879"/>
      <c r="N44" s="879"/>
      <c r="O44" s="879"/>
      <c r="P44" s="879"/>
      <c r="Q44" s="879"/>
      <c r="R44" s="879"/>
      <c r="S44" s="879"/>
      <c r="T44" s="879"/>
      <c r="U44" s="879"/>
      <c r="V44" s="879"/>
      <c r="W44" s="879"/>
      <c r="X44" s="879"/>
      <c r="Y44" s="879"/>
      <c r="Z44" s="879"/>
    </row>
    <row r="45" spans="1:26" ht="12.75" customHeight="1">
      <c r="A45" s="707"/>
      <c r="B45" s="707"/>
      <c r="C45" s="707"/>
      <c r="D45" s="707"/>
      <c r="E45" s="707"/>
      <c r="F45" s="707"/>
      <c r="G45" s="707"/>
      <c r="H45" s="707"/>
      <c r="I45" s="879"/>
      <c r="J45" s="879"/>
      <c r="K45" s="879"/>
      <c r="L45" s="879"/>
      <c r="M45" s="879"/>
      <c r="N45" s="879"/>
      <c r="O45" s="879"/>
      <c r="P45" s="879"/>
      <c r="Q45" s="879"/>
      <c r="R45" s="879"/>
      <c r="S45" s="879"/>
      <c r="T45" s="879"/>
      <c r="U45" s="879"/>
      <c r="V45" s="879"/>
      <c r="W45" s="879"/>
      <c r="X45" s="879"/>
      <c r="Y45" s="879"/>
      <c r="Z45" s="879"/>
    </row>
    <row r="46" spans="1:26" ht="12.75" customHeight="1">
      <c r="A46" s="855"/>
      <c r="B46" s="852"/>
      <c r="C46" s="853"/>
      <c r="D46" s="1032"/>
      <c r="E46" s="1941" t="s">
        <v>563</v>
      </c>
      <c r="F46" s="1903"/>
      <c r="G46" s="911"/>
      <c r="H46" s="912"/>
      <c r="I46" s="879"/>
      <c r="J46" s="1026"/>
      <c r="K46" s="879"/>
      <c r="L46" s="879"/>
      <c r="M46" s="879"/>
      <c r="N46" s="879"/>
      <c r="O46" s="879"/>
      <c r="P46" s="879"/>
      <c r="Q46" s="879"/>
      <c r="R46" s="879"/>
      <c r="S46" s="879"/>
      <c r="T46" s="879"/>
      <c r="U46" s="879"/>
      <c r="V46" s="879"/>
      <c r="W46" s="879"/>
      <c r="X46" s="879"/>
      <c r="Y46" s="879"/>
      <c r="Z46" s="879"/>
    </row>
    <row r="47" spans="1:26" ht="12.75" customHeight="1">
      <c r="A47" s="913" t="s">
        <v>303</v>
      </c>
      <c r="B47" s="856"/>
      <c r="C47" s="857"/>
      <c r="D47" s="1034"/>
      <c r="E47" s="1945">
        <f>ROUND(+H39,0)</f>
        <v>30137</v>
      </c>
      <c r="F47" s="1903"/>
      <c r="G47" s="914"/>
      <c r="H47" s="915"/>
      <c r="I47" s="879"/>
      <c r="J47" s="879"/>
      <c r="K47" s="879"/>
      <c r="L47" s="879"/>
      <c r="M47" s="879"/>
      <c r="N47" s="879"/>
      <c r="O47" s="879"/>
      <c r="P47" s="879"/>
      <c r="Q47" s="879"/>
      <c r="R47" s="879"/>
      <c r="S47" s="879"/>
      <c r="T47" s="879"/>
      <c r="U47" s="879"/>
      <c r="V47" s="879"/>
      <c r="W47" s="879"/>
      <c r="X47" s="879"/>
      <c r="Y47" s="879"/>
      <c r="Z47" s="879"/>
    </row>
    <row r="48" spans="1:26" ht="12.75" customHeight="1">
      <c r="A48" s="913"/>
      <c r="B48" s="856"/>
      <c r="C48" s="857"/>
      <c r="D48" s="1033"/>
      <c r="E48" s="1938"/>
      <c r="F48" s="1903"/>
      <c r="G48" s="914"/>
      <c r="H48" s="916"/>
      <c r="I48" s="879"/>
      <c r="J48" s="879"/>
      <c r="K48" s="879"/>
      <c r="L48" s="879"/>
      <c r="M48" s="879"/>
      <c r="N48" s="879"/>
      <c r="O48" s="879"/>
      <c r="P48" s="879"/>
      <c r="Q48" s="879"/>
      <c r="R48" s="879"/>
      <c r="S48" s="879"/>
      <c r="T48" s="879"/>
      <c r="U48" s="879"/>
      <c r="V48" s="879"/>
      <c r="W48" s="879"/>
      <c r="X48" s="879"/>
      <c r="Y48" s="879"/>
      <c r="Z48" s="879"/>
    </row>
    <row r="49" spans="1:26" ht="12.75" customHeight="1">
      <c r="A49" s="913" t="s">
        <v>329</v>
      </c>
      <c r="B49" s="856"/>
      <c r="C49" s="857"/>
      <c r="D49" s="1033"/>
      <c r="E49" s="1938"/>
      <c r="F49" s="1903"/>
      <c r="G49" s="914"/>
      <c r="H49" s="916"/>
      <c r="I49" s="917"/>
      <c r="J49" s="879"/>
      <c r="K49" s="879"/>
      <c r="L49" s="879"/>
      <c r="M49" s="879"/>
      <c r="N49" s="879"/>
      <c r="O49" s="879"/>
      <c r="P49" s="879"/>
      <c r="Q49" s="879"/>
      <c r="R49" s="879"/>
      <c r="S49" s="879"/>
      <c r="T49" s="879"/>
      <c r="U49" s="879"/>
      <c r="V49" s="879"/>
      <c r="W49" s="879"/>
      <c r="X49" s="879"/>
      <c r="Y49" s="879"/>
      <c r="Z49" s="879"/>
    </row>
    <row r="50" spans="1:26" ht="12.75" customHeight="1">
      <c r="A50" s="913" t="s">
        <v>330</v>
      </c>
      <c r="B50" s="856"/>
      <c r="C50" s="857"/>
      <c r="D50" s="1033"/>
      <c r="E50" s="1936"/>
      <c r="F50" s="1903"/>
      <c r="G50" s="914"/>
      <c r="H50" s="916"/>
      <c r="I50" s="917"/>
      <c r="J50" s="879"/>
      <c r="K50" s="879"/>
      <c r="L50" s="879"/>
      <c r="M50" s="879"/>
      <c r="N50" s="879"/>
      <c r="O50" s="879"/>
      <c r="P50" s="879"/>
      <c r="Q50" s="879"/>
      <c r="R50" s="879"/>
      <c r="S50" s="879"/>
      <c r="T50" s="879"/>
      <c r="U50" s="879"/>
      <c r="V50" s="879"/>
      <c r="W50" s="879"/>
      <c r="X50" s="879"/>
      <c r="Y50" s="879"/>
      <c r="Z50" s="879"/>
    </row>
    <row r="51" spans="1:26" ht="12.75" customHeight="1">
      <c r="A51" s="913" t="s">
        <v>331</v>
      </c>
      <c r="B51" s="856"/>
      <c r="C51" s="857"/>
      <c r="D51" s="1033"/>
      <c r="E51" s="1938"/>
      <c r="F51" s="1903"/>
      <c r="G51" s="914"/>
      <c r="H51" s="916"/>
      <c r="I51" s="917"/>
      <c r="J51" s="879"/>
      <c r="K51" s="879"/>
      <c r="L51" s="879"/>
      <c r="M51" s="879"/>
      <c r="N51" s="879"/>
      <c r="O51" s="879"/>
      <c r="P51" s="879"/>
      <c r="Q51" s="879"/>
      <c r="R51" s="879"/>
      <c r="S51" s="879"/>
      <c r="T51" s="879"/>
      <c r="U51" s="879"/>
      <c r="V51" s="879"/>
      <c r="W51" s="879"/>
      <c r="X51" s="879"/>
      <c r="Y51" s="879"/>
      <c r="Z51" s="879"/>
    </row>
    <row r="52" spans="1:26" ht="12.75" customHeight="1">
      <c r="A52" s="742"/>
      <c r="B52" s="742"/>
      <c r="C52" s="742"/>
      <c r="D52" s="918"/>
      <c r="E52" s="707"/>
      <c r="F52" s="919"/>
      <c r="G52" s="707"/>
      <c r="H52" s="707"/>
      <c r="I52" s="879"/>
      <c r="J52" s="879"/>
      <c r="K52" s="879"/>
      <c r="L52" s="879"/>
      <c r="M52" s="879"/>
      <c r="N52" s="879"/>
      <c r="O52" s="879"/>
      <c r="P52" s="879"/>
      <c r="Q52" s="879"/>
      <c r="R52" s="879"/>
      <c r="S52" s="879"/>
      <c r="T52" s="879"/>
      <c r="U52" s="879"/>
      <c r="V52" s="879"/>
      <c r="W52" s="879"/>
      <c r="X52" s="879"/>
      <c r="Y52" s="879"/>
      <c r="Z52" s="879"/>
    </row>
    <row r="53" spans="1:26" ht="12.75" customHeight="1">
      <c r="A53" s="742"/>
      <c r="B53" s="742"/>
      <c r="C53" s="742"/>
      <c r="D53" s="918"/>
      <c r="E53" s="707"/>
      <c r="F53" s="919"/>
      <c r="G53" s="707"/>
      <c r="H53" s="707"/>
      <c r="I53" s="879"/>
      <c r="J53" s="879"/>
      <c r="K53" s="879"/>
      <c r="L53" s="879"/>
      <c r="M53" s="879"/>
      <c r="N53" s="879"/>
      <c r="O53" s="879"/>
      <c r="P53" s="879"/>
      <c r="Q53" s="879"/>
      <c r="R53" s="879"/>
      <c r="S53" s="879"/>
      <c r="T53" s="879"/>
      <c r="U53" s="879"/>
      <c r="V53" s="879"/>
      <c r="W53" s="879"/>
      <c r="X53" s="879"/>
      <c r="Y53" s="879"/>
      <c r="Z53" s="879"/>
    </row>
    <row r="54" spans="1:26" ht="12.75" customHeight="1">
      <c r="A54" s="707"/>
      <c r="B54" s="707"/>
      <c r="C54" s="707"/>
      <c r="D54" s="707"/>
      <c r="E54" s="707"/>
      <c r="F54" s="707"/>
      <c r="G54" s="707"/>
      <c r="H54" s="707"/>
      <c r="I54" s="879"/>
      <c r="J54" s="879"/>
      <c r="K54" s="879"/>
      <c r="L54" s="879"/>
      <c r="M54" s="879"/>
      <c r="N54" s="879"/>
      <c r="O54" s="879"/>
      <c r="P54" s="879"/>
      <c r="Q54" s="879"/>
      <c r="R54" s="879"/>
      <c r="S54" s="879"/>
      <c r="T54" s="879"/>
      <c r="U54" s="879"/>
      <c r="V54" s="879"/>
      <c r="W54" s="879"/>
      <c r="X54" s="879"/>
      <c r="Y54" s="879"/>
      <c r="Z54" s="879"/>
    </row>
    <row r="55" spans="1:26" ht="12.75" customHeight="1">
      <c r="A55" s="740" t="s">
        <v>332</v>
      </c>
      <c r="B55" s="707"/>
      <c r="C55" s="707"/>
      <c r="D55" s="707"/>
      <c r="E55" s="740" t="s">
        <v>332</v>
      </c>
      <c r="F55" s="707"/>
      <c r="G55" s="707"/>
      <c r="H55" s="707"/>
      <c r="I55" s="879"/>
      <c r="J55" s="879"/>
      <c r="K55" s="879"/>
      <c r="L55" s="879"/>
      <c r="M55" s="879"/>
      <c r="N55" s="879"/>
      <c r="O55" s="879"/>
      <c r="P55" s="879"/>
      <c r="Q55" s="879"/>
      <c r="R55" s="879"/>
      <c r="S55" s="879"/>
      <c r="T55" s="879"/>
      <c r="U55" s="879"/>
      <c r="V55" s="879"/>
      <c r="W55" s="879"/>
      <c r="X55" s="879"/>
      <c r="Y55" s="879"/>
      <c r="Z55" s="879"/>
    </row>
    <row r="56" spans="1:26" ht="12.75" customHeight="1">
      <c r="A56" s="740" t="s">
        <v>333</v>
      </c>
      <c r="B56" s="741"/>
      <c r="C56" s="741"/>
      <c r="D56" s="741"/>
      <c r="E56" s="740" t="s">
        <v>333</v>
      </c>
      <c r="F56" s="1904"/>
      <c r="G56" s="1905"/>
      <c r="H56" s="1905"/>
      <c r="I56" s="879"/>
      <c r="J56" s="879"/>
      <c r="K56" s="879"/>
      <c r="L56" s="879"/>
      <c r="M56" s="879"/>
      <c r="N56" s="879"/>
      <c r="O56" s="879"/>
      <c r="P56" s="879"/>
      <c r="Q56" s="879"/>
      <c r="R56" s="879"/>
      <c r="S56" s="879"/>
      <c r="T56" s="879"/>
      <c r="U56" s="879"/>
      <c r="V56" s="879"/>
      <c r="W56" s="879"/>
      <c r="X56" s="879"/>
      <c r="Y56" s="879"/>
      <c r="Z56" s="879"/>
    </row>
    <row r="57" spans="1:26" ht="11.25" customHeight="1">
      <c r="A57" s="742" t="s">
        <v>334</v>
      </c>
      <c r="B57" s="741"/>
      <c r="C57" s="741"/>
      <c r="D57" s="741"/>
      <c r="E57" s="742" t="s">
        <v>334</v>
      </c>
      <c r="F57" s="1906"/>
      <c r="G57" s="1905"/>
      <c r="H57" s="1905"/>
      <c r="I57" s="879"/>
      <c r="J57" s="879"/>
      <c r="K57" s="879"/>
      <c r="L57" s="879"/>
      <c r="M57" s="879"/>
      <c r="N57" s="879"/>
      <c r="O57" s="879"/>
      <c r="P57" s="879"/>
      <c r="Q57" s="879"/>
      <c r="R57" s="879"/>
      <c r="S57" s="879"/>
      <c r="T57" s="879"/>
      <c r="U57" s="879"/>
      <c r="V57" s="879"/>
      <c r="W57" s="879"/>
      <c r="X57" s="879"/>
      <c r="Y57" s="879"/>
      <c r="Z57" s="879"/>
    </row>
    <row r="58" spans="1:26" ht="11.25" customHeight="1">
      <c r="A58" s="742"/>
      <c r="B58" s="707"/>
      <c r="C58" s="707"/>
      <c r="D58" s="707"/>
      <c r="E58" s="742"/>
      <c r="F58" s="707"/>
      <c r="G58" s="707"/>
      <c r="H58" s="707"/>
      <c r="I58" s="879"/>
      <c r="J58" s="879"/>
      <c r="K58" s="879"/>
      <c r="L58" s="879"/>
      <c r="M58" s="879"/>
      <c r="N58" s="879"/>
      <c r="O58" s="879"/>
      <c r="P58" s="879"/>
      <c r="Q58" s="879"/>
      <c r="R58" s="879"/>
      <c r="S58" s="879"/>
      <c r="T58" s="879"/>
      <c r="U58" s="879"/>
      <c r="V58" s="879"/>
      <c r="W58" s="879"/>
      <c r="X58" s="879"/>
      <c r="Y58" s="879"/>
      <c r="Z58" s="879"/>
    </row>
    <row r="59" spans="1:26" ht="11.25" customHeight="1">
      <c r="A59" s="742"/>
      <c r="B59" s="707"/>
      <c r="C59" s="707"/>
      <c r="D59" s="707"/>
      <c r="E59" s="742"/>
      <c r="F59" s="707"/>
      <c r="G59" s="707"/>
      <c r="H59" s="707"/>
      <c r="I59" s="879"/>
      <c r="J59" s="879"/>
      <c r="K59" s="879"/>
      <c r="L59" s="879"/>
      <c r="M59" s="879"/>
      <c r="N59" s="879"/>
      <c r="O59" s="879"/>
      <c r="P59" s="879"/>
      <c r="Q59" s="879"/>
      <c r="R59" s="879"/>
      <c r="S59" s="879"/>
      <c r="T59" s="879"/>
      <c r="U59" s="879"/>
      <c r="V59" s="879"/>
      <c r="W59" s="879"/>
      <c r="X59" s="879"/>
      <c r="Y59" s="879"/>
      <c r="Z59" s="879"/>
    </row>
    <row r="60" spans="1:26" ht="11.25" customHeight="1">
      <c r="A60" s="742"/>
      <c r="B60" s="707"/>
      <c r="C60" s="707"/>
      <c r="D60" s="707"/>
      <c r="E60" s="742"/>
      <c r="F60" s="707"/>
      <c r="G60" s="707"/>
      <c r="H60" s="707"/>
      <c r="I60" s="879"/>
      <c r="J60" s="879"/>
      <c r="K60" s="879"/>
      <c r="L60" s="879"/>
      <c r="M60" s="879"/>
      <c r="N60" s="879"/>
      <c r="O60" s="879"/>
      <c r="P60" s="879"/>
      <c r="Q60" s="879"/>
      <c r="R60" s="879"/>
      <c r="S60" s="879"/>
      <c r="T60" s="879"/>
      <c r="U60" s="879"/>
      <c r="V60" s="879"/>
      <c r="W60" s="879"/>
      <c r="X60" s="879"/>
      <c r="Y60" s="879"/>
      <c r="Z60" s="879"/>
    </row>
    <row r="61" spans="1:26" ht="11.25" customHeight="1">
      <c r="A61" s="742"/>
      <c r="B61" s="707"/>
      <c r="C61" s="707"/>
      <c r="D61" s="707"/>
      <c r="E61" s="742"/>
      <c r="F61" s="707"/>
      <c r="G61" s="707"/>
      <c r="H61" s="707"/>
      <c r="I61" s="879"/>
      <c r="J61" s="879"/>
      <c r="K61" s="879"/>
      <c r="L61" s="879"/>
      <c r="M61" s="879"/>
      <c r="N61" s="879"/>
      <c r="O61" s="879"/>
      <c r="P61" s="879"/>
      <c r="Q61" s="879"/>
      <c r="R61" s="879"/>
      <c r="S61" s="879"/>
      <c r="T61" s="879"/>
      <c r="U61" s="879"/>
      <c r="V61" s="879"/>
      <c r="W61" s="879"/>
      <c r="X61" s="879"/>
      <c r="Y61" s="879"/>
      <c r="Z61" s="879"/>
    </row>
    <row r="62" spans="1:26" ht="14.25" customHeight="1">
      <c r="A62" s="863"/>
      <c r="B62" s="707"/>
      <c r="C62" s="707"/>
      <c r="D62" s="707"/>
      <c r="E62" s="707"/>
      <c r="F62" s="707"/>
      <c r="G62" s="707"/>
      <c r="H62" s="707"/>
      <c r="I62" s="879"/>
      <c r="J62" s="879"/>
      <c r="K62" s="879"/>
      <c r="L62" s="879"/>
      <c r="M62" s="879"/>
      <c r="N62" s="879"/>
      <c r="O62" s="879"/>
      <c r="P62" s="879"/>
      <c r="Q62" s="879"/>
      <c r="R62" s="879"/>
      <c r="S62" s="879"/>
      <c r="T62" s="879"/>
      <c r="U62" s="879"/>
      <c r="V62" s="879"/>
      <c r="W62" s="879"/>
      <c r="X62" s="879"/>
      <c r="Y62" s="879"/>
      <c r="Z62" s="879"/>
    </row>
    <row r="63" spans="1:26" ht="15" customHeight="1">
      <c r="A63" s="707"/>
      <c r="B63" s="707"/>
      <c r="C63" s="745"/>
      <c r="D63" s="742"/>
      <c r="E63" s="742"/>
      <c r="F63" s="742"/>
      <c r="G63" s="742"/>
      <c r="H63" s="707"/>
      <c r="I63" s="879"/>
      <c r="J63" s="879"/>
      <c r="K63" s="879"/>
      <c r="L63" s="879"/>
      <c r="M63" s="879"/>
      <c r="N63" s="879"/>
      <c r="O63" s="879"/>
      <c r="P63" s="879"/>
      <c r="Q63" s="879"/>
      <c r="R63" s="879"/>
      <c r="S63" s="879"/>
      <c r="T63" s="879"/>
      <c r="U63" s="879"/>
      <c r="V63" s="879"/>
      <c r="W63" s="879"/>
      <c r="X63" s="879"/>
      <c r="Y63" s="879"/>
      <c r="Z63" s="879"/>
    </row>
    <row r="64" spans="1:26" ht="3" customHeight="1">
      <c r="A64" s="707"/>
      <c r="B64" s="707"/>
      <c r="C64" s="707"/>
      <c r="D64" s="707"/>
      <c r="E64" s="707"/>
      <c r="F64" s="707"/>
      <c r="G64" s="707"/>
      <c r="H64" s="707"/>
      <c r="I64" s="879"/>
      <c r="J64" s="879"/>
      <c r="K64" s="879"/>
      <c r="L64" s="879"/>
      <c r="M64" s="879"/>
      <c r="N64" s="879"/>
      <c r="O64" s="879"/>
      <c r="P64" s="879"/>
      <c r="Q64" s="879"/>
      <c r="R64" s="879"/>
      <c r="S64" s="879"/>
      <c r="T64" s="879"/>
      <c r="U64" s="879"/>
      <c r="V64" s="879"/>
      <c r="W64" s="879"/>
      <c r="X64" s="879"/>
      <c r="Y64" s="879"/>
      <c r="Z64" s="879"/>
    </row>
    <row r="65" spans="1:26" ht="10.5" customHeight="1">
      <c r="A65" s="707"/>
      <c r="B65" s="747"/>
      <c r="C65" s="747"/>
      <c r="D65" s="747"/>
      <c r="E65" s="707"/>
      <c r="F65" s="920"/>
      <c r="G65" s="707"/>
      <c r="H65" s="707"/>
      <c r="I65" s="879"/>
      <c r="J65" s="879"/>
      <c r="K65" s="879"/>
      <c r="L65" s="879"/>
      <c r="M65" s="879"/>
      <c r="N65" s="879"/>
      <c r="O65" s="879"/>
      <c r="P65" s="879"/>
      <c r="Q65" s="879"/>
      <c r="R65" s="879"/>
      <c r="S65" s="879"/>
      <c r="T65" s="879"/>
      <c r="U65" s="879"/>
      <c r="V65" s="879"/>
      <c r="W65" s="879"/>
      <c r="X65" s="879"/>
      <c r="Y65" s="879"/>
      <c r="Z65" s="879"/>
    </row>
    <row r="66" spans="1:26" ht="12.75" customHeight="1">
      <c r="A66" s="879"/>
      <c r="B66" s="879"/>
      <c r="C66" s="879"/>
      <c r="D66" s="879"/>
      <c r="E66" s="879"/>
      <c r="F66" s="879"/>
      <c r="G66" s="879"/>
      <c r="H66" s="879"/>
      <c r="I66" s="879"/>
      <c r="J66" s="879"/>
      <c r="K66" s="879"/>
      <c r="L66" s="879"/>
      <c r="M66" s="879"/>
      <c r="N66" s="879"/>
      <c r="O66" s="879"/>
      <c r="P66" s="879"/>
      <c r="Q66" s="879"/>
      <c r="R66" s="879"/>
      <c r="S66" s="879"/>
      <c r="T66" s="879"/>
      <c r="U66" s="879"/>
      <c r="V66" s="879"/>
      <c r="W66" s="879"/>
      <c r="X66" s="879"/>
      <c r="Y66" s="879"/>
      <c r="Z66" s="879"/>
    </row>
    <row r="67" spans="1:26" ht="12.75" customHeight="1">
      <c r="A67" s="879"/>
      <c r="B67" s="879"/>
      <c r="C67" s="879"/>
      <c r="D67" s="879"/>
      <c r="E67" s="879"/>
      <c r="F67" s="879"/>
      <c r="G67" s="879"/>
      <c r="H67" s="879"/>
      <c r="I67" s="879"/>
      <c r="J67" s="879"/>
      <c r="K67" s="879"/>
      <c r="L67" s="879"/>
      <c r="M67" s="879"/>
      <c r="N67" s="879"/>
      <c r="O67" s="879"/>
      <c r="P67" s="879"/>
      <c r="Q67" s="879"/>
      <c r="R67" s="879"/>
      <c r="S67" s="879"/>
      <c r="T67" s="879"/>
      <c r="U67" s="879"/>
      <c r="V67" s="879"/>
      <c r="W67" s="879"/>
      <c r="X67" s="879"/>
      <c r="Y67" s="879"/>
      <c r="Z67" s="879"/>
    </row>
    <row r="68" spans="1:26" ht="12.75" customHeight="1">
      <c r="A68" s="879"/>
      <c r="B68" s="879"/>
      <c r="C68" s="879"/>
      <c r="D68" s="879"/>
      <c r="E68" s="879"/>
      <c r="F68" s="879"/>
      <c r="G68" s="879"/>
      <c r="H68" s="879"/>
      <c r="I68" s="879"/>
      <c r="J68" s="879"/>
      <c r="K68" s="879"/>
      <c r="L68" s="879"/>
      <c r="M68" s="879"/>
      <c r="N68" s="879"/>
      <c r="O68" s="879"/>
      <c r="P68" s="879"/>
      <c r="Q68" s="879"/>
      <c r="R68" s="879"/>
      <c r="S68" s="879"/>
      <c r="T68" s="879"/>
      <c r="U68" s="879"/>
      <c r="V68" s="879"/>
      <c r="W68" s="879"/>
      <c r="X68" s="879"/>
      <c r="Y68" s="879"/>
      <c r="Z68" s="879"/>
    </row>
    <row r="69" spans="1:26" ht="12.75" customHeight="1">
      <c r="A69" s="879"/>
      <c r="B69" s="879"/>
      <c r="C69" s="879"/>
      <c r="D69" s="879"/>
      <c r="E69" s="879"/>
      <c r="F69" s="879"/>
      <c r="G69" s="879"/>
      <c r="H69" s="879"/>
      <c r="I69" s="879"/>
      <c r="J69" s="879"/>
      <c r="K69" s="879"/>
      <c r="L69" s="879"/>
      <c r="M69" s="879"/>
      <c r="N69" s="879"/>
      <c r="O69" s="879"/>
      <c r="P69" s="879"/>
      <c r="Q69" s="879"/>
      <c r="R69" s="879"/>
      <c r="S69" s="879"/>
      <c r="T69" s="879"/>
      <c r="U69" s="879"/>
      <c r="V69" s="879"/>
      <c r="W69" s="879"/>
      <c r="X69" s="879"/>
      <c r="Y69" s="879"/>
      <c r="Z69" s="879"/>
    </row>
    <row r="70" spans="1:26" ht="12.75" customHeight="1">
      <c r="A70" s="879"/>
      <c r="B70" s="879"/>
      <c r="C70" s="879"/>
      <c r="D70" s="879"/>
      <c r="E70" s="879"/>
      <c r="F70" s="879"/>
      <c r="G70" s="879"/>
      <c r="H70" s="879"/>
      <c r="I70" s="879"/>
      <c r="J70" s="879"/>
      <c r="K70" s="879"/>
      <c r="L70" s="879"/>
      <c r="M70" s="879"/>
      <c r="N70" s="879"/>
      <c r="O70" s="879"/>
      <c r="P70" s="879"/>
      <c r="Q70" s="879"/>
      <c r="R70" s="879"/>
      <c r="S70" s="879"/>
      <c r="T70" s="879"/>
      <c r="U70" s="879"/>
      <c r="V70" s="879"/>
      <c r="W70" s="879"/>
      <c r="X70" s="879"/>
      <c r="Y70" s="879"/>
      <c r="Z70" s="879"/>
    </row>
    <row r="71" spans="1:26" ht="12.75" customHeight="1">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row>
    <row r="72" spans="1:26" ht="12.75" customHeight="1">
      <c r="A72" s="879"/>
      <c r="B72" s="879"/>
      <c r="C72" s="879"/>
      <c r="D72" s="879"/>
      <c r="E72" s="879"/>
      <c r="F72" s="879"/>
      <c r="G72" s="879"/>
      <c r="H72" s="879"/>
      <c r="I72" s="879"/>
      <c r="J72" s="879"/>
      <c r="K72" s="879"/>
      <c r="L72" s="879"/>
      <c r="M72" s="879"/>
      <c r="N72" s="879"/>
      <c r="O72" s="879"/>
      <c r="P72" s="879"/>
      <c r="Q72" s="879"/>
      <c r="R72" s="879"/>
      <c r="S72" s="879"/>
      <c r="T72" s="879"/>
      <c r="U72" s="879"/>
      <c r="V72" s="879"/>
      <c r="W72" s="879"/>
      <c r="X72" s="879"/>
      <c r="Y72" s="879"/>
      <c r="Z72" s="879"/>
    </row>
    <row r="73" spans="1:26" ht="12.75" customHeight="1">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row>
    <row r="74" spans="1:26" ht="12.75" customHeight="1">
      <c r="A74" s="879"/>
      <c r="B74" s="879"/>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row>
    <row r="75" spans="1:26" ht="12.75" customHeight="1">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row>
    <row r="76" spans="1:26" ht="12.75" customHeight="1">
      <c r="A76" s="879"/>
      <c r="B76" s="879"/>
      <c r="C76" s="879"/>
      <c r="D76" s="879"/>
      <c r="E76" s="879"/>
      <c r="F76" s="879"/>
      <c r="G76" s="879"/>
      <c r="H76" s="879"/>
      <c r="I76" s="879"/>
      <c r="J76" s="879"/>
      <c r="K76" s="879"/>
      <c r="L76" s="879"/>
      <c r="M76" s="879"/>
      <c r="N76" s="879"/>
      <c r="O76" s="879"/>
      <c r="P76" s="879"/>
      <c r="Q76" s="879"/>
      <c r="R76" s="879"/>
      <c r="S76" s="879"/>
      <c r="T76" s="879"/>
      <c r="U76" s="879"/>
      <c r="V76" s="879"/>
      <c r="W76" s="879"/>
      <c r="X76" s="879"/>
      <c r="Y76" s="879"/>
      <c r="Z76" s="879"/>
    </row>
    <row r="77" spans="1:26" ht="12.75" customHeight="1">
      <c r="A77" s="879"/>
      <c r="B77" s="879"/>
      <c r="C77" s="879"/>
      <c r="D77" s="879"/>
      <c r="E77" s="879"/>
      <c r="F77" s="879"/>
      <c r="G77" s="879"/>
      <c r="H77" s="879"/>
      <c r="I77" s="879"/>
      <c r="J77" s="879"/>
      <c r="K77" s="879"/>
      <c r="L77" s="879"/>
      <c r="M77" s="879"/>
      <c r="N77" s="879"/>
      <c r="O77" s="879"/>
      <c r="P77" s="879"/>
      <c r="Q77" s="879"/>
      <c r="R77" s="879"/>
      <c r="S77" s="879"/>
      <c r="T77" s="879"/>
      <c r="U77" s="879"/>
      <c r="V77" s="879"/>
      <c r="W77" s="879"/>
      <c r="X77" s="879"/>
      <c r="Y77" s="879"/>
      <c r="Z77" s="879"/>
    </row>
    <row r="78" spans="1:26" ht="12.75" customHeight="1">
      <c r="A78" s="879"/>
      <c r="B78" s="879"/>
      <c r="C78" s="879"/>
      <c r="D78" s="879"/>
      <c r="E78" s="879"/>
      <c r="F78" s="879"/>
      <c r="G78" s="879"/>
      <c r="H78" s="879"/>
      <c r="I78" s="879"/>
      <c r="J78" s="879"/>
      <c r="K78" s="879"/>
      <c r="L78" s="879"/>
      <c r="M78" s="879"/>
      <c r="N78" s="879"/>
      <c r="O78" s="879"/>
      <c r="P78" s="879"/>
      <c r="Q78" s="879"/>
      <c r="R78" s="879"/>
      <c r="S78" s="879"/>
      <c r="T78" s="879"/>
      <c r="U78" s="879"/>
      <c r="V78" s="879"/>
      <c r="W78" s="879"/>
      <c r="X78" s="879"/>
      <c r="Y78" s="879"/>
      <c r="Z78" s="879"/>
    </row>
    <row r="79" spans="1:26" ht="12.75" customHeight="1">
      <c r="A79" s="879"/>
      <c r="B79" s="879"/>
      <c r="C79" s="879"/>
      <c r="D79" s="879"/>
      <c r="E79" s="879"/>
      <c r="F79" s="879"/>
      <c r="G79" s="879"/>
      <c r="H79" s="879"/>
      <c r="I79" s="879"/>
      <c r="J79" s="879"/>
      <c r="K79" s="879"/>
      <c r="L79" s="879"/>
      <c r="M79" s="879"/>
      <c r="N79" s="879"/>
      <c r="O79" s="879"/>
      <c r="P79" s="879"/>
      <c r="Q79" s="879"/>
      <c r="R79" s="879"/>
      <c r="S79" s="879"/>
      <c r="T79" s="879"/>
      <c r="U79" s="879"/>
      <c r="V79" s="879"/>
      <c r="W79" s="879"/>
      <c r="X79" s="879"/>
      <c r="Y79" s="879"/>
      <c r="Z79" s="879"/>
    </row>
    <row r="80" spans="1:26" ht="12.75" customHeight="1">
      <c r="A80" s="879"/>
      <c r="B80" s="879"/>
      <c r="C80" s="879"/>
      <c r="D80" s="879"/>
      <c r="E80" s="879"/>
      <c r="F80" s="879"/>
      <c r="G80" s="879"/>
      <c r="H80" s="879"/>
      <c r="I80" s="879"/>
      <c r="J80" s="879"/>
      <c r="K80" s="879"/>
      <c r="L80" s="879"/>
      <c r="M80" s="879"/>
      <c r="N80" s="879"/>
      <c r="O80" s="879"/>
      <c r="P80" s="879"/>
      <c r="Q80" s="879"/>
      <c r="R80" s="879"/>
      <c r="S80" s="879"/>
      <c r="T80" s="879"/>
      <c r="U80" s="879"/>
      <c r="V80" s="879"/>
      <c r="W80" s="879"/>
      <c r="X80" s="879"/>
      <c r="Y80" s="879"/>
      <c r="Z80" s="879"/>
    </row>
    <row r="81" spans="1:26" ht="12.75" customHeight="1">
      <c r="A81" s="879"/>
      <c r="B81" s="879"/>
      <c r="C81" s="879"/>
      <c r="D81" s="879"/>
      <c r="E81" s="879"/>
      <c r="F81" s="879"/>
      <c r="G81" s="879"/>
      <c r="H81" s="879"/>
      <c r="I81" s="879"/>
      <c r="J81" s="879"/>
      <c r="K81" s="879"/>
      <c r="L81" s="879"/>
      <c r="M81" s="879"/>
      <c r="N81" s="879"/>
      <c r="O81" s="879"/>
      <c r="P81" s="879"/>
      <c r="Q81" s="879"/>
      <c r="R81" s="879"/>
      <c r="S81" s="879"/>
      <c r="T81" s="879"/>
      <c r="U81" s="879"/>
      <c r="V81" s="879"/>
      <c r="W81" s="879"/>
      <c r="X81" s="879"/>
      <c r="Y81" s="879"/>
      <c r="Z81" s="879"/>
    </row>
    <row r="82" spans="1:26" ht="12.75" customHeight="1">
      <c r="A82" s="879"/>
      <c r="B82" s="879"/>
      <c r="C82" s="879"/>
      <c r="D82" s="879"/>
      <c r="E82" s="879"/>
      <c r="F82" s="879"/>
      <c r="G82" s="879"/>
      <c r="H82" s="879"/>
      <c r="I82" s="879"/>
      <c r="J82" s="879"/>
      <c r="K82" s="879"/>
      <c r="L82" s="879"/>
      <c r="M82" s="879"/>
      <c r="N82" s="879"/>
      <c r="O82" s="879"/>
      <c r="P82" s="879"/>
      <c r="Q82" s="879"/>
      <c r="R82" s="879"/>
      <c r="S82" s="879"/>
      <c r="T82" s="879"/>
      <c r="U82" s="879"/>
      <c r="V82" s="879"/>
      <c r="W82" s="879"/>
      <c r="X82" s="879"/>
      <c r="Y82" s="879"/>
      <c r="Z82" s="879"/>
    </row>
    <row r="83" spans="1:26" ht="12.75" customHeight="1">
      <c r="A83" s="879"/>
      <c r="B83" s="879"/>
      <c r="C83" s="879"/>
      <c r="D83" s="879"/>
      <c r="E83" s="879"/>
      <c r="F83" s="879"/>
      <c r="G83" s="879"/>
      <c r="H83" s="879"/>
      <c r="I83" s="879"/>
      <c r="J83" s="879"/>
      <c r="K83" s="879"/>
      <c r="L83" s="879"/>
      <c r="M83" s="879"/>
      <c r="N83" s="879"/>
      <c r="O83" s="879"/>
      <c r="P83" s="879"/>
      <c r="Q83" s="879"/>
      <c r="R83" s="879"/>
      <c r="S83" s="879"/>
      <c r="T83" s="879"/>
      <c r="U83" s="879"/>
      <c r="V83" s="879"/>
      <c r="W83" s="879"/>
      <c r="X83" s="879"/>
      <c r="Y83" s="879"/>
      <c r="Z83" s="879"/>
    </row>
    <row r="84" spans="1:26" ht="12.75" customHeight="1">
      <c r="A84" s="879"/>
      <c r="B84" s="879"/>
      <c r="C84" s="879"/>
      <c r="D84" s="879"/>
      <c r="E84" s="879"/>
      <c r="F84" s="879"/>
      <c r="G84" s="879"/>
      <c r="H84" s="879"/>
      <c r="I84" s="879"/>
      <c r="J84" s="879"/>
      <c r="K84" s="879"/>
      <c r="L84" s="879"/>
      <c r="M84" s="879"/>
      <c r="N84" s="879"/>
      <c r="O84" s="879"/>
      <c r="P84" s="879"/>
      <c r="Q84" s="879"/>
      <c r="R84" s="879"/>
      <c r="S84" s="879"/>
      <c r="T84" s="879"/>
      <c r="U84" s="879"/>
      <c r="V84" s="879"/>
      <c r="W84" s="879"/>
      <c r="X84" s="879"/>
      <c r="Y84" s="879"/>
      <c r="Z84" s="879"/>
    </row>
    <row r="85" spans="1:26" ht="12.75" customHeight="1">
      <c r="A85" s="879"/>
      <c r="B85" s="879"/>
      <c r="C85" s="879"/>
      <c r="D85" s="879"/>
      <c r="E85" s="879"/>
      <c r="F85" s="879"/>
      <c r="G85" s="879"/>
      <c r="H85" s="879"/>
      <c r="I85" s="879"/>
      <c r="J85" s="879"/>
      <c r="K85" s="879"/>
      <c r="L85" s="879"/>
      <c r="M85" s="879"/>
      <c r="N85" s="879"/>
      <c r="O85" s="879"/>
      <c r="P85" s="879"/>
      <c r="Q85" s="879"/>
      <c r="R85" s="879"/>
      <c r="S85" s="879"/>
      <c r="T85" s="879"/>
      <c r="U85" s="879"/>
      <c r="V85" s="879"/>
      <c r="W85" s="879"/>
    </row>
    <row r="86" spans="1:26" ht="12.75" customHeight="1">
      <c r="A86" s="879"/>
      <c r="B86" s="879"/>
      <c r="C86" s="879"/>
      <c r="D86" s="879"/>
      <c r="E86" s="879"/>
      <c r="F86" s="879"/>
      <c r="G86" s="879"/>
      <c r="H86" s="879"/>
      <c r="I86" s="879"/>
      <c r="J86" s="879"/>
      <c r="K86" s="879"/>
      <c r="L86" s="879"/>
      <c r="M86" s="879"/>
      <c r="N86" s="879"/>
      <c r="O86" s="879"/>
      <c r="P86" s="879"/>
      <c r="Q86" s="879"/>
      <c r="R86" s="879"/>
      <c r="S86" s="879"/>
      <c r="T86" s="879"/>
      <c r="U86" s="879"/>
      <c r="V86" s="879"/>
      <c r="W86" s="879"/>
    </row>
    <row r="87" spans="1:26" ht="12.75" customHeight="1">
      <c r="A87" s="879"/>
      <c r="B87" s="879"/>
      <c r="C87" s="879"/>
      <c r="D87" s="879"/>
      <c r="E87" s="879"/>
      <c r="F87" s="879"/>
      <c r="G87" s="879"/>
      <c r="H87" s="879"/>
      <c r="I87" s="879"/>
      <c r="J87" s="879"/>
      <c r="K87" s="879"/>
      <c r="L87" s="879"/>
      <c r="M87" s="879"/>
      <c r="N87" s="879"/>
      <c r="O87" s="879"/>
      <c r="P87" s="879"/>
      <c r="Q87" s="879"/>
      <c r="R87" s="879"/>
      <c r="S87" s="879"/>
      <c r="T87" s="879"/>
      <c r="U87" s="879"/>
      <c r="V87" s="879"/>
      <c r="W87" s="879"/>
    </row>
    <row r="88" spans="1:26" ht="12.75" customHeight="1">
      <c r="A88" s="879"/>
      <c r="B88" s="879"/>
      <c r="C88" s="879"/>
      <c r="D88" s="879"/>
      <c r="E88" s="879"/>
      <c r="F88" s="879"/>
      <c r="G88" s="879"/>
      <c r="H88" s="879"/>
      <c r="I88" s="879"/>
      <c r="J88" s="879"/>
      <c r="K88" s="879"/>
      <c r="L88" s="879"/>
      <c r="M88" s="879"/>
      <c r="N88" s="879"/>
      <c r="O88" s="879"/>
      <c r="P88" s="879"/>
      <c r="Q88" s="879"/>
      <c r="R88" s="879"/>
      <c r="S88" s="879"/>
      <c r="T88" s="879"/>
      <c r="U88" s="879"/>
      <c r="V88" s="879"/>
      <c r="W88" s="879"/>
    </row>
    <row r="89" spans="1:26" ht="12.75" customHeight="1">
      <c r="A89" s="879"/>
      <c r="B89" s="879"/>
      <c r="C89" s="879"/>
      <c r="D89" s="879"/>
      <c r="E89" s="879"/>
      <c r="F89" s="879"/>
      <c r="G89" s="879"/>
      <c r="H89" s="879"/>
      <c r="I89" s="879"/>
      <c r="J89" s="879"/>
      <c r="K89" s="879"/>
      <c r="L89" s="879"/>
      <c r="M89" s="879"/>
      <c r="N89" s="879"/>
      <c r="O89" s="879"/>
      <c r="P89" s="879"/>
      <c r="Q89" s="879"/>
      <c r="R89" s="879"/>
      <c r="S89" s="879"/>
      <c r="T89" s="879"/>
      <c r="U89" s="879"/>
      <c r="V89" s="879"/>
      <c r="W89" s="879"/>
    </row>
    <row r="90" spans="1:26" ht="12.75" customHeight="1">
      <c r="A90" s="879"/>
      <c r="B90" s="879"/>
      <c r="C90" s="879"/>
      <c r="D90" s="879"/>
      <c r="E90" s="879"/>
      <c r="F90" s="879"/>
      <c r="G90" s="879"/>
      <c r="H90" s="879"/>
      <c r="I90" s="879"/>
      <c r="J90" s="879"/>
      <c r="K90" s="879"/>
      <c r="L90" s="879"/>
      <c r="M90" s="879"/>
      <c r="N90" s="879"/>
      <c r="O90" s="879"/>
      <c r="P90" s="879"/>
      <c r="Q90" s="879"/>
      <c r="R90" s="879"/>
      <c r="S90" s="879"/>
      <c r="T90" s="879"/>
      <c r="U90" s="879"/>
      <c r="V90" s="879"/>
      <c r="W90" s="879"/>
    </row>
    <row r="91" spans="1:26" ht="12.75" customHeight="1">
      <c r="A91" s="879"/>
      <c r="B91" s="879"/>
      <c r="C91" s="879"/>
      <c r="D91" s="879"/>
      <c r="E91" s="879"/>
      <c r="F91" s="879"/>
      <c r="G91" s="879"/>
      <c r="H91" s="879"/>
      <c r="I91" s="879"/>
      <c r="J91" s="879"/>
      <c r="K91" s="879"/>
      <c r="L91" s="879"/>
      <c r="M91" s="879"/>
      <c r="N91" s="879"/>
      <c r="O91" s="879"/>
      <c r="P91" s="879"/>
      <c r="Q91" s="879"/>
      <c r="R91" s="879"/>
      <c r="S91" s="879"/>
      <c r="T91" s="879"/>
      <c r="U91" s="879"/>
      <c r="V91" s="879"/>
      <c r="W91" s="879"/>
    </row>
    <row r="92" spans="1:26" ht="12.75" customHeight="1">
      <c r="A92" s="879"/>
      <c r="B92" s="879"/>
      <c r="C92" s="879"/>
      <c r="D92" s="879"/>
      <c r="E92" s="879"/>
      <c r="F92" s="879"/>
      <c r="G92" s="879"/>
      <c r="H92" s="879"/>
      <c r="I92" s="879"/>
      <c r="J92" s="879"/>
      <c r="K92" s="879"/>
      <c r="L92" s="879"/>
      <c r="M92" s="879"/>
      <c r="N92" s="879"/>
      <c r="O92" s="879"/>
      <c r="P92" s="879"/>
      <c r="Q92" s="879"/>
      <c r="R92" s="879"/>
      <c r="S92" s="879"/>
      <c r="T92" s="879"/>
      <c r="U92" s="879"/>
      <c r="V92" s="879"/>
      <c r="W92" s="879"/>
    </row>
    <row r="93" spans="1:26" ht="12.75" customHeight="1">
      <c r="A93" s="879"/>
      <c r="B93" s="879"/>
      <c r="C93" s="879"/>
      <c r="D93" s="879"/>
      <c r="E93" s="879"/>
      <c r="F93" s="879"/>
      <c r="G93" s="879"/>
      <c r="H93" s="879"/>
      <c r="I93" s="879"/>
      <c r="J93" s="879"/>
      <c r="K93" s="879"/>
      <c r="L93" s="879"/>
      <c r="M93" s="879"/>
      <c r="N93" s="879"/>
      <c r="O93" s="879"/>
      <c r="P93" s="879"/>
      <c r="Q93" s="879"/>
      <c r="R93" s="879"/>
      <c r="S93" s="879"/>
      <c r="T93" s="879"/>
      <c r="U93" s="879"/>
      <c r="V93" s="879"/>
      <c r="W93" s="879"/>
    </row>
    <row r="94" spans="1:26" ht="12.75" customHeight="1">
      <c r="A94" s="879"/>
      <c r="B94" s="879"/>
      <c r="C94" s="879"/>
      <c r="D94" s="879"/>
      <c r="E94" s="879"/>
      <c r="F94" s="879"/>
      <c r="G94" s="879"/>
      <c r="H94" s="879"/>
      <c r="I94" s="879"/>
      <c r="J94" s="879"/>
      <c r="K94" s="879"/>
      <c r="L94" s="879"/>
      <c r="M94" s="879"/>
      <c r="N94" s="879"/>
      <c r="O94" s="879"/>
      <c r="P94" s="879"/>
      <c r="Q94" s="879"/>
      <c r="R94" s="879"/>
      <c r="S94" s="879"/>
      <c r="T94" s="879"/>
      <c r="U94" s="879"/>
      <c r="V94" s="879"/>
      <c r="W94" s="879"/>
    </row>
    <row r="95" spans="1:26" ht="12.75" customHeight="1">
      <c r="A95" s="879"/>
      <c r="B95" s="879"/>
      <c r="C95" s="879"/>
      <c r="D95" s="879"/>
      <c r="E95" s="879"/>
      <c r="F95" s="879"/>
      <c r="G95" s="879"/>
      <c r="H95" s="879"/>
      <c r="I95" s="879"/>
      <c r="J95" s="879"/>
      <c r="K95" s="879"/>
      <c r="L95" s="879"/>
      <c r="M95" s="879"/>
      <c r="N95" s="879"/>
      <c r="O95" s="879"/>
      <c r="P95" s="879"/>
      <c r="Q95" s="879"/>
      <c r="R95" s="879"/>
      <c r="S95" s="879"/>
      <c r="T95" s="879"/>
      <c r="U95" s="879"/>
      <c r="V95" s="879"/>
      <c r="W95" s="879"/>
    </row>
    <row r="96" spans="1:26" ht="12.75" customHeight="1">
      <c r="A96" s="879"/>
      <c r="B96" s="879"/>
      <c r="C96" s="879"/>
      <c r="D96" s="879"/>
      <c r="E96" s="879"/>
      <c r="F96" s="879"/>
      <c r="G96" s="879"/>
      <c r="H96" s="879"/>
      <c r="I96" s="879"/>
      <c r="J96" s="879"/>
      <c r="K96" s="879"/>
      <c r="L96" s="879"/>
      <c r="M96" s="879"/>
      <c r="N96" s="879"/>
      <c r="O96" s="879"/>
      <c r="P96" s="879"/>
      <c r="Q96" s="879"/>
      <c r="R96" s="879"/>
      <c r="S96" s="879"/>
      <c r="T96" s="879"/>
      <c r="U96" s="879"/>
      <c r="V96" s="879"/>
      <c r="W96" s="879"/>
    </row>
    <row r="97" spans="1:23" ht="12.75" customHeight="1">
      <c r="A97" s="879"/>
      <c r="B97" s="879"/>
      <c r="C97" s="879"/>
      <c r="D97" s="879"/>
      <c r="E97" s="879"/>
      <c r="F97" s="879"/>
      <c r="G97" s="879"/>
      <c r="H97" s="879"/>
      <c r="I97" s="879"/>
      <c r="J97" s="879"/>
      <c r="K97" s="879"/>
      <c r="L97" s="879"/>
      <c r="M97" s="879"/>
      <c r="N97" s="879"/>
      <c r="O97" s="879"/>
      <c r="P97" s="879"/>
      <c r="Q97" s="879"/>
      <c r="R97" s="879"/>
      <c r="S97" s="879"/>
      <c r="T97" s="879"/>
      <c r="U97" s="879"/>
      <c r="V97" s="879"/>
      <c r="W97" s="879"/>
    </row>
    <row r="98" spans="1:23" ht="12.75" customHeight="1">
      <c r="A98" s="879"/>
      <c r="B98" s="879"/>
      <c r="C98" s="879"/>
      <c r="D98" s="879"/>
      <c r="E98" s="879"/>
      <c r="F98" s="879"/>
      <c r="G98" s="879"/>
      <c r="H98" s="879"/>
      <c r="I98" s="879"/>
      <c r="J98" s="879"/>
      <c r="K98" s="879"/>
      <c r="L98" s="879"/>
      <c r="M98" s="879"/>
      <c r="N98" s="879"/>
      <c r="O98" s="879"/>
      <c r="P98" s="879"/>
      <c r="Q98" s="879"/>
      <c r="R98" s="879"/>
      <c r="S98" s="879"/>
      <c r="T98" s="879"/>
      <c r="U98" s="879"/>
      <c r="V98" s="879"/>
      <c r="W98" s="879"/>
    </row>
    <row r="99" spans="1:23" ht="12.75" customHeight="1">
      <c r="A99" s="879"/>
      <c r="B99" s="879"/>
      <c r="C99" s="879"/>
      <c r="D99" s="879"/>
      <c r="E99" s="879"/>
      <c r="F99" s="879"/>
      <c r="G99" s="879"/>
      <c r="H99" s="879"/>
      <c r="I99" s="879"/>
      <c r="J99" s="879"/>
      <c r="K99" s="879"/>
      <c r="L99" s="879"/>
      <c r="M99" s="879"/>
      <c r="N99" s="879"/>
      <c r="O99" s="879"/>
      <c r="P99" s="879"/>
      <c r="Q99" s="879"/>
      <c r="R99" s="879"/>
      <c r="S99" s="879"/>
      <c r="T99" s="879"/>
      <c r="U99" s="879"/>
      <c r="V99" s="879"/>
      <c r="W99" s="879"/>
    </row>
    <row r="100" spans="1:23" ht="12.75" customHeight="1">
      <c r="A100" s="879"/>
      <c r="B100" s="879"/>
      <c r="C100" s="879"/>
      <c r="D100" s="879"/>
      <c r="E100" s="879"/>
      <c r="F100" s="879"/>
      <c r="G100" s="879"/>
      <c r="H100" s="879"/>
      <c r="I100" s="879"/>
      <c r="J100" s="879"/>
      <c r="K100" s="879"/>
      <c r="L100" s="879"/>
      <c r="M100" s="879"/>
      <c r="N100" s="879"/>
      <c r="O100" s="879"/>
      <c r="P100" s="879"/>
      <c r="Q100" s="879"/>
      <c r="R100" s="879"/>
      <c r="S100" s="879"/>
      <c r="T100" s="879"/>
      <c r="U100" s="879"/>
      <c r="V100" s="879"/>
      <c r="W100" s="879"/>
    </row>
    <row r="101" spans="1:23" ht="12.75" customHeight="1">
      <c r="A101" s="879"/>
      <c r="B101" s="879"/>
      <c r="C101" s="879"/>
      <c r="D101" s="879"/>
      <c r="E101" s="879"/>
      <c r="F101" s="879"/>
      <c r="G101" s="879"/>
      <c r="H101" s="879"/>
      <c r="I101" s="879"/>
      <c r="J101" s="879"/>
      <c r="K101" s="879"/>
      <c r="L101" s="879"/>
      <c r="M101" s="879"/>
      <c r="N101" s="879"/>
      <c r="O101" s="879"/>
      <c r="P101" s="879"/>
      <c r="Q101" s="879"/>
      <c r="R101" s="879"/>
      <c r="S101" s="879"/>
      <c r="T101" s="879"/>
      <c r="U101" s="879"/>
      <c r="V101" s="879"/>
      <c r="W101" s="879"/>
    </row>
    <row r="102" spans="1:23" ht="12.75" customHeight="1">
      <c r="A102" s="879"/>
      <c r="B102" s="879"/>
      <c r="C102" s="879"/>
      <c r="D102" s="879"/>
      <c r="E102" s="879"/>
      <c r="F102" s="879"/>
      <c r="G102" s="879"/>
      <c r="H102" s="879"/>
      <c r="I102" s="879"/>
      <c r="J102" s="879"/>
      <c r="K102" s="879"/>
      <c r="L102" s="879"/>
      <c r="M102" s="879"/>
      <c r="N102" s="879"/>
      <c r="O102" s="879"/>
      <c r="P102" s="879"/>
      <c r="Q102" s="879"/>
      <c r="R102" s="879"/>
      <c r="S102" s="879"/>
      <c r="T102" s="879"/>
      <c r="U102" s="879"/>
      <c r="V102" s="879"/>
      <c r="W102" s="879"/>
    </row>
    <row r="103" spans="1:23" ht="12.75" customHeight="1">
      <c r="A103" s="879"/>
      <c r="B103" s="879"/>
      <c r="C103" s="879"/>
      <c r="D103" s="879"/>
      <c r="E103" s="879"/>
      <c r="F103" s="879"/>
      <c r="G103" s="879"/>
      <c r="H103" s="879"/>
      <c r="I103" s="879"/>
      <c r="J103" s="879"/>
      <c r="K103" s="879"/>
      <c r="L103" s="879"/>
      <c r="M103" s="879"/>
      <c r="N103" s="879"/>
      <c r="O103" s="879"/>
      <c r="P103" s="879"/>
      <c r="Q103" s="879"/>
      <c r="R103" s="879"/>
      <c r="S103" s="879"/>
      <c r="T103" s="879"/>
      <c r="U103" s="879"/>
      <c r="V103" s="879"/>
      <c r="W103" s="879"/>
    </row>
    <row r="104" spans="1:23" ht="12.75" customHeight="1">
      <c r="A104" s="879"/>
      <c r="B104" s="879"/>
      <c r="C104" s="879"/>
      <c r="D104" s="879"/>
      <c r="E104" s="879"/>
      <c r="F104" s="879"/>
      <c r="G104" s="879"/>
      <c r="H104" s="879"/>
      <c r="I104" s="879"/>
      <c r="J104" s="879"/>
      <c r="K104" s="879"/>
      <c r="L104" s="879"/>
      <c r="M104" s="879"/>
      <c r="N104" s="879"/>
      <c r="O104" s="879"/>
      <c r="P104" s="879"/>
      <c r="Q104" s="879"/>
      <c r="R104" s="879"/>
      <c r="S104" s="879"/>
      <c r="T104" s="879"/>
      <c r="U104" s="879"/>
      <c r="V104" s="879"/>
      <c r="W104" s="879"/>
    </row>
    <row r="105" spans="1:23" ht="12.75" customHeight="1">
      <c r="A105" s="879"/>
      <c r="B105" s="879"/>
      <c r="C105" s="879"/>
      <c r="D105" s="879"/>
      <c r="E105" s="879"/>
      <c r="F105" s="879"/>
      <c r="G105" s="879"/>
      <c r="H105" s="879"/>
      <c r="I105" s="879"/>
      <c r="J105" s="879"/>
      <c r="K105" s="879"/>
      <c r="L105" s="879"/>
      <c r="M105" s="879"/>
      <c r="N105" s="879"/>
      <c r="O105" s="879"/>
      <c r="P105" s="879"/>
      <c r="Q105" s="879"/>
      <c r="R105" s="879"/>
      <c r="S105" s="879"/>
      <c r="T105" s="879"/>
      <c r="U105" s="879"/>
      <c r="V105" s="879"/>
      <c r="W105" s="879"/>
    </row>
    <row r="106" spans="1:23" ht="12.75" customHeight="1">
      <c r="A106" s="879"/>
      <c r="B106" s="879"/>
      <c r="C106" s="879"/>
      <c r="D106" s="879"/>
      <c r="E106" s="879"/>
      <c r="F106" s="879"/>
      <c r="G106" s="879"/>
      <c r="H106" s="879"/>
      <c r="I106" s="879"/>
      <c r="J106" s="879"/>
      <c r="K106" s="879"/>
      <c r="L106" s="879"/>
      <c r="M106" s="879"/>
      <c r="N106" s="879"/>
      <c r="O106" s="879"/>
      <c r="P106" s="879"/>
      <c r="Q106" s="879"/>
      <c r="R106" s="879"/>
      <c r="S106" s="879"/>
      <c r="T106" s="879"/>
      <c r="U106" s="879"/>
      <c r="V106" s="879"/>
      <c r="W106" s="879"/>
    </row>
    <row r="107" spans="1:23" ht="12.75" customHeight="1">
      <c r="A107" s="879"/>
      <c r="B107" s="879"/>
      <c r="C107" s="879"/>
      <c r="D107" s="879"/>
      <c r="E107" s="879"/>
      <c r="F107" s="879"/>
      <c r="G107" s="879"/>
      <c r="H107" s="879"/>
      <c r="I107" s="879"/>
      <c r="J107" s="879"/>
      <c r="K107" s="879"/>
      <c r="L107" s="879"/>
      <c r="M107" s="879"/>
      <c r="N107" s="879"/>
      <c r="O107" s="879"/>
      <c r="P107" s="879"/>
      <c r="Q107" s="879"/>
      <c r="R107" s="879"/>
      <c r="S107" s="879"/>
      <c r="T107" s="879"/>
      <c r="U107" s="879"/>
      <c r="V107" s="879"/>
      <c r="W107" s="879"/>
    </row>
    <row r="108" spans="1:23" ht="12.75" customHeight="1">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row>
    <row r="109" spans="1:23" ht="12.75" customHeight="1">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row>
    <row r="110" spans="1:23" ht="12.75" customHeight="1">
      <c r="A110" s="879"/>
      <c r="B110" s="879"/>
      <c r="C110" s="879"/>
      <c r="D110" s="879"/>
      <c r="E110" s="879"/>
      <c r="F110" s="879"/>
      <c r="G110" s="879"/>
      <c r="H110" s="879"/>
      <c r="I110" s="879"/>
      <c r="J110" s="879"/>
      <c r="K110" s="879"/>
      <c r="L110" s="879"/>
      <c r="M110" s="879"/>
      <c r="N110" s="879"/>
      <c r="O110" s="879"/>
      <c r="P110" s="879"/>
      <c r="Q110" s="879"/>
      <c r="R110" s="879"/>
      <c r="S110" s="879"/>
      <c r="T110" s="879"/>
      <c r="U110" s="879"/>
      <c r="V110" s="879"/>
      <c r="W110" s="879"/>
    </row>
    <row r="111" spans="1:23" ht="12.75" customHeight="1">
      <c r="A111" s="879"/>
      <c r="B111" s="879"/>
      <c r="C111" s="879"/>
      <c r="D111" s="879"/>
      <c r="E111" s="879"/>
      <c r="F111" s="879"/>
      <c r="G111" s="879"/>
      <c r="H111" s="879"/>
      <c r="I111" s="879"/>
      <c r="J111" s="879"/>
      <c r="K111" s="879"/>
      <c r="L111" s="879"/>
      <c r="M111" s="879"/>
      <c r="N111" s="879"/>
      <c r="O111" s="879"/>
      <c r="P111" s="879"/>
      <c r="Q111" s="879"/>
      <c r="R111" s="879"/>
      <c r="S111" s="879"/>
      <c r="T111" s="879"/>
      <c r="U111" s="879"/>
      <c r="V111" s="879"/>
      <c r="W111" s="879"/>
    </row>
    <row r="112" spans="1:23" ht="12.75" customHeight="1">
      <c r="A112" s="879"/>
      <c r="B112" s="879"/>
      <c r="C112" s="879"/>
      <c r="D112" s="879"/>
      <c r="E112" s="879"/>
      <c r="F112" s="879"/>
      <c r="G112" s="879"/>
      <c r="H112" s="879"/>
      <c r="I112" s="879"/>
      <c r="J112" s="879"/>
      <c r="K112" s="879"/>
      <c r="L112" s="879"/>
      <c r="M112" s="879"/>
      <c r="N112" s="879"/>
      <c r="O112" s="879"/>
      <c r="P112" s="879"/>
      <c r="Q112" s="879"/>
      <c r="R112" s="879"/>
      <c r="S112" s="879"/>
      <c r="T112" s="879"/>
      <c r="U112" s="879"/>
      <c r="V112" s="879"/>
      <c r="W112" s="879"/>
    </row>
    <row r="113" spans="1:23" ht="12.75" customHeight="1">
      <c r="A113" s="879"/>
      <c r="B113" s="879"/>
      <c r="C113" s="879"/>
      <c r="D113" s="879"/>
      <c r="E113" s="879"/>
      <c r="F113" s="879"/>
      <c r="G113" s="879"/>
      <c r="H113" s="879"/>
      <c r="I113" s="879"/>
      <c r="J113" s="879"/>
      <c r="K113" s="879"/>
      <c r="L113" s="879"/>
      <c r="M113" s="879"/>
      <c r="N113" s="879"/>
      <c r="O113" s="879"/>
      <c r="P113" s="879"/>
      <c r="Q113" s="879"/>
      <c r="R113" s="879"/>
      <c r="S113" s="879"/>
      <c r="T113" s="879"/>
      <c r="U113" s="879"/>
      <c r="V113" s="879"/>
      <c r="W113" s="879"/>
    </row>
    <row r="114" spans="1:23" ht="12.75" customHeight="1">
      <c r="A114" s="879"/>
      <c r="B114" s="879"/>
      <c r="C114" s="879"/>
      <c r="D114" s="879"/>
      <c r="E114" s="879"/>
      <c r="F114" s="879"/>
      <c r="G114" s="879"/>
      <c r="H114" s="879"/>
      <c r="I114" s="879"/>
      <c r="J114" s="879"/>
      <c r="K114" s="879"/>
      <c r="L114" s="879"/>
      <c r="M114" s="879"/>
      <c r="N114" s="879"/>
      <c r="O114" s="879"/>
      <c r="P114" s="879"/>
      <c r="Q114" s="879"/>
      <c r="R114" s="879"/>
      <c r="S114" s="879"/>
      <c r="T114" s="879"/>
      <c r="U114" s="879"/>
      <c r="V114" s="879"/>
      <c r="W114" s="879"/>
    </row>
    <row r="115" spans="1:23" ht="12.75" customHeight="1">
      <c r="A115" s="879"/>
      <c r="B115" s="879"/>
      <c r="C115" s="879"/>
      <c r="D115" s="879"/>
      <c r="E115" s="879"/>
      <c r="F115" s="879"/>
      <c r="G115" s="879"/>
      <c r="H115" s="879"/>
      <c r="I115" s="879"/>
      <c r="J115" s="879"/>
      <c r="K115" s="879"/>
      <c r="L115" s="879"/>
      <c r="M115" s="879"/>
      <c r="N115" s="879"/>
      <c r="O115" s="879"/>
      <c r="P115" s="879"/>
      <c r="Q115" s="879"/>
      <c r="R115" s="879"/>
      <c r="S115" s="879"/>
      <c r="T115" s="879"/>
      <c r="U115" s="879"/>
      <c r="V115" s="879"/>
      <c r="W115" s="879"/>
    </row>
    <row r="116" spans="1:23" ht="12.75" customHeight="1">
      <c r="A116" s="879"/>
      <c r="B116" s="879"/>
      <c r="C116" s="879"/>
      <c r="D116" s="879"/>
      <c r="E116" s="879"/>
      <c r="F116" s="879"/>
      <c r="G116" s="879"/>
      <c r="H116" s="879"/>
      <c r="I116" s="879"/>
      <c r="J116" s="879"/>
      <c r="K116" s="879"/>
      <c r="L116" s="879"/>
      <c r="M116" s="879"/>
      <c r="N116" s="879"/>
      <c r="O116" s="879"/>
      <c r="P116" s="879"/>
      <c r="Q116" s="879"/>
      <c r="R116" s="879"/>
      <c r="S116" s="879"/>
      <c r="T116" s="879"/>
      <c r="U116" s="879"/>
      <c r="V116" s="879"/>
      <c r="W116" s="879"/>
    </row>
    <row r="117" spans="1:23" ht="12.75" customHeight="1">
      <c r="A117" s="879"/>
      <c r="B117" s="879"/>
      <c r="C117" s="879"/>
      <c r="D117" s="879"/>
      <c r="E117" s="879"/>
      <c r="F117" s="879"/>
      <c r="G117" s="879"/>
      <c r="H117" s="879"/>
      <c r="I117" s="879"/>
      <c r="J117" s="879"/>
      <c r="K117" s="879"/>
      <c r="L117" s="879"/>
      <c r="M117" s="879"/>
      <c r="N117" s="879"/>
      <c r="O117" s="879"/>
      <c r="P117" s="879"/>
      <c r="Q117" s="879"/>
      <c r="R117" s="879"/>
      <c r="S117" s="879"/>
      <c r="T117" s="879"/>
      <c r="U117" s="879"/>
      <c r="V117" s="879"/>
      <c r="W117" s="879"/>
    </row>
    <row r="118" spans="1:23" ht="12.75" customHeight="1">
      <c r="A118" s="879"/>
      <c r="B118" s="879"/>
      <c r="C118" s="879"/>
      <c r="D118" s="879"/>
      <c r="E118" s="879"/>
      <c r="F118" s="879"/>
      <c r="G118" s="879"/>
      <c r="H118" s="879"/>
      <c r="I118" s="879"/>
      <c r="J118" s="879"/>
      <c r="K118" s="879"/>
      <c r="L118" s="879"/>
      <c r="M118" s="879"/>
      <c r="N118" s="879"/>
      <c r="O118" s="879"/>
      <c r="P118" s="879"/>
      <c r="Q118" s="879"/>
      <c r="R118" s="879"/>
      <c r="S118" s="879"/>
      <c r="T118" s="879"/>
      <c r="U118" s="879"/>
      <c r="V118" s="879"/>
      <c r="W118" s="879"/>
    </row>
    <row r="119" spans="1:23" ht="12.75" customHeight="1">
      <c r="A119" s="879"/>
      <c r="B119" s="879"/>
      <c r="C119" s="879"/>
      <c r="D119" s="879"/>
      <c r="E119" s="879"/>
      <c r="F119" s="879"/>
      <c r="G119" s="879"/>
      <c r="H119" s="879"/>
      <c r="I119" s="879"/>
      <c r="J119" s="879"/>
      <c r="K119" s="879"/>
      <c r="L119" s="879"/>
      <c r="M119" s="879"/>
      <c r="N119" s="879"/>
      <c r="O119" s="879"/>
      <c r="P119" s="879"/>
      <c r="Q119" s="879"/>
      <c r="R119" s="879"/>
      <c r="S119" s="879"/>
      <c r="T119" s="879"/>
      <c r="U119" s="879"/>
      <c r="V119" s="879"/>
      <c r="W119" s="879"/>
    </row>
    <row r="120" spans="1:23" ht="12.75" customHeight="1">
      <c r="A120" s="879"/>
      <c r="B120" s="879"/>
      <c r="C120" s="879"/>
      <c r="D120" s="879"/>
      <c r="E120" s="879"/>
      <c r="F120" s="879"/>
      <c r="G120" s="879"/>
      <c r="H120" s="879"/>
      <c r="I120" s="879"/>
      <c r="J120" s="879"/>
      <c r="K120" s="879"/>
      <c r="L120" s="879"/>
      <c r="M120" s="879"/>
      <c r="N120" s="879"/>
      <c r="O120" s="879"/>
      <c r="P120" s="879"/>
      <c r="Q120" s="879"/>
      <c r="R120" s="879"/>
      <c r="S120" s="879"/>
      <c r="T120" s="879"/>
      <c r="U120" s="879"/>
      <c r="V120" s="879"/>
      <c r="W120" s="879"/>
    </row>
    <row r="121" spans="1:23" ht="12.75" customHeight="1">
      <c r="A121" s="879"/>
      <c r="B121" s="879"/>
      <c r="C121" s="879"/>
      <c r="D121" s="879"/>
      <c r="E121" s="879"/>
      <c r="F121" s="879"/>
      <c r="G121" s="879"/>
      <c r="H121" s="879"/>
      <c r="I121" s="879"/>
      <c r="J121" s="879"/>
      <c r="K121" s="879"/>
      <c r="L121" s="879"/>
      <c r="M121" s="879"/>
      <c r="N121" s="879"/>
      <c r="O121" s="879"/>
      <c r="P121" s="879"/>
      <c r="Q121" s="879"/>
      <c r="R121" s="879"/>
      <c r="S121" s="879"/>
      <c r="T121" s="879"/>
      <c r="U121" s="879"/>
      <c r="V121" s="879"/>
      <c r="W121" s="879"/>
    </row>
    <row r="122" spans="1:23" ht="12.75" customHeight="1">
      <c r="A122" s="879"/>
      <c r="B122" s="879"/>
      <c r="C122" s="879"/>
      <c r="D122" s="879"/>
      <c r="E122" s="879"/>
      <c r="F122" s="879"/>
      <c r="G122" s="879"/>
      <c r="H122" s="879"/>
      <c r="I122" s="879"/>
      <c r="J122" s="879"/>
      <c r="K122" s="879"/>
      <c r="L122" s="879"/>
      <c r="M122" s="879"/>
      <c r="N122" s="879"/>
      <c r="O122" s="879"/>
      <c r="P122" s="879"/>
      <c r="Q122" s="879"/>
      <c r="R122" s="879"/>
      <c r="S122" s="879"/>
      <c r="T122" s="879"/>
      <c r="U122" s="879"/>
      <c r="V122" s="879"/>
      <c r="W122" s="879"/>
    </row>
    <row r="123" spans="1:23" ht="12.75" customHeight="1">
      <c r="A123" s="879"/>
      <c r="B123" s="879"/>
      <c r="C123" s="879"/>
      <c r="D123" s="879"/>
      <c r="E123" s="879"/>
      <c r="F123" s="879"/>
      <c r="G123" s="879"/>
      <c r="H123" s="879"/>
      <c r="I123" s="879"/>
      <c r="J123" s="879"/>
      <c r="K123" s="879"/>
      <c r="L123" s="879"/>
      <c r="M123" s="879"/>
      <c r="N123" s="879"/>
      <c r="O123" s="879"/>
      <c r="P123" s="879"/>
      <c r="Q123" s="879"/>
      <c r="R123" s="879"/>
      <c r="S123" s="879"/>
      <c r="T123" s="879"/>
      <c r="U123" s="879"/>
      <c r="V123" s="879"/>
      <c r="W123" s="879"/>
    </row>
    <row r="124" spans="1:23" ht="12.75" customHeight="1">
      <c r="A124" s="879"/>
      <c r="B124" s="879"/>
      <c r="C124" s="879"/>
      <c r="D124" s="879"/>
      <c r="E124" s="879"/>
      <c r="F124" s="879"/>
      <c r="G124" s="879"/>
      <c r="H124" s="879"/>
      <c r="I124" s="879"/>
      <c r="J124" s="879"/>
      <c r="K124" s="879"/>
      <c r="L124" s="879"/>
      <c r="M124" s="879"/>
      <c r="N124" s="879"/>
      <c r="O124" s="879"/>
      <c r="P124" s="879"/>
      <c r="Q124" s="879"/>
      <c r="R124" s="879"/>
      <c r="S124" s="879"/>
      <c r="T124" s="879"/>
      <c r="U124" s="879"/>
      <c r="V124" s="879"/>
      <c r="W124" s="879"/>
    </row>
    <row r="125" spans="1:23" ht="12.75" customHeight="1">
      <c r="A125" s="879"/>
      <c r="B125" s="879"/>
      <c r="C125" s="879"/>
      <c r="D125" s="879"/>
      <c r="E125" s="879"/>
      <c r="F125" s="879"/>
      <c r="G125" s="879"/>
      <c r="H125" s="879"/>
      <c r="I125" s="879"/>
      <c r="J125" s="879"/>
      <c r="K125" s="879"/>
      <c r="L125" s="879"/>
      <c r="M125" s="879"/>
      <c r="N125" s="879"/>
      <c r="O125" s="879"/>
      <c r="P125" s="879"/>
      <c r="Q125" s="879"/>
      <c r="R125" s="879"/>
      <c r="S125" s="879"/>
      <c r="T125" s="879"/>
      <c r="U125" s="879"/>
      <c r="V125" s="879"/>
      <c r="W125" s="879"/>
    </row>
    <row r="126" spans="1:23" ht="12.75" customHeight="1">
      <c r="A126" s="879"/>
      <c r="B126" s="879"/>
      <c r="C126" s="879"/>
      <c r="D126" s="879"/>
      <c r="E126" s="879"/>
      <c r="F126" s="879"/>
      <c r="G126" s="879"/>
      <c r="H126" s="879"/>
      <c r="I126" s="879"/>
      <c r="J126" s="879"/>
      <c r="K126" s="879"/>
      <c r="L126" s="879"/>
      <c r="M126" s="879"/>
      <c r="N126" s="879"/>
      <c r="O126" s="879"/>
      <c r="P126" s="879"/>
      <c r="Q126" s="879"/>
      <c r="R126" s="879"/>
      <c r="S126" s="879"/>
      <c r="T126" s="879"/>
      <c r="U126" s="879"/>
      <c r="V126" s="879"/>
      <c r="W126" s="879"/>
    </row>
    <row r="127" spans="1:23" ht="12.75" customHeight="1">
      <c r="A127" s="879"/>
      <c r="B127" s="879"/>
      <c r="C127" s="879"/>
      <c r="D127" s="879"/>
      <c r="E127" s="879"/>
      <c r="F127" s="879"/>
      <c r="G127" s="879"/>
      <c r="H127" s="879"/>
      <c r="I127" s="879"/>
      <c r="J127" s="879"/>
      <c r="K127" s="879"/>
      <c r="L127" s="879"/>
      <c r="M127" s="879"/>
      <c r="N127" s="879"/>
      <c r="O127" s="879"/>
      <c r="P127" s="879"/>
      <c r="Q127" s="879"/>
      <c r="R127" s="879"/>
      <c r="S127" s="879"/>
      <c r="T127" s="879"/>
      <c r="U127" s="879"/>
      <c r="V127" s="879"/>
      <c r="W127" s="879"/>
    </row>
    <row r="128" spans="1:23" ht="12.75" customHeight="1">
      <c r="A128" s="879"/>
      <c r="B128" s="879"/>
      <c r="C128" s="879"/>
      <c r="D128" s="879"/>
      <c r="E128" s="879"/>
      <c r="F128" s="879"/>
      <c r="G128" s="879"/>
      <c r="H128" s="879"/>
      <c r="I128" s="879"/>
      <c r="J128" s="879"/>
      <c r="K128" s="879"/>
      <c r="L128" s="879"/>
      <c r="M128" s="879"/>
      <c r="N128" s="879"/>
      <c r="O128" s="879"/>
      <c r="P128" s="879"/>
      <c r="Q128" s="879"/>
      <c r="R128" s="879"/>
      <c r="S128" s="879"/>
      <c r="T128" s="879"/>
      <c r="U128" s="879"/>
      <c r="V128" s="879"/>
      <c r="W128" s="879"/>
    </row>
    <row r="129" spans="1:23" ht="12.75" customHeight="1">
      <c r="A129" s="879"/>
      <c r="B129" s="879"/>
      <c r="C129" s="879"/>
      <c r="D129" s="879"/>
      <c r="E129" s="879"/>
      <c r="F129" s="879"/>
      <c r="G129" s="879"/>
      <c r="H129" s="879"/>
      <c r="I129" s="879"/>
      <c r="J129" s="879"/>
      <c r="K129" s="879"/>
      <c r="L129" s="879"/>
      <c r="M129" s="879"/>
      <c r="N129" s="879"/>
      <c r="O129" s="879"/>
      <c r="P129" s="879"/>
      <c r="Q129" s="879"/>
      <c r="R129" s="879"/>
      <c r="S129" s="879"/>
      <c r="T129" s="879"/>
      <c r="U129" s="879"/>
      <c r="V129" s="879"/>
      <c r="W129" s="879"/>
    </row>
    <row r="130" spans="1:23" ht="12.75" customHeight="1">
      <c r="A130" s="879"/>
      <c r="B130" s="879"/>
      <c r="C130" s="879"/>
      <c r="D130" s="879"/>
      <c r="E130" s="879"/>
      <c r="F130" s="879"/>
      <c r="G130" s="879"/>
      <c r="H130" s="879"/>
      <c r="I130" s="879"/>
      <c r="J130" s="879"/>
      <c r="K130" s="879"/>
      <c r="L130" s="879"/>
      <c r="M130" s="879"/>
      <c r="N130" s="879"/>
      <c r="O130" s="879"/>
      <c r="P130" s="879"/>
      <c r="Q130" s="879"/>
      <c r="R130" s="879"/>
      <c r="S130" s="879"/>
      <c r="T130" s="879"/>
      <c r="U130" s="879"/>
      <c r="V130" s="879"/>
      <c r="W130" s="879"/>
    </row>
    <row r="131" spans="1:23" ht="12.75" customHeight="1">
      <c r="A131" s="879"/>
      <c r="B131" s="879"/>
      <c r="C131" s="879"/>
      <c r="D131" s="879"/>
      <c r="E131" s="879"/>
      <c r="F131" s="879"/>
      <c r="G131" s="879"/>
      <c r="H131" s="879"/>
      <c r="I131" s="879"/>
      <c r="J131" s="879"/>
      <c r="K131" s="879"/>
      <c r="L131" s="879"/>
      <c r="M131" s="879"/>
      <c r="N131" s="879"/>
      <c r="O131" s="879"/>
      <c r="P131" s="879"/>
      <c r="Q131" s="879"/>
      <c r="R131" s="879"/>
      <c r="S131" s="879"/>
      <c r="T131" s="879"/>
      <c r="U131" s="879"/>
      <c r="V131" s="879"/>
      <c r="W131" s="879"/>
    </row>
    <row r="132" spans="1:23" ht="12.75" customHeight="1">
      <c r="A132" s="879"/>
      <c r="B132" s="879"/>
      <c r="C132" s="879"/>
      <c r="D132" s="879"/>
      <c r="E132" s="879"/>
      <c r="F132" s="879"/>
      <c r="G132" s="879"/>
      <c r="H132" s="879"/>
      <c r="I132" s="879"/>
      <c r="J132" s="879"/>
      <c r="K132" s="879"/>
      <c r="L132" s="879"/>
      <c r="M132" s="879"/>
      <c r="N132" s="879"/>
      <c r="O132" s="879"/>
      <c r="P132" s="879"/>
      <c r="Q132" s="879"/>
      <c r="R132" s="879"/>
      <c r="S132" s="879"/>
      <c r="T132" s="879"/>
      <c r="U132" s="879"/>
      <c r="V132" s="879"/>
      <c r="W132" s="879"/>
    </row>
    <row r="133" spans="1:23" ht="12.75" customHeight="1">
      <c r="A133" s="879"/>
      <c r="B133" s="879"/>
      <c r="C133" s="879"/>
      <c r="D133" s="879"/>
      <c r="E133" s="879"/>
      <c r="F133" s="879"/>
      <c r="G133" s="879"/>
      <c r="H133" s="879"/>
      <c r="I133" s="879"/>
      <c r="J133" s="879"/>
      <c r="K133" s="879"/>
      <c r="L133" s="879"/>
      <c r="M133" s="879"/>
      <c r="N133" s="879"/>
      <c r="O133" s="879"/>
      <c r="P133" s="879"/>
      <c r="Q133" s="879"/>
      <c r="R133" s="879"/>
      <c r="S133" s="879"/>
      <c r="T133" s="879"/>
      <c r="U133" s="879"/>
      <c r="V133" s="879"/>
      <c r="W133" s="879"/>
    </row>
    <row r="134" spans="1:23" ht="12.75" customHeight="1">
      <c r="A134" s="879"/>
      <c r="B134" s="879"/>
      <c r="C134" s="879"/>
      <c r="D134" s="879"/>
      <c r="E134" s="879"/>
      <c r="F134" s="879"/>
      <c r="G134" s="879"/>
      <c r="H134" s="879"/>
      <c r="I134" s="879"/>
      <c r="J134" s="879"/>
      <c r="K134" s="879"/>
      <c r="L134" s="879"/>
      <c r="M134" s="879"/>
      <c r="N134" s="879"/>
      <c r="O134" s="879"/>
      <c r="P134" s="879"/>
      <c r="Q134" s="879"/>
      <c r="R134" s="879"/>
      <c r="S134" s="879"/>
      <c r="T134" s="879"/>
      <c r="U134" s="879"/>
      <c r="V134" s="879"/>
      <c r="W134" s="879"/>
    </row>
    <row r="135" spans="1:23" ht="12.75" customHeight="1">
      <c r="A135" s="879"/>
      <c r="B135" s="879"/>
      <c r="C135" s="879"/>
      <c r="D135" s="879"/>
      <c r="E135" s="879"/>
      <c r="F135" s="879"/>
      <c r="G135" s="879"/>
      <c r="H135" s="879"/>
      <c r="I135" s="879"/>
      <c r="J135" s="879"/>
      <c r="K135" s="879"/>
      <c r="L135" s="879"/>
      <c r="M135" s="879"/>
      <c r="N135" s="879"/>
      <c r="O135" s="879"/>
      <c r="P135" s="879"/>
      <c r="Q135" s="879"/>
      <c r="R135" s="879"/>
      <c r="S135" s="879"/>
      <c r="T135" s="879"/>
      <c r="U135" s="879"/>
      <c r="V135" s="879"/>
      <c r="W135" s="879"/>
    </row>
    <row r="136" spans="1:23" ht="12.75" customHeight="1">
      <c r="A136" s="879"/>
      <c r="B136" s="879"/>
      <c r="C136" s="879"/>
      <c r="D136" s="879"/>
      <c r="E136" s="879"/>
      <c r="F136" s="879"/>
      <c r="G136" s="879"/>
      <c r="H136" s="879"/>
      <c r="I136" s="879"/>
      <c r="J136" s="879"/>
      <c r="K136" s="879"/>
      <c r="L136" s="879"/>
      <c r="M136" s="879"/>
      <c r="N136" s="879"/>
      <c r="O136" s="879"/>
      <c r="P136" s="879"/>
      <c r="Q136" s="879"/>
      <c r="R136" s="879"/>
      <c r="S136" s="879"/>
      <c r="T136" s="879"/>
      <c r="U136" s="879"/>
      <c r="V136" s="879"/>
      <c r="W136" s="879"/>
    </row>
    <row r="137" spans="1:23" ht="12.75" customHeight="1">
      <c r="A137" s="879"/>
      <c r="B137" s="879"/>
      <c r="C137" s="879"/>
      <c r="D137" s="879"/>
      <c r="E137" s="879"/>
      <c r="F137" s="879"/>
      <c r="G137" s="879"/>
      <c r="H137" s="879"/>
      <c r="I137" s="879"/>
      <c r="J137" s="879"/>
      <c r="K137" s="879"/>
      <c r="L137" s="879"/>
      <c r="M137" s="879"/>
      <c r="N137" s="879"/>
      <c r="O137" s="879"/>
      <c r="P137" s="879"/>
      <c r="Q137" s="879"/>
      <c r="R137" s="879"/>
      <c r="S137" s="879"/>
      <c r="T137" s="879"/>
      <c r="U137" s="879"/>
      <c r="V137" s="879"/>
      <c r="W137" s="879"/>
    </row>
    <row r="138" spans="1:23" ht="12.75" customHeight="1">
      <c r="A138" s="879"/>
      <c r="B138" s="879"/>
      <c r="C138" s="879"/>
      <c r="D138" s="879"/>
      <c r="E138" s="879"/>
      <c r="F138" s="879"/>
      <c r="G138" s="879"/>
      <c r="H138" s="879"/>
      <c r="I138" s="879"/>
      <c r="J138" s="879"/>
      <c r="K138" s="879"/>
      <c r="L138" s="879"/>
      <c r="M138" s="879"/>
      <c r="N138" s="879"/>
      <c r="O138" s="879"/>
      <c r="P138" s="879"/>
      <c r="Q138" s="879"/>
      <c r="R138" s="879"/>
      <c r="S138" s="879"/>
      <c r="T138" s="879"/>
      <c r="U138" s="879"/>
      <c r="V138" s="879"/>
      <c r="W138" s="879"/>
    </row>
    <row r="139" spans="1:23" ht="12.75" customHeight="1">
      <c r="A139" s="879"/>
      <c r="B139" s="879"/>
      <c r="C139" s="879"/>
      <c r="D139" s="879"/>
      <c r="E139" s="879"/>
      <c r="F139" s="879"/>
      <c r="G139" s="879"/>
      <c r="H139" s="879"/>
      <c r="I139" s="879"/>
      <c r="J139" s="879"/>
      <c r="K139" s="879"/>
      <c r="L139" s="879"/>
      <c r="M139" s="879"/>
      <c r="N139" s="879"/>
      <c r="O139" s="879"/>
      <c r="P139" s="879"/>
      <c r="Q139" s="879"/>
      <c r="R139" s="879"/>
      <c r="S139" s="879"/>
      <c r="T139" s="879"/>
      <c r="U139" s="879"/>
      <c r="V139" s="879"/>
      <c r="W139" s="879"/>
    </row>
    <row r="140" spans="1:23" ht="12.75" customHeight="1">
      <c r="A140" s="879"/>
      <c r="B140" s="879"/>
      <c r="C140" s="879"/>
      <c r="D140" s="879"/>
      <c r="E140" s="879"/>
      <c r="F140" s="879"/>
      <c r="G140" s="879"/>
      <c r="H140" s="879"/>
      <c r="I140" s="879"/>
      <c r="J140" s="879"/>
      <c r="K140" s="879"/>
      <c r="L140" s="879"/>
      <c r="M140" s="879"/>
      <c r="N140" s="879"/>
      <c r="O140" s="879"/>
      <c r="P140" s="879"/>
      <c r="Q140" s="879"/>
      <c r="R140" s="879"/>
      <c r="S140" s="879"/>
      <c r="T140" s="879"/>
      <c r="U140" s="879"/>
      <c r="V140" s="879"/>
      <c r="W140" s="879"/>
    </row>
    <row r="141" spans="1:23" ht="12.75" customHeight="1">
      <c r="A141" s="879"/>
      <c r="B141" s="879"/>
      <c r="C141" s="879"/>
      <c r="D141" s="879"/>
      <c r="E141" s="879"/>
      <c r="F141" s="879"/>
      <c r="G141" s="879"/>
      <c r="H141" s="879"/>
      <c r="I141" s="879"/>
      <c r="J141" s="879"/>
      <c r="K141" s="879"/>
      <c r="L141" s="879"/>
      <c r="M141" s="879"/>
      <c r="N141" s="879"/>
      <c r="O141" s="879"/>
      <c r="P141" s="879"/>
      <c r="Q141" s="879"/>
      <c r="R141" s="879"/>
      <c r="S141" s="879"/>
      <c r="T141" s="879"/>
      <c r="U141" s="879"/>
      <c r="V141" s="879"/>
      <c r="W141" s="879"/>
    </row>
    <row r="142" spans="1:23" ht="12.75" customHeight="1">
      <c r="A142" s="879"/>
      <c r="B142" s="879"/>
      <c r="C142" s="879"/>
      <c r="D142" s="879"/>
      <c r="E142" s="879"/>
      <c r="F142" s="879"/>
      <c r="G142" s="879"/>
      <c r="H142" s="879"/>
      <c r="I142" s="879"/>
      <c r="J142" s="879"/>
      <c r="K142" s="879"/>
      <c r="L142" s="879"/>
      <c r="M142" s="879"/>
      <c r="N142" s="879"/>
      <c r="O142" s="879"/>
      <c r="P142" s="879"/>
      <c r="Q142" s="879"/>
      <c r="R142" s="879"/>
      <c r="S142" s="879"/>
      <c r="T142" s="879"/>
      <c r="U142" s="879"/>
      <c r="V142" s="879"/>
      <c r="W142" s="879"/>
    </row>
    <row r="143" spans="1:23" ht="12.75" customHeight="1">
      <c r="A143" s="879"/>
      <c r="B143" s="879"/>
      <c r="C143" s="879"/>
      <c r="D143" s="879"/>
      <c r="E143" s="879"/>
      <c r="F143" s="879"/>
      <c r="G143" s="879"/>
      <c r="H143" s="879"/>
      <c r="I143" s="879"/>
      <c r="J143" s="879"/>
      <c r="K143" s="879"/>
      <c r="L143" s="879"/>
      <c r="M143" s="879"/>
      <c r="N143" s="879"/>
      <c r="O143" s="879"/>
      <c r="P143" s="879"/>
      <c r="Q143" s="879"/>
      <c r="R143" s="879"/>
      <c r="S143" s="879"/>
      <c r="T143" s="879"/>
      <c r="U143" s="879"/>
      <c r="V143" s="879"/>
      <c r="W143" s="879"/>
    </row>
    <row r="144" spans="1:23" ht="12.75" customHeight="1">
      <c r="A144" s="879"/>
      <c r="B144" s="879"/>
      <c r="C144" s="879"/>
      <c r="D144" s="879"/>
      <c r="E144" s="879"/>
      <c r="F144" s="879"/>
      <c r="G144" s="879"/>
      <c r="H144" s="879"/>
      <c r="I144" s="879"/>
      <c r="J144" s="879"/>
      <c r="K144" s="879"/>
      <c r="L144" s="879"/>
      <c r="M144" s="879"/>
      <c r="N144" s="879"/>
      <c r="O144" s="879"/>
      <c r="P144" s="879"/>
      <c r="Q144" s="879"/>
      <c r="R144" s="879"/>
      <c r="S144" s="879"/>
      <c r="T144" s="879"/>
      <c r="U144" s="879"/>
      <c r="V144" s="879"/>
      <c r="W144" s="879"/>
    </row>
    <row r="145" spans="1:23" ht="12.75" customHeight="1">
      <c r="A145" s="879"/>
      <c r="B145" s="879"/>
      <c r="C145" s="879"/>
      <c r="D145" s="879"/>
      <c r="E145" s="879"/>
      <c r="F145" s="879"/>
      <c r="G145" s="879"/>
      <c r="H145" s="879"/>
      <c r="I145" s="879"/>
      <c r="J145" s="879"/>
      <c r="K145" s="879"/>
      <c r="L145" s="879"/>
      <c r="M145" s="879"/>
      <c r="N145" s="879"/>
      <c r="O145" s="879"/>
      <c r="P145" s="879"/>
      <c r="Q145" s="879"/>
      <c r="R145" s="879"/>
      <c r="S145" s="879"/>
      <c r="T145" s="879"/>
      <c r="U145" s="879"/>
      <c r="V145" s="879"/>
      <c r="W145" s="879"/>
    </row>
    <row r="146" spans="1:23" ht="12.75" customHeight="1">
      <c r="A146" s="879"/>
      <c r="B146" s="879"/>
      <c r="C146" s="879"/>
      <c r="D146" s="879"/>
      <c r="E146" s="879"/>
      <c r="F146" s="879"/>
      <c r="G146" s="879"/>
      <c r="H146" s="879"/>
      <c r="I146" s="879"/>
      <c r="J146" s="879"/>
      <c r="K146" s="879"/>
      <c r="L146" s="879"/>
      <c r="M146" s="879"/>
      <c r="N146" s="879"/>
      <c r="O146" s="879"/>
      <c r="P146" s="879"/>
      <c r="Q146" s="879"/>
      <c r="R146" s="879"/>
      <c r="S146" s="879"/>
      <c r="T146" s="879"/>
      <c r="U146" s="879"/>
      <c r="V146" s="879"/>
      <c r="W146" s="879"/>
    </row>
    <row r="147" spans="1:23" ht="12.75" customHeight="1">
      <c r="A147" s="879"/>
      <c r="B147" s="879"/>
      <c r="C147" s="879"/>
      <c r="D147" s="879"/>
      <c r="E147" s="879"/>
      <c r="F147" s="879"/>
      <c r="G147" s="879"/>
      <c r="H147" s="879"/>
      <c r="I147" s="879"/>
      <c r="J147" s="879"/>
      <c r="K147" s="879"/>
      <c r="L147" s="879"/>
      <c r="M147" s="879"/>
      <c r="N147" s="879"/>
      <c r="O147" s="879"/>
      <c r="P147" s="879"/>
      <c r="Q147" s="879"/>
      <c r="R147" s="879"/>
      <c r="S147" s="879"/>
      <c r="T147" s="879"/>
      <c r="U147" s="879"/>
      <c r="V147" s="879"/>
      <c r="W147" s="879"/>
    </row>
    <row r="148" spans="1:23" ht="12.75" customHeight="1">
      <c r="A148" s="879"/>
      <c r="B148" s="879"/>
      <c r="C148" s="879"/>
      <c r="D148" s="879"/>
      <c r="E148" s="879"/>
      <c r="F148" s="879"/>
      <c r="G148" s="879"/>
      <c r="H148" s="879"/>
      <c r="I148" s="879"/>
      <c r="J148" s="879"/>
      <c r="K148" s="879"/>
      <c r="L148" s="879"/>
      <c r="M148" s="879"/>
      <c r="N148" s="879"/>
      <c r="O148" s="879"/>
      <c r="P148" s="879"/>
      <c r="Q148" s="879"/>
      <c r="R148" s="879"/>
      <c r="S148" s="879"/>
      <c r="T148" s="879"/>
      <c r="U148" s="879"/>
      <c r="V148" s="879"/>
      <c r="W148" s="879"/>
    </row>
    <row r="149" spans="1:23" ht="12.75" customHeight="1">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row>
    <row r="150" spans="1:23" ht="12.75" customHeight="1">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row>
    <row r="151" spans="1:23" ht="12.75" customHeight="1">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row>
    <row r="152" spans="1:23" ht="12.75" customHeight="1">
      <c r="A152" s="879"/>
      <c r="B152" s="879"/>
      <c r="C152" s="879"/>
      <c r="D152" s="879"/>
      <c r="E152" s="879"/>
      <c r="F152" s="879"/>
      <c r="G152" s="879"/>
      <c r="H152" s="879"/>
      <c r="I152" s="879"/>
      <c r="J152" s="879"/>
      <c r="K152" s="879"/>
      <c r="L152" s="879"/>
      <c r="M152" s="879"/>
      <c r="N152" s="879"/>
      <c r="O152" s="879"/>
      <c r="P152" s="879"/>
      <c r="Q152" s="879"/>
      <c r="R152" s="879"/>
      <c r="S152" s="879"/>
      <c r="T152" s="879"/>
      <c r="U152" s="879"/>
      <c r="V152" s="879"/>
      <c r="W152" s="879"/>
    </row>
    <row r="153" spans="1:23" ht="12.75" customHeight="1">
      <c r="A153" s="879"/>
      <c r="B153" s="879"/>
      <c r="C153" s="879"/>
      <c r="D153" s="879"/>
      <c r="E153" s="879"/>
      <c r="F153" s="879"/>
      <c r="G153" s="879"/>
      <c r="H153" s="879"/>
      <c r="I153" s="879"/>
      <c r="J153" s="879"/>
      <c r="K153" s="879"/>
      <c r="L153" s="879"/>
      <c r="M153" s="879"/>
      <c r="N153" s="879"/>
      <c r="O153" s="879"/>
      <c r="P153" s="879"/>
      <c r="Q153" s="879"/>
      <c r="R153" s="879"/>
      <c r="S153" s="879"/>
      <c r="T153" s="879"/>
      <c r="U153" s="879"/>
      <c r="V153" s="879"/>
      <c r="W153" s="879"/>
    </row>
    <row r="154" spans="1:23" ht="12.75" customHeight="1">
      <c r="A154" s="879"/>
      <c r="B154" s="879"/>
      <c r="C154" s="879"/>
      <c r="D154" s="879"/>
      <c r="E154" s="879"/>
      <c r="F154" s="879"/>
      <c r="G154" s="879"/>
      <c r="H154" s="879"/>
      <c r="I154" s="879"/>
      <c r="J154" s="879"/>
      <c r="K154" s="879"/>
      <c r="L154" s="879"/>
      <c r="M154" s="879"/>
      <c r="N154" s="879"/>
      <c r="O154" s="879"/>
      <c r="P154" s="879"/>
      <c r="Q154" s="879"/>
      <c r="R154" s="879"/>
      <c r="S154" s="879"/>
      <c r="T154" s="879"/>
      <c r="U154" s="879"/>
      <c r="V154" s="879"/>
      <c r="W154" s="879"/>
    </row>
    <row r="155" spans="1:23" ht="12.75" customHeight="1">
      <c r="A155" s="879"/>
      <c r="B155" s="879"/>
      <c r="C155" s="879"/>
      <c r="D155" s="879"/>
      <c r="E155" s="879"/>
      <c r="F155" s="879"/>
      <c r="G155" s="879"/>
      <c r="H155" s="879"/>
      <c r="I155" s="879"/>
      <c r="J155" s="879"/>
      <c r="K155" s="879"/>
      <c r="L155" s="879"/>
      <c r="M155" s="879"/>
      <c r="N155" s="879"/>
      <c r="O155" s="879"/>
      <c r="P155" s="879"/>
      <c r="Q155" s="879"/>
      <c r="R155" s="879"/>
      <c r="S155" s="879"/>
      <c r="T155" s="879"/>
      <c r="U155" s="879"/>
      <c r="V155" s="879"/>
      <c r="W155" s="879"/>
    </row>
    <row r="156" spans="1:23" ht="12.75" customHeight="1">
      <c r="A156" s="879"/>
      <c r="B156" s="879"/>
      <c r="C156" s="879"/>
      <c r="D156" s="879"/>
      <c r="E156" s="879"/>
      <c r="F156" s="879"/>
      <c r="G156" s="879"/>
      <c r="H156" s="879"/>
      <c r="I156" s="879"/>
      <c r="J156" s="879"/>
      <c r="K156" s="879"/>
      <c r="L156" s="879"/>
      <c r="M156" s="879"/>
      <c r="N156" s="879"/>
      <c r="O156" s="879"/>
      <c r="P156" s="879"/>
      <c r="Q156" s="879"/>
      <c r="R156" s="879"/>
      <c r="S156" s="879"/>
      <c r="T156" s="879"/>
      <c r="U156" s="879"/>
      <c r="V156" s="879"/>
      <c r="W156" s="879"/>
    </row>
    <row r="157" spans="1:23" ht="12.75" customHeight="1">
      <c r="A157" s="879"/>
      <c r="B157" s="879"/>
      <c r="C157" s="879"/>
      <c r="D157" s="879"/>
      <c r="E157" s="879"/>
      <c r="F157" s="879"/>
      <c r="G157" s="879"/>
      <c r="H157" s="879"/>
      <c r="I157" s="879"/>
      <c r="J157" s="879"/>
      <c r="K157" s="879"/>
      <c r="L157" s="879"/>
      <c r="M157" s="879"/>
      <c r="N157" s="879"/>
      <c r="O157" s="879"/>
      <c r="P157" s="879"/>
      <c r="Q157" s="879"/>
      <c r="R157" s="879"/>
      <c r="S157" s="879"/>
      <c r="T157" s="879"/>
      <c r="U157" s="879"/>
      <c r="V157" s="879"/>
      <c r="W157" s="879"/>
    </row>
    <row r="158" spans="1:23" ht="12.75" customHeight="1">
      <c r="A158" s="879"/>
      <c r="B158" s="879"/>
      <c r="C158" s="879"/>
      <c r="D158" s="879"/>
      <c r="E158" s="879"/>
      <c r="F158" s="879"/>
      <c r="G158" s="879"/>
      <c r="H158" s="879"/>
      <c r="I158" s="879"/>
      <c r="J158" s="879"/>
      <c r="K158" s="879"/>
      <c r="L158" s="879"/>
      <c r="M158" s="879"/>
      <c r="N158" s="879"/>
      <c r="O158" s="879"/>
      <c r="P158" s="879"/>
      <c r="Q158" s="879"/>
      <c r="R158" s="879"/>
      <c r="S158" s="879"/>
      <c r="T158" s="879"/>
      <c r="U158" s="879"/>
      <c r="V158" s="879"/>
      <c r="W158" s="879"/>
    </row>
    <row r="159" spans="1:23" ht="12.75" customHeight="1">
      <c r="A159" s="879"/>
      <c r="B159" s="879"/>
      <c r="C159" s="879"/>
      <c r="D159" s="879"/>
      <c r="E159" s="879"/>
      <c r="F159" s="879"/>
      <c r="G159" s="879"/>
      <c r="H159" s="879"/>
      <c r="I159" s="879"/>
      <c r="J159" s="879"/>
      <c r="K159" s="879"/>
      <c r="L159" s="879"/>
      <c r="M159" s="879"/>
      <c r="N159" s="879"/>
      <c r="O159" s="879"/>
      <c r="P159" s="879"/>
      <c r="Q159" s="879"/>
      <c r="R159" s="879"/>
      <c r="S159" s="879"/>
      <c r="T159" s="879"/>
      <c r="U159" s="879"/>
      <c r="V159" s="879"/>
      <c r="W159" s="879"/>
    </row>
    <row r="160" spans="1:23" ht="12.75" customHeight="1">
      <c r="A160" s="879"/>
      <c r="B160" s="879"/>
      <c r="C160" s="879"/>
      <c r="D160" s="879"/>
      <c r="E160" s="879"/>
      <c r="F160" s="879"/>
      <c r="G160" s="879"/>
      <c r="H160" s="879"/>
      <c r="I160" s="879"/>
      <c r="J160" s="879"/>
      <c r="K160" s="879"/>
      <c r="L160" s="879"/>
      <c r="M160" s="879"/>
      <c r="N160" s="879"/>
      <c r="O160" s="879"/>
      <c r="P160" s="879"/>
      <c r="Q160" s="879"/>
      <c r="R160" s="879"/>
      <c r="S160" s="879"/>
      <c r="T160" s="879"/>
      <c r="U160" s="879"/>
      <c r="V160" s="879"/>
      <c r="W160" s="879"/>
    </row>
    <row r="161" spans="1:23" ht="12.75" customHeight="1">
      <c r="A161" s="879"/>
      <c r="B161" s="879"/>
      <c r="C161" s="879"/>
      <c r="D161" s="879"/>
      <c r="E161" s="879"/>
      <c r="F161" s="879"/>
      <c r="G161" s="879"/>
      <c r="H161" s="879"/>
      <c r="I161" s="879"/>
      <c r="J161" s="879"/>
      <c r="K161" s="879"/>
      <c r="L161" s="879"/>
      <c r="M161" s="879"/>
      <c r="N161" s="879"/>
      <c r="O161" s="879"/>
      <c r="P161" s="879"/>
      <c r="Q161" s="879"/>
      <c r="R161" s="879"/>
      <c r="S161" s="879"/>
      <c r="T161" s="879"/>
      <c r="U161" s="879"/>
      <c r="V161" s="879"/>
      <c r="W161" s="879"/>
    </row>
    <row r="162" spans="1:23" ht="12.75" customHeight="1">
      <c r="A162" s="879"/>
      <c r="B162" s="879"/>
      <c r="C162" s="879"/>
      <c r="D162" s="879"/>
      <c r="E162" s="879"/>
      <c r="F162" s="879"/>
      <c r="G162" s="879"/>
      <c r="H162" s="879"/>
      <c r="I162" s="879"/>
      <c r="J162" s="879"/>
      <c r="K162" s="879"/>
      <c r="L162" s="879"/>
      <c r="M162" s="879"/>
      <c r="N162" s="879"/>
      <c r="O162" s="879"/>
      <c r="P162" s="879"/>
      <c r="Q162" s="879"/>
      <c r="R162" s="879"/>
      <c r="S162" s="879"/>
      <c r="T162" s="879"/>
      <c r="U162" s="879"/>
      <c r="V162" s="879"/>
      <c r="W162" s="879"/>
    </row>
    <row r="163" spans="1:23" ht="12.75" customHeight="1">
      <c r="A163" s="879"/>
      <c r="B163" s="879"/>
      <c r="C163" s="879"/>
      <c r="D163" s="879"/>
      <c r="E163" s="879"/>
      <c r="F163" s="879"/>
      <c r="G163" s="879"/>
      <c r="H163" s="879"/>
      <c r="I163" s="879"/>
      <c r="J163" s="879"/>
      <c r="K163" s="879"/>
      <c r="L163" s="879"/>
      <c r="M163" s="879"/>
      <c r="N163" s="879"/>
      <c r="O163" s="879"/>
      <c r="P163" s="879"/>
      <c r="Q163" s="879"/>
      <c r="R163" s="879"/>
      <c r="S163" s="879"/>
      <c r="T163" s="879"/>
      <c r="U163" s="879"/>
      <c r="V163" s="879"/>
      <c r="W163" s="879"/>
    </row>
    <row r="164" spans="1:23" ht="12.75" customHeight="1">
      <c r="A164" s="879"/>
      <c r="B164" s="879"/>
      <c r="C164" s="879"/>
      <c r="D164" s="879"/>
      <c r="E164" s="879"/>
      <c r="F164" s="879"/>
      <c r="G164" s="879"/>
      <c r="H164" s="879"/>
      <c r="I164" s="879"/>
      <c r="J164" s="879"/>
      <c r="K164" s="879"/>
      <c r="L164" s="879"/>
      <c r="M164" s="879"/>
      <c r="N164" s="879"/>
      <c r="O164" s="879"/>
      <c r="P164" s="879"/>
      <c r="Q164" s="879"/>
      <c r="R164" s="879"/>
      <c r="S164" s="879"/>
      <c r="T164" s="879"/>
      <c r="U164" s="879"/>
      <c r="V164" s="879"/>
      <c r="W164" s="879"/>
    </row>
    <row r="165" spans="1:23" ht="12.75" customHeight="1">
      <c r="A165" s="879"/>
      <c r="B165" s="879"/>
      <c r="C165" s="879"/>
      <c r="D165" s="879"/>
      <c r="E165" s="879"/>
      <c r="F165" s="879"/>
      <c r="G165" s="879"/>
      <c r="H165" s="879"/>
      <c r="I165" s="879"/>
      <c r="J165" s="879"/>
      <c r="K165" s="879"/>
      <c r="L165" s="879"/>
      <c r="M165" s="879"/>
      <c r="N165" s="879"/>
      <c r="O165" s="879"/>
      <c r="P165" s="879"/>
      <c r="Q165" s="879"/>
      <c r="R165" s="879"/>
      <c r="S165" s="879"/>
      <c r="T165" s="879"/>
      <c r="U165" s="879"/>
      <c r="V165" s="879"/>
      <c r="W165" s="879"/>
    </row>
    <row r="166" spans="1:23" ht="12.75" customHeight="1">
      <c r="A166" s="879"/>
      <c r="B166" s="879"/>
      <c r="C166" s="879"/>
      <c r="D166" s="879"/>
      <c r="E166" s="879"/>
      <c r="F166" s="879"/>
      <c r="G166" s="879"/>
      <c r="H166" s="879"/>
      <c r="I166" s="879"/>
      <c r="J166" s="879"/>
      <c r="K166" s="879"/>
      <c r="L166" s="879"/>
      <c r="M166" s="879"/>
      <c r="N166" s="879"/>
      <c r="O166" s="879"/>
      <c r="P166" s="879"/>
      <c r="Q166" s="879"/>
      <c r="R166" s="879"/>
      <c r="S166" s="879"/>
      <c r="T166" s="879"/>
      <c r="U166" s="879"/>
      <c r="V166" s="879"/>
      <c r="W166" s="879"/>
    </row>
    <row r="167" spans="1:23" ht="12.75" customHeight="1">
      <c r="A167" s="879"/>
      <c r="B167" s="879"/>
      <c r="C167" s="879"/>
      <c r="D167" s="879"/>
      <c r="E167" s="879"/>
      <c r="F167" s="879"/>
      <c r="G167" s="879"/>
      <c r="H167" s="879"/>
      <c r="I167" s="879"/>
      <c r="J167" s="879"/>
      <c r="K167" s="879"/>
      <c r="L167" s="879"/>
      <c r="M167" s="879"/>
      <c r="N167" s="879"/>
      <c r="O167" s="879"/>
      <c r="P167" s="879"/>
      <c r="Q167" s="879"/>
      <c r="R167" s="879"/>
      <c r="S167" s="879"/>
      <c r="T167" s="879"/>
      <c r="U167" s="879"/>
      <c r="V167" s="879"/>
      <c r="W167" s="879"/>
    </row>
    <row r="168" spans="1:23" ht="12.75" customHeight="1">
      <c r="A168" s="879"/>
      <c r="B168" s="879"/>
      <c r="C168" s="879"/>
      <c r="D168" s="879"/>
      <c r="E168" s="879"/>
      <c r="F168" s="879"/>
      <c r="G168" s="879"/>
      <c r="H168" s="879"/>
      <c r="I168" s="879"/>
      <c r="J168" s="879"/>
      <c r="K168" s="879"/>
      <c r="L168" s="879"/>
      <c r="M168" s="879"/>
      <c r="N168" s="879"/>
      <c r="O168" s="879"/>
      <c r="P168" s="879"/>
      <c r="Q168" s="879"/>
      <c r="R168" s="879"/>
      <c r="S168" s="879"/>
      <c r="T168" s="879"/>
      <c r="U168" s="879"/>
      <c r="V168" s="879"/>
      <c r="W168" s="879"/>
    </row>
    <row r="169" spans="1:23" ht="12.75" customHeight="1">
      <c r="A169" s="879"/>
      <c r="B169" s="879"/>
      <c r="C169" s="879"/>
      <c r="D169" s="879"/>
      <c r="E169" s="879"/>
      <c r="F169" s="879"/>
      <c r="G169" s="879"/>
      <c r="H169" s="879"/>
      <c r="I169" s="879"/>
      <c r="J169" s="879"/>
      <c r="K169" s="879"/>
      <c r="L169" s="879"/>
      <c r="M169" s="879"/>
      <c r="N169" s="879"/>
      <c r="O169" s="879"/>
      <c r="P169" s="879"/>
      <c r="Q169" s="879"/>
      <c r="R169" s="879"/>
      <c r="S169" s="879"/>
      <c r="T169" s="879"/>
      <c r="U169" s="879"/>
      <c r="V169" s="879"/>
      <c r="W169" s="879"/>
    </row>
    <row r="170" spans="1:23" ht="12.75" customHeight="1">
      <c r="A170" s="879"/>
      <c r="B170" s="879"/>
      <c r="C170" s="879"/>
      <c r="D170" s="879"/>
      <c r="E170" s="879"/>
      <c r="F170" s="879"/>
      <c r="G170" s="879"/>
      <c r="H170" s="879"/>
      <c r="I170" s="879"/>
      <c r="J170" s="879"/>
      <c r="K170" s="879"/>
      <c r="L170" s="879"/>
      <c r="M170" s="879"/>
      <c r="N170" s="879"/>
      <c r="O170" s="879"/>
      <c r="P170" s="879"/>
      <c r="Q170" s="879"/>
      <c r="R170" s="879"/>
      <c r="S170" s="879"/>
      <c r="T170" s="879"/>
      <c r="U170" s="879"/>
      <c r="V170" s="879"/>
      <c r="W170" s="879"/>
    </row>
    <row r="171" spans="1:23" ht="12.75" customHeight="1">
      <c r="A171" s="879"/>
      <c r="B171" s="879"/>
      <c r="C171" s="879"/>
      <c r="D171" s="879"/>
      <c r="E171" s="879"/>
      <c r="F171" s="879"/>
      <c r="G171" s="879"/>
      <c r="H171" s="879"/>
      <c r="I171" s="879"/>
      <c r="J171" s="879"/>
      <c r="K171" s="879"/>
      <c r="L171" s="879"/>
      <c r="M171" s="879"/>
      <c r="N171" s="879"/>
      <c r="O171" s="879"/>
      <c r="P171" s="879"/>
      <c r="Q171" s="879"/>
      <c r="R171" s="879"/>
      <c r="S171" s="879"/>
      <c r="T171" s="879"/>
      <c r="U171" s="879"/>
      <c r="V171" s="879"/>
      <c r="W171" s="879"/>
    </row>
    <row r="172" spans="1:23" ht="12.75" customHeight="1">
      <c r="A172" s="879"/>
      <c r="B172" s="879"/>
      <c r="C172" s="879"/>
      <c r="D172" s="879"/>
      <c r="E172" s="879"/>
      <c r="F172" s="879"/>
      <c r="G172" s="879"/>
      <c r="H172" s="879"/>
      <c r="I172" s="879"/>
      <c r="J172" s="879"/>
      <c r="K172" s="879"/>
      <c r="L172" s="879"/>
      <c r="M172" s="879"/>
      <c r="N172" s="879"/>
      <c r="O172" s="879"/>
      <c r="P172" s="879"/>
      <c r="Q172" s="879"/>
      <c r="R172" s="879"/>
      <c r="S172" s="879"/>
      <c r="T172" s="879"/>
      <c r="U172" s="879"/>
      <c r="V172" s="879"/>
      <c r="W172" s="879"/>
    </row>
    <row r="173" spans="1:23" ht="12.75" customHeight="1">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row>
    <row r="174" spans="1:23" ht="12.75" customHeight="1">
      <c r="A174" s="879"/>
      <c r="B174" s="879"/>
      <c r="C174" s="879"/>
      <c r="D174" s="879"/>
      <c r="E174" s="879"/>
      <c r="F174" s="879"/>
      <c r="G174" s="879"/>
      <c r="H174" s="879"/>
      <c r="I174" s="879"/>
      <c r="J174" s="879"/>
      <c r="K174" s="879"/>
      <c r="L174" s="879"/>
      <c r="M174" s="879"/>
      <c r="N174" s="879"/>
      <c r="O174" s="879"/>
      <c r="P174" s="879"/>
      <c r="Q174" s="879"/>
      <c r="R174" s="879"/>
      <c r="S174" s="879"/>
      <c r="T174" s="879"/>
      <c r="U174" s="879"/>
      <c r="V174" s="879"/>
      <c r="W174" s="879"/>
    </row>
    <row r="175" spans="1:23" ht="12.75" customHeight="1">
      <c r="A175" s="879"/>
      <c r="B175" s="879"/>
      <c r="C175" s="879"/>
      <c r="D175" s="879"/>
      <c r="E175" s="879"/>
      <c r="F175" s="879"/>
      <c r="G175" s="879"/>
      <c r="H175" s="879"/>
      <c r="I175" s="879"/>
      <c r="J175" s="879"/>
      <c r="K175" s="879"/>
      <c r="L175" s="879"/>
      <c r="M175" s="879"/>
      <c r="N175" s="879"/>
      <c r="O175" s="879"/>
      <c r="P175" s="879"/>
      <c r="Q175" s="879"/>
      <c r="R175" s="879"/>
      <c r="S175" s="879"/>
      <c r="T175" s="879"/>
      <c r="U175" s="879"/>
      <c r="V175" s="879"/>
      <c r="W175" s="879"/>
    </row>
    <row r="176" spans="1:23" ht="12.75" customHeight="1">
      <c r="A176" s="879"/>
      <c r="B176" s="879"/>
      <c r="C176" s="879"/>
      <c r="D176" s="879"/>
      <c r="E176" s="879"/>
      <c r="F176" s="879"/>
      <c r="G176" s="879"/>
      <c r="H176" s="879"/>
      <c r="I176" s="879"/>
      <c r="J176" s="879"/>
      <c r="K176" s="879"/>
      <c r="L176" s="879"/>
      <c r="M176" s="879"/>
      <c r="N176" s="879"/>
      <c r="O176" s="879"/>
      <c r="P176" s="879"/>
      <c r="Q176" s="879"/>
      <c r="R176" s="879"/>
      <c r="S176" s="879"/>
      <c r="T176" s="879"/>
      <c r="U176" s="879"/>
      <c r="V176" s="879"/>
      <c r="W176" s="879"/>
    </row>
    <row r="177" spans="1:23" ht="12.75" customHeight="1">
      <c r="A177" s="879"/>
      <c r="B177" s="879"/>
      <c r="C177" s="879"/>
      <c r="D177" s="879"/>
      <c r="E177" s="879"/>
      <c r="F177" s="879"/>
      <c r="G177" s="879"/>
      <c r="H177" s="879"/>
      <c r="I177" s="879"/>
      <c r="J177" s="879"/>
      <c r="K177" s="879"/>
      <c r="L177" s="879"/>
      <c r="M177" s="879"/>
      <c r="N177" s="879"/>
      <c r="O177" s="879"/>
      <c r="P177" s="879"/>
      <c r="Q177" s="879"/>
      <c r="R177" s="879"/>
      <c r="S177" s="879"/>
      <c r="T177" s="879"/>
      <c r="U177" s="879"/>
      <c r="V177" s="879"/>
      <c r="W177" s="879"/>
    </row>
    <row r="178" spans="1:23" ht="12.75" customHeight="1">
      <c r="A178" s="879"/>
      <c r="B178" s="879"/>
      <c r="C178" s="879"/>
      <c r="D178" s="879"/>
      <c r="E178" s="879"/>
      <c r="F178" s="879"/>
      <c r="G178" s="879"/>
      <c r="H178" s="879"/>
      <c r="I178" s="879"/>
      <c r="J178" s="879"/>
      <c r="K178" s="879"/>
      <c r="L178" s="879"/>
      <c r="M178" s="879"/>
      <c r="N178" s="879"/>
      <c r="O178" s="879"/>
      <c r="P178" s="879"/>
      <c r="Q178" s="879"/>
      <c r="R178" s="879"/>
      <c r="S178" s="879"/>
      <c r="T178" s="879"/>
      <c r="U178" s="879"/>
      <c r="V178" s="879"/>
      <c r="W178" s="879"/>
    </row>
    <row r="179" spans="1:23" ht="12.75" customHeight="1">
      <c r="A179" s="879"/>
      <c r="B179" s="879"/>
      <c r="C179" s="879"/>
      <c r="D179" s="879"/>
      <c r="E179" s="879"/>
      <c r="F179" s="879"/>
      <c r="G179" s="879"/>
      <c r="H179" s="879"/>
      <c r="I179" s="879"/>
      <c r="J179" s="879"/>
      <c r="K179" s="879"/>
      <c r="L179" s="879"/>
      <c r="M179" s="879"/>
      <c r="N179" s="879"/>
      <c r="O179" s="879"/>
      <c r="P179" s="879"/>
      <c r="Q179" s="879"/>
      <c r="R179" s="879"/>
      <c r="S179" s="879"/>
      <c r="T179" s="879"/>
      <c r="U179" s="879"/>
      <c r="V179" s="879"/>
      <c r="W179" s="879"/>
    </row>
    <row r="180" spans="1:23" ht="12.75" customHeight="1">
      <c r="A180" s="879"/>
      <c r="B180" s="879"/>
      <c r="C180" s="879"/>
      <c r="D180" s="879"/>
      <c r="E180" s="879"/>
      <c r="F180" s="879"/>
      <c r="G180" s="879"/>
      <c r="H180" s="879"/>
      <c r="I180" s="879"/>
      <c r="J180" s="879"/>
      <c r="K180" s="879"/>
      <c r="L180" s="879"/>
      <c r="M180" s="879"/>
      <c r="N180" s="879"/>
      <c r="O180" s="879"/>
      <c r="P180" s="879"/>
      <c r="Q180" s="879"/>
      <c r="R180" s="879"/>
      <c r="S180" s="879"/>
      <c r="T180" s="879"/>
      <c r="U180" s="879"/>
      <c r="V180" s="879"/>
      <c r="W180" s="879"/>
    </row>
    <row r="181" spans="1:23" ht="12.75" customHeight="1">
      <c r="A181" s="879"/>
      <c r="B181" s="879"/>
      <c r="C181" s="879"/>
      <c r="D181" s="879"/>
      <c r="E181" s="879"/>
      <c r="F181" s="879"/>
      <c r="G181" s="879"/>
      <c r="H181" s="879"/>
      <c r="I181" s="879"/>
      <c r="J181" s="879"/>
      <c r="K181" s="879"/>
      <c r="L181" s="879"/>
      <c r="M181" s="879"/>
      <c r="N181" s="879"/>
      <c r="O181" s="879"/>
      <c r="P181" s="879"/>
      <c r="Q181" s="879"/>
      <c r="R181" s="879"/>
      <c r="S181" s="879"/>
      <c r="T181" s="879"/>
      <c r="U181" s="879"/>
      <c r="V181" s="879"/>
      <c r="W181" s="879"/>
    </row>
    <row r="182" spans="1:23" ht="12.75" customHeight="1">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row>
    <row r="183" spans="1:23" ht="12.75" customHeight="1">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row>
    <row r="184" spans="1:23" ht="12.75" customHeight="1">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row>
    <row r="185" spans="1:23" ht="12.75" customHeight="1">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row>
    <row r="186" spans="1:23" ht="12.75" customHeight="1">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row>
    <row r="187" spans="1:23" ht="12.75" customHeight="1">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row>
    <row r="188" spans="1:23" ht="12.75" customHeight="1">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row>
    <row r="189" spans="1:23" ht="12.75" customHeight="1">
      <c r="A189" s="879"/>
      <c r="B189" s="879"/>
      <c r="C189" s="879"/>
      <c r="D189" s="879"/>
      <c r="E189" s="879"/>
      <c r="F189" s="879"/>
      <c r="G189" s="879"/>
      <c r="H189" s="879"/>
      <c r="I189" s="879"/>
      <c r="J189" s="879"/>
      <c r="K189" s="879"/>
      <c r="L189" s="879"/>
      <c r="M189" s="879"/>
      <c r="N189" s="879"/>
      <c r="O189" s="879"/>
      <c r="P189" s="879"/>
      <c r="Q189" s="879"/>
      <c r="R189" s="879"/>
      <c r="S189" s="879"/>
      <c r="T189" s="879"/>
      <c r="U189" s="879"/>
      <c r="V189" s="879"/>
      <c r="W189" s="879"/>
    </row>
    <row r="190" spans="1:23" ht="12.75" customHeight="1">
      <c r="A190" s="879"/>
      <c r="B190" s="879"/>
      <c r="C190" s="879"/>
      <c r="D190" s="879"/>
      <c r="E190" s="879"/>
      <c r="F190" s="879"/>
      <c r="G190" s="879"/>
      <c r="H190" s="879"/>
      <c r="I190" s="879"/>
      <c r="J190" s="879"/>
      <c r="K190" s="879"/>
      <c r="L190" s="879"/>
      <c r="M190" s="879"/>
      <c r="N190" s="879"/>
      <c r="O190" s="879"/>
      <c r="P190" s="879"/>
      <c r="Q190" s="879"/>
      <c r="R190" s="879"/>
      <c r="S190" s="879"/>
      <c r="T190" s="879"/>
      <c r="U190" s="879"/>
      <c r="V190" s="879"/>
      <c r="W190" s="879"/>
    </row>
    <row r="191" spans="1:23" ht="12.75" customHeight="1">
      <c r="A191" s="879"/>
      <c r="B191" s="879"/>
      <c r="C191" s="879"/>
      <c r="D191" s="879"/>
      <c r="E191" s="879"/>
      <c r="F191" s="879"/>
      <c r="G191" s="879"/>
      <c r="H191" s="879"/>
      <c r="I191" s="879"/>
      <c r="J191" s="879"/>
      <c r="K191" s="879"/>
      <c r="L191" s="879"/>
      <c r="M191" s="879"/>
      <c r="N191" s="879"/>
      <c r="O191" s="879"/>
      <c r="P191" s="879"/>
      <c r="Q191" s="879"/>
      <c r="R191" s="879"/>
      <c r="S191" s="879"/>
      <c r="T191" s="879"/>
      <c r="U191" s="879"/>
      <c r="V191" s="879"/>
      <c r="W191" s="879"/>
    </row>
    <row r="192" spans="1:23" ht="12.75" customHeight="1">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row>
    <row r="193" spans="1:23" ht="12.75" customHeight="1">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row>
    <row r="194" spans="1:23" ht="12.75" customHeight="1">
      <c r="A194" s="879"/>
      <c r="B194" s="879"/>
      <c r="C194" s="879"/>
      <c r="D194" s="879"/>
      <c r="E194" s="879"/>
      <c r="F194" s="879"/>
      <c r="G194" s="879"/>
      <c r="H194" s="879"/>
      <c r="I194" s="879"/>
      <c r="J194" s="879"/>
      <c r="K194" s="879"/>
      <c r="L194" s="879"/>
      <c r="M194" s="879"/>
      <c r="N194" s="879"/>
      <c r="O194" s="879"/>
      <c r="P194" s="879"/>
      <c r="Q194" s="879"/>
      <c r="R194" s="879"/>
      <c r="S194" s="879"/>
      <c r="T194" s="879"/>
      <c r="U194" s="879"/>
      <c r="V194" s="879"/>
      <c r="W194" s="879"/>
    </row>
    <row r="195" spans="1:23" ht="12.75" customHeight="1">
      <c r="A195" s="879"/>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row>
    <row r="196" spans="1:23" ht="12.75" customHeight="1">
      <c r="A196" s="879"/>
      <c r="B196" s="879"/>
      <c r="C196" s="879"/>
      <c r="D196" s="879"/>
      <c r="E196" s="879"/>
      <c r="F196" s="879"/>
      <c r="G196" s="879"/>
      <c r="H196" s="879"/>
      <c r="I196" s="879"/>
      <c r="J196" s="879"/>
      <c r="K196" s="879"/>
      <c r="L196" s="879"/>
      <c r="M196" s="879"/>
      <c r="N196" s="879"/>
      <c r="O196" s="879"/>
      <c r="P196" s="879"/>
      <c r="Q196" s="879"/>
      <c r="R196" s="879"/>
      <c r="S196" s="879"/>
      <c r="T196" s="879"/>
      <c r="U196" s="879"/>
      <c r="V196" s="879"/>
      <c r="W196" s="879"/>
    </row>
    <row r="197" spans="1:23" ht="12.75" customHeight="1">
      <c r="A197" s="879"/>
      <c r="B197" s="879"/>
      <c r="C197" s="879"/>
      <c r="D197" s="879"/>
      <c r="E197" s="879"/>
      <c r="F197" s="879"/>
      <c r="G197" s="879"/>
      <c r="H197" s="879"/>
      <c r="I197" s="879"/>
      <c r="J197" s="879"/>
      <c r="K197" s="879"/>
      <c r="L197" s="879"/>
      <c r="M197" s="879"/>
      <c r="N197" s="879"/>
      <c r="O197" s="879"/>
      <c r="P197" s="879"/>
      <c r="Q197" s="879"/>
      <c r="R197" s="879"/>
      <c r="S197" s="879"/>
      <c r="T197" s="879"/>
      <c r="U197" s="879"/>
      <c r="V197" s="879"/>
      <c r="W197" s="879"/>
    </row>
    <row r="198" spans="1:23" ht="12.75" customHeight="1">
      <c r="A198" s="879"/>
      <c r="B198" s="879"/>
      <c r="C198" s="879"/>
      <c r="D198" s="879"/>
      <c r="E198" s="879"/>
      <c r="F198" s="879"/>
      <c r="G198" s="879"/>
      <c r="H198" s="879"/>
      <c r="I198" s="879"/>
      <c r="J198" s="879"/>
      <c r="K198" s="879"/>
      <c r="L198" s="879"/>
      <c r="M198" s="879"/>
      <c r="N198" s="879"/>
      <c r="O198" s="879"/>
      <c r="P198" s="879"/>
      <c r="Q198" s="879"/>
      <c r="R198" s="879"/>
      <c r="S198" s="879"/>
      <c r="T198" s="879"/>
      <c r="U198" s="879"/>
      <c r="V198" s="879"/>
      <c r="W198" s="879"/>
    </row>
    <row r="199" spans="1:23" ht="12.75" customHeight="1">
      <c r="A199" s="879"/>
      <c r="B199" s="879"/>
      <c r="C199" s="879"/>
      <c r="D199" s="879"/>
      <c r="E199" s="879"/>
      <c r="F199" s="879"/>
      <c r="G199" s="879"/>
      <c r="H199" s="879"/>
      <c r="I199" s="879"/>
      <c r="J199" s="879"/>
      <c r="K199" s="879"/>
      <c r="L199" s="879"/>
      <c r="M199" s="879"/>
      <c r="N199" s="879"/>
      <c r="O199" s="879"/>
      <c r="P199" s="879"/>
      <c r="Q199" s="879"/>
      <c r="R199" s="879"/>
      <c r="S199" s="879"/>
      <c r="T199" s="879"/>
      <c r="U199" s="879"/>
      <c r="V199" s="879"/>
      <c r="W199" s="879"/>
    </row>
    <row r="200" spans="1:23" ht="12.75" customHeight="1">
      <c r="A200" s="879"/>
      <c r="B200" s="879"/>
      <c r="C200" s="879"/>
      <c r="D200" s="879"/>
      <c r="E200" s="879"/>
      <c r="F200" s="879"/>
      <c r="G200" s="879"/>
      <c r="H200" s="879"/>
      <c r="I200" s="879"/>
      <c r="J200" s="879"/>
      <c r="K200" s="879"/>
      <c r="L200" s="879"/>
      <c r="M200" s="879"/>
      <c r="N200" s="879"/>
      <c r="O200" s="879"/>
      <c r="P200" s="879"/>
      <c r="Q200" s="879"/>
      <c r="R200" s="879"/>
      <c r="S200" s="879"/>
      <c r="T200" s="879"/>
      <c r="U200" s="879"/>
      <c r="V200" s="879"/>
      <c r="W200" s="879"/>
    </row>
    <row r="201" spans="1:23" ht="12.75" customHeight="1">
      <c r="A201" s="879"/>
      <c r="B201" s="879"/>
      <c r="C201" s="879"/>
      <c r="D201" s="879"/>
      <c r="E201" s="879"/>
      <c r="F201" s="879"/>
      <c r="G201" s="879"/>
      <c r="H201" s="879"/>
      <c r="I201" s="879"/>
      <c r="J201" s="879"/>
      <c r="K201" s="879"/>
      <c r="L201" s="879"/>
      <c r="M201" s="879"/>
      <c r="N201" s="879"/>
      <c r="O201" s="879"/>
      <c r="P201" s="879"/>
      <c r="Q201" s="879"/>
      <c r="R201" s="879"/>
      <c r="S201" s="879"/>
      <c r="T201" s="879"/>
      <c r="U201" s="879"/>
      <c r="V201" s="879"/>
      <c r="W201" s="879"/>
    </row>
    <row r="202" spans="1:23" ht="12.75" customHeight="1">
      <c r="A202" s="879"/>
      <c r="B202" s="879"/>
      <c r="C202" s="879"/>
      <c r="D202" s="879"/>
      <c r="E202" s="879"/>
      <c r="F202" s="879"/>
      <c r="G202" s="879"/>
      <c r="H202" s="879"/>
      <c r="I202" s="879"/>
      <c r="J202" s="879"/>
      <c r="K202" s="879"/>
      <c r="L202" s="879"/>
      <c r="M202" s="879"/>
      <c r="N202" s="879"/>
      <c r="O202" s="879"/>
      <c r="P202" s="879"/>
      <c r="Q202" s="879"/>
      <c r="R202" s="879"/>
      <c r="S202" s="879"/>
      <c r="T202" s="879"/>
      <c r="U202" s="879"/>
      <c r="V202" s="879"/>
      <c r="W202" s="879"/>
    </row>
    <row r="203" spans="1:23" ht="12.75" customHeight="1">
      <c r="A203" s="879"/>
      <c r="B203" s="879"/>
      <c r="C203" s="879"/>
      <c r="D203" s="879"/>
      <c r="E203" s="879"/>
      <c r="F203" s="879"/>
      <c r="G203" s="879"/>
      <c r="H203" s="879"/>
      <c r="I203" s="879"/>
      <c r="J203" s="879"/>
      <c r="K203" s="879"/>
      <c r="L203" s="879"/>
      <c r="M203" s="879"/>
      <c r="N203" s="879"/>
      <c r="O203" s="879"/>
      <c r="P203" s="879"/>
      <c r="Q203" s="879"/>
      <c r="R203" s="879"/>
      <c r="S203" s="879"/>
      <c r="T203" s="879"/>
      <c r="U203" s="879"/>
      <c r="V203" s="879"/>
      <c r="W203" s="879"/>
    </row>
    <row r="204" spans="1:23" ht="12.75" customHeight="1">
      <c r="A204" s="879"/>
      <c r="B204" s="879"/>
      <c r="C204" s="879"/>
      <c r="D204" s="879"/>
      <c r="E204" s="879"/>
      <c r="F204" s="879"/>
      <c r="G204" s="879"/>
      <c r="H204" s="879"/>
      <c r="I204" s="879"/>
      <c r="J204" s="879"/>
      <c r="K204" s="879"/>
      <c r="L204" s="879"/>
      <c r="M204" s="879"/>
      <c r="N204" s="879"/>
      <c r="O204" s="879"/>
      <c r="P204" s="879"/>
      <c r="Q204" s="879"/>
      <c r="R204" s="879"/>
      <c r="S204" s="879"/>
      <c r="T204" s="879"/>
      <c r="U204" s="879"/>
      <c r="V204" s="879"/>
      <c r="W204" s="879"/>
    </row>
    <row r="205" spans="1:23" ht="12.75" customHeight="1">
      <c r="A205" s="879"/>
      <c r="B205" s="879"/>
      <c r="C205" s="879"/>
      <c r="D205" s="879"/>
      <c r="E205" s="879"/>
      <c r="F205" s="879"/>
      <c r="G205" s="879"/>
      <c r="H205" s="879"/>
      <c r="I205" s="879"/>
      <c r="J205" s="879"/>
      <c r="K205" s="879"/>
      <c r="L205" s="879"/>
      <c r="M205" s="879"/>
      <c r="N205" s="879"/>
      <c r="O205" s="879"/>
      <c r="P205" s="879"/>
      <c r="Q205" s="879"/>
      <c r="R205" s="879"/>
      <c r="S205" s="879"/>
      <c r="T205" s="879"/>
      <c r="U205" s="879"/>
      <c r="V205" s="879"/>
      <c r="W205" s="879"/>
    </row>
    <row r="206" spans="1:23" ht="12.75" customHeight="1">
      <c r="A206" s="879"/>
      <c r="B206" s="879"/>
      <c r="C206" s="879"/>
      <c r="D206" s="879"/>
      <c r="E206" s="879"/>
      <c r="F206" s="879"/>
      <c r="G206" s="879"/>
      <c r="H206" s="879"/>
      <c r="I206" s="879"/>
      <c r="J206" s="879"/>
      <c r="K206" s="879"/>
      <c r="L206" s="879"/>
      <c r="M206" s="879"/>
      <c r="N206" s="879"/>
      <c r="O206" s="879"/>
      <c r="P206" s="879"/>
      <c r="Q206" s="879"/>
      <c r="R206" s="879"/>
      <c r="S206" s="879"/>
      <c r="T206" s="879"/>
      <c r="U206" s="879"/>
      <c r="V206" s="879"/>
      <c r="W206" s="879"/>
    </row>
    <row r="207" spans="1:23" ht="12.75" customHeight="1">
      <c r="A207" s="879"/>
      <c r="B207" s="879"/>
      <c r="C207" s="879"/>
      <c r="D207" s="879"/>
      <c r="E207" s="879"/>
      <c r="F207" s="879"/>
      <c r="G207" s="879"/>
      <c r="H207" s="879"/>
      <c r="I207" s="879"/>
      <c r="J207" s="879"/>
      <c r="K207" s="879"/>
      <c r="L207" s="879"/>
      <c r="M207" s="879"/>
      <c r="N207" s="879"/>
      <c r="O207" s="879"/>
      <c r="P207" s="879"/>
      <c r="Q207" s="879"/>
      <c r="R207" s="879"/>
      <c r="S207" s="879"/>
      <c r="T207" s="879"/>
      <c r="U207" s="879"/>
      <c r="V207" s="879"/>
      <c r="W207" s="879"/>
    </row>
    <row r="208" spans="1:23" ht="12.75" customHeight="1">
      <c r="A208" s="879"/>
      <c r="B208" s="879"/>
      <c r="C208" s="879"/>
      <c r="D208" s="879"/>
      <c r="E208" s="879"/>
      <c r="F208" s="879"/>
      <c r="G208" s="879"/>
      <c r="H208" s="879"/>
      <c r="I208" s="879"/>
      <c r="J208" s="879"/>
      <c r="K208" s="879"/>
      <c r="L208" s="879"/>
      <c r="M208" s="879"/>
      <c r="N208" s="879"/>
      <c r="O208" s="879"/>
      <c r="P208" s="879"/>
      <c r="Q208" s="879"/>
      <c r="R208" s="879"/>
      <c r="S208" s="879"/>
      <c r="T208" s="879"/>
      <c r="U208" s="879"/>
      <c r="V208" s="879"/>
      <c r="W208" s="879"/>
    </row>
    <row r="209" spans="1:23" ht="12.75" customHeight="1">
      <c r="A209" s="879"/>
      <c r="B209" s="879"/>
      <c r="C209" s="879"/>
      <c r="D209" s="879"/>
      <c r="E209" s="879"/>
      <c r="F209" s="879"/>
      <c r="G209" s="879"/>
      <c r="H209" s="879"/>
      <c r="I209" s="879"/>
      <c r="J209" s="879"/>
      <c r="K209" s="879"/>
      <c r="L209" s="879"/>
      <c r="M209" s="879"/>
      <c r="N209" s="879"/>
      <c r="O209" s="879"/>
      <c r="P209" s="879"/>
      <c r="Q209" s="879"/>
      <c r="R209" s="879"/>
      <c r="S209" s="879"/>
      <c r="T209" s="879"/>
      <c r="U209" s="879"/>
      <c r="V209" s="879"/>
      <c r="W209" s="879"/>
    </row>
    <row r="210" spans="1:23" ht="12.75" customHeight="1">
      <c r="A210" s="879"/>
      <c r="B210" s="879"/>
      <c r="C210" s="879"/>
      <c r="D210" s="879"/>
      <c r="E210" s="879"/>
      <c r="F210" s="879"/>
      <c r="G210" s="879"/>
      <c r="H210" s="879"/>
      <c r="I210" s="879"/>
      <c r="J210" s="879"/>
      <c r="K210" s="879"/>
      <c r="L210" s="879"/>
      <c r="M210" s="879"/>
      <c r="N210" s="879"/>
      <c r="O210" s="879"/>
      <c r="P210" s="879"/>
      <c r="Q210" s="879"/>
      <c r="R210" s="879"/>
      <c r="S210" s="879"/>
      <c r="T210" s="879"/>
      <c r="U210" s="879"/>
      <c r="V210" s="879"/>
      <c r="W210" s="879"/>
    </row>
    <row r="211" spans="1:23" ht="12.75" customHeight="1">
      <c r="A211" s="879"/>
      <c r="B211" s="879"/>
      <c r="C211" s="879"/>
      <c r="D211" s="879"/>
      <c r="E211" s="879"/>
      <c r="F211" s="879"/>
      <c r="G211" s="879"/>
      <c r="H211" s="879"/>
      <c r="I211" s="879"/>
      <c r="J211" s="879"/>
      <c r="K211" s="879"/>
      <c r="L211" s="879"/>
      <c r="M211" s="879"/>
      <c r="N211" s="879"/>
      <c r="O211" s="879"/>
      <c r="P211" s="879"/>
      <c r="Q211" s="879"/>
      <c r="R211" s="879"/>
      <c r="S211" s="879"/>
      <c r="T211" s="879"/>
      <c r="U211" s="879"/>
      <c r="V211" s="879"/>
      <c r="W211" s="879"/>
    </row>
    <row r="212" spans="1:23" ht="12.75" customHeight="1">
      <c r="A212" s="879"/>
      <c r="B212" s="879"/>
      <c r="C212" s="879"/>
      <c r="D212" s="879"/>
      <c r="E212" s="879"/>
      <c r="F212" s="879"/>
      <c r="G212" s="879"/>
      <c r="H212" s="879"/>
      <c r="I212" s="879"/>
      <c r="J212" s="879"/>
      <c r="K212" s="879"/>
      <c r="L212" s="879"/>
      <c r="M212" s="879"/>
      <c r="N212" s="879"/>
      <c r="O212" s="879"/>
      <c r="P212" s="879"/>
      <c r="Q212" s="879"/>
      <c r="R212" s="879"/>
      <c r="S212" s="879"/>
      <c r="T212" s="879"/>
      <c r="U212" s="879"/>
      <c r="V212" s="879"/>
      <c r="W212" s="879"/>
    </row>
    <row r="213" spans="1:23" ht="12.75" customHeight="1">
      <c r="A213" s="879"/>
      <c r="B213" s="879"/>
      <c r="C213" s="879"/>
      <c r="D213" s="879"/>
      <c r="E213" s="879"/>
      <c r="F213" s="879"/>
      <c r="G213" s="879"/>
      <c r="H213" s="879"/>
      <c r="I213" s="879"/>
      <c r="J213" s="879"/>
      <c r="K213" s="879"/>
      <c r="L213" s="879"/>
      <c r="M213" s="879"/>
      <c r="N213" s="879"/>
      <c r="O213" s="879"/>
      <c r="P213" s="879"/>
      <c r="Q213" s="879"/>
      <c r="R213" s="879"/>
      <c r="S213" s="879"/>
      <c r="T213" s="879"/>
      <c r="U213" s="879"/>
      <c r="V213" s="879"/>
      <c r="W213" s="879"/>
    </row>
    <row r="214" spans="1:23" ht="12.75" customHeight="1">
      <c r="A214" s="879"/>
      <c r="B214" s="879"/>
      <c r="C214" s="879"/>
      <c r="D214" s="879"/>
      <c r="E214" s="879"/>
      <c r="F214" s="879"/>
      <c r="G214" s="879"/>
      <c r="H214" s="879"/>
      <c r="I214" s="879"/>
      <c r="J214" s="879"/>
      <c r="K214" s="879"/>
      <c r="L214" s="879"/>
      <c r="M214" s="879"/>
      <c r="N214" s="879"/>
      <c r="O214" s="879"/>
      <c r="P214" s="879"/>
      <c r="Q214" s="879"/>
      <c r="R214" s="879"/>
      <c r="S214" s="879"/>
      <c r="T214" s="879"/>
      <c r="U214" s="879"/>
      <c r="V214" s="879"/>
      <c r="W214" s="879"/>
    </row>
    <row r="215" spans="1:23" ht="12.75" customHeight="1">
      <c r="A215" s="879"/>
      <c r="B215" s="879"/>
      <c r="C215" s="879"/>
      <c r="D215" s="879"/>
      <c r="E215" s="879"/>
      <c r="F215" s="879"/>
      <c r="G215" s="879"/>
      <c r="H215" s="879"/>
      <c r="I215" s="879"/>
      <c r="J215" s="879"/>
      <c r="K215" s="879"/>
      <c r="L215" s="879"/>
      <c r="M215" s="879"/>
      <c r="N215" s="879"/>
      <c r="O215" s="879"/>
      <c r="P215" s="879"/>
      <c r="Q215" s="879"/>
      <c r="R215" s="879"/>
      <c r="S215" s="879"/>
      <c r="T215" s="879"/>
      <c r="U215" s="879"/>
      <c r="V215" s="879"/>
      <c r="W215" s="879"/>
    </row>
    <row r="216" spans="1:23" ht="12.75" customHeight="1">
      <c r="A216" s="879"/>
      <c r="B216" s="879"/>
      <c r="C216" s="879"/>
      <c r="D216" s="879"/>
      <c r="E216" s="879"/>
      <c r="F216" s="879"/>
      <c r="G216" s="879"/>
      <c r="H216" s="879"/>
      <c r="I216" s="879"/>
      <c r="J216" s="879"/>
      <c r="K216" s="879"/>
      <c r="L216" s="879"/>
      <c r="M216" s="879"/>
      <c r="N216" s="879"/>
      <c r="O216" s="879"/>
      <c r="P216" s="879"/>
      <c r="Q216" s="879"/>
      <c r="R216" s="879"/>
      <c r="S216" s="879"/>
      <c r="T216" s="879"/>
      <c r="U216" s="879"/>
      <c r="V216" s="879"/>
      <c r="W216" s="879"/>
    </row>
    <row r="217" spans="1:23" ht="12.75" customHeight="1">
      <c r="A217" s="879"/>
      <c r="B217" s="879"/>
      <c r="C217" s="879"/>
      <c r="D217" s="879"/>
      <c r="E217" s="879"/>
      <c r="F217" s="879"/>
      <c r="G217" s="879"/>
      <c r="H217" s="879"/>
      <c r="I217" s="879"/>
      <c r="J217" s="879"/>
      <c r="K217" s="879"/>
      <c r="L217" s="879"/>
      <c r="M217" s="879"/>
      <c r="N217" s="879"/>
      <c r="O217" s="879"/>
      <c r="P217" s="879"/>
      <c r="Q217" s="879"/>
      <c r="R217" s="879"/>
      <c r="S217" s="879"/>
      <c r="T217" s="879"/>
      <c r="U217" s="879"/>
      <c r="V217" s="879"/>
      <c r="W217" s="879"/>
    </row>
    <row r="218" spans="1:23" ht="12.75" customHeight="1">
      <c r="A218" s="879"/>
      <c r="B218" s="879"/>
      <c r="C218" s="879"/>
      <c r="D218" s="879"/>
      <c r="E218" s="879"/>
      <c r="F218" s="879"/>
      <c r="G218" s="879"/>
      <c r="H218" s="879"/>
      <c r="I218" s="879"/>
      <c r="J218" s="879"/>
      <c r="K218" s="879"/>
      <c r="L218" s="879"/>
      <c r="M218" s="879"/>
      <c r="N218" s="879"/>
      <c r="O218" s="879"/>
      <c r="P218" s="879"/>
      <c r="Q218" s="879"/>
      <c r="R218" s="879"/>
      <c r="S218" s="879"/>
      <c r="T218" s="879"/>
      <c r="U218" s="879"/>
      <c r="V218" s="879"/>
      <c r="W218" s="879"/>
    </row>
    <row r="219" spans="1:23" ht="12.75" customHeight="1">
      <c r="A219" s="879"/>
      <c r="B219" s="879"/>
      <c r="C219" s="879"/>
      <c r="D219" s="879"/>
      <c r="E219" s="879"/>
      <c r="F219" s="879"/>
      <c r="G219" s="879"/>
      <c r="H219" s="879"/>
      <c r="I219" s="879"/>
      <c r="J219" s="879"/>
      <c r="K219" s="879"/>
      <c r="L219" s="879"/>
      <c r="M219" s="879"/>
      <c r="N219" s="879"/>
      <c r="O219" s="879"/>
      <c r="P219" s="879"/>
      <c r="Q219" s="879"/>
      <c r="R219" s="879"/>
      <c r="S219" s="879"/>
      <c r="T219" s="879"/>
      <c r="U219" s="879"/>
      <c r="V219" s="879"/>
      <c r="W219" s="879"/>
    </row>
    <row r="220" spans="1:23" ht="12.75" customHeight="1">
      <c r="A220" s="879"/>
      <c r="B220" s="879"/>
      <c r="C220" s="879"/>
      <c r="D220" s="879"/>
      <c r="E220" s="879"/>
      <c r="F220" s="879"/>
      <c r="G220" s="879"/>
      <c r="H220" s="879"/>
      <c r="I220" s="879"/>
      <c r="J220" s="879"/>
      <c r="K220" s="879"/>
      <c r="L220" s="879"/>
      <c r="M220" s="879"/>
      <c r="N220" s="879"/>
      <c r="O220" s="879"/>
      <c r="P220" s="879"/>
      <c r="Q220" s="879"/>
      <c r="R220" s="879"/>
      <c r="S220" s="879"/>
      <c r="T220" s="879"/>
      <c r="U220" s="879"/>
      <c r="V220" s="879"/>
      <c r="W220" s="879"/>
    </row>
    <row r="221" spans="1:23" ht="12.75" customHeight="1">
      <c r="A221" s="879"/>
      <c r="B221" s="879"/>
      <c r="C221" s="879"/>
      <c r="D221" s="879"/>
      <c r="E221" s="879"/>
      <c r="F221" s="879"/>
      <c r="G221" s="879"/>
      <c r="H221" s="879"/>
      <c r="I221" s="879"/>
      <c r="J221" s="879"/>
      <c r="K221" s="879"/>
      <c r="L221" s="879"/>
      <c r="M221" s="879"/>
      <c r="N221" s="879"/>
      <c r="O221" s="879"/>
      <c r="P221" s="879"/>
      <c r="Q221" s="879"/>
      <c r="R221" s="879"/>
      <c r="S221" s="879"/>
      <c r="T221" s="879"/>
      <c r="U221" s="879"/>
      <c r="V221" s="879"/>
      <c r="W221" s="879"/>
    </row>
    <row r="222" spans="1:23" ht="12.75" customHeight="1">
      <c r="A222" s="879"/>
      <c r="B222" s="879"/>
      <c r="C222" s="879"/>
      <c r="D222" s="879"/>
      <c r="E222" s="879"/>
      <c r="F222" s="879"/>
      <c r="G222" s="879"/>
      <c r="H222" s="879"/>
      <c r="I222" s="879"/>
      <c r="J222" s="879"/>
      <c r="K222" s="879"/>
      <c r="L222" s="879"/>
      <c r="M222" s="879"/>
      <c r="N222" s="879"/>
      <c r="O222" s="879"/>
      <c r="P222" s="879"/>
      <c r="Q222" s="879"/>
      <c r="R222" s="879"/>
      <c r="S222" s="879"/>
      <c r="T222" s="879"/>
      <c r="U222" s="879"/>
      <c r="V222" s="879"/>
      <c r="W222" s="879"/>
    </row>
    <row r="223" spans="1:23" ht="12.75" customHeight="1">
      <c r="A223" s="879"/>
      <c r="B223" s="879"/>
      <c r="C223" s="879"/>
      <c r="D223" s="879"/>
      <c r="E223" s="879"/>
      <c r="F223" s="879"/>
      <c r="G223" s="879"/>
      <c r="H223" s="879"/>
      <c r="I223" s="879"/>
      <c r="J223" s="879"/>
      <c r="K223" s="879"/>
      <c r="L223" s="879"/>
      <c r="M223" s="879"/>
      <c r="N223" s="879"/>
      <c r="O223" s="879"/>
      <c r="P223" s="879"/>
      <c r="Q223" s="879"/>
      <c r="R223" s="879"/>
      <c r="S223" s="879"/>
      <c r="T223" s="879"/>
      <c r="U223" s="879"/>
      <c r="V223" s="879"/>
      <c r="W223" s="879"/>
    </row>
    <row r="224" spans="1:23" ht="12.75" customHeight="1">
      <c r="A224" s="879"/>
      <c r="B224" s="879"/>
      <c r="C224" s="879"/>
      <c r="D224" s="879"/>
      <c r="E224" s="879"/>
      <c r="F224" s="879"/>
      <c r="G224" s="879"/>
      <c r="H224" s="879"/>
      <c r="I224" s="879"/>
      <c r="J224" s="879"/>
      <c r="K224" s="879"/>
      <c r="L224" s="879"/>
      <c r="M224" s="879"/>
      <c r="N224" s="879"/>
      <c r="O224" s="879"/>
      <c r="P224" s="879"/>
      <c r="Q224" s="879"/>
      <c r="R224" s="879"/>
      <c r="S224" s="879"/>
      <c r="T224" s="879"/>
      <c r="U224" s="879"/>
      <c r="V224" s="879"/>
      <c r="W224" s="879"/>
    </row>
    <row r="225" spans="1:23" ht="12.75" customHeight="1">
      <c r="A225" s="879"/>
      <c r="B225" s="879"/>
      <c r="C225" s="879"/>
      <c r="D225" s="879"/>
      <c r="E225" s="879"/>
      <c r="F225" s="879"/>
      <c r="G225" s="879"/>
      <c r="H225" s="879"/>
      <c r="I225" s="879"/>
      <c r="J225" s="879"/>
      <c r="K225" s="879"/>
      <c r="L225" s="879"/>
      <c r="M225" s="879"/>
      <c r="N225" s="879"/>
      <c r="O225" s="879"/>
      <c r="P225" s="879"/>
      <c r="Q225" s="879"/>
      <c r="R225" s="879"/>
      <c r="S225" s="879"/>
      <c r="T225" s="879"/>
      <c r="U225" s="879"/>
      <c r="V225" s="879"/>
      <c r="W225" s="879"/>
    </row>
    <row r="226" spans="1:23" ht="12.75" customHeight="1">
      <c r="A226" s="879"/>
      <c r="B226" s="879"/>
      <c r="C226" s="879"/>
      <c r="D226" s="879"/>
      <c r="E226" s="879"/>
      <c r="F226" s="879"/>
      <c r="G226" s="879"/>
      <c r="H226" s="879"/>
      <c r="I226" s="879"/>
      <c r="J226" s="879"/>
      <c r="K226" s="879"/>
      <c r="L226" s="879"/>
      <c r="M226" s="879"/>
      <c r="N226" s="879"/>
      <c r="O226" s="879"/>
      <c r="P226" s="879"/>
      <c r="Q226" s="879"/>
      <c r="R226" s="879"/>
      <c r="S226" s="879"/>
      <c r="T226" s="879"/>
      <c r="U226" s="879"/>
      <c r="V226" s="879"/>
      <c r="W226" s="879"/>
    </row>
    <row r="227" spans="1:23" ht="12.75" customHeight="1">
      <c r="A227" s="879"/>
      <c r="B227" s="879"/>
      <c r="C227" s="879"/>
      <c r="D227" s="879"/>
      <c r="E227" s="879"/>
      <c r="F227" s="879"/>
      <c r="G227" s="879"/>
      <c r="H227" s="879"/>
      <c r="I227" s="879"/>
      <c r="J227" s="879"/>
      <c r="K227" s="879"/>
      <c r="L227" s="879"/>
      <c r="M227" s="879"/>
      <c r="N227" s="879"/>
      <c r="O227" s="879"/>
      <c r="P227" s="879"/>
      <c r="Q227" s="879"/>
      <c r="R227" s="879"/>
      <c r="S227" s="879"/>
      <c r="T227" s="879"/>
      <c r="U227" s="879"/>
      <c r="V227" s="879"/>
      <c r="W227" s="879"/>
    </row>
    <row r="228" spans="1:23" ht="12.75" customHeight="1">
      <c r="A228" s="879"/>
      <c r="B228" s="879"/>
      <c r="C228" s="879"/>
      <c r="D228" s="879"/>
      <c r="E228" s="879"/>
      <c r="F228" s="879"/>
      <c r="G228" s="879"/>
      <c r="H228" s="879"/>
      <c r="I228" s="879"/>
      <c r="J228" s="879"/>
      <c r="K228" s="879"/>
      <c r="L228" s="879"/>
      <c r="M228" s="879"/>
      <c r="N228" s="879"/>
      <c r="O228" s="879"/>
      <c r="P228" s="879"/>
      <c r="Q228" s="879"/>
      <c r="R228" s="879"/>
      <c r="S228" s="879"/>
      <c r="T228" s="879"/>
      <c r="U228" s="879"/>
      <c r="V228" s="879"/>
      <c r="W228" s="879"/>
    </row>
    <row r="229" spans="1:23" ht="12.75" customHeight="1">
      <c r="A229" s="879"/>
      <c r="B229" s="879"/>
      <c r="C229" s="879"/>
      <c r="D229" s="879"/>
      <c r="E229" s="879"/>
      <c r="F229" s="879"/>
      <c r="G229" s="879"/>
      <c r="H229" s="879"/>
      <c r="I229" s="879"/>
      <c r="J229" s="879"/>
      <c r="K229" s="879"/>
      <c r="L229" s="879"/>
      <c r="M229" s="879"/>
      <c r="N229" s="879"/>
      <c r="O229" s="879"/>
      <c r="P229" s="879"/>
      <c r="Q229" s="879"/>
      <c r="R229" s="879"/>
      <c r="S229" s="879"/>
      <c r="T229" s="879"/>
      <c r="U229" s="879"/>
      <c r="V229" s="879"/>
      <c r="W229" s="879"/>
    </row>
    <row r="230" spans="1:23" ht="12.75" customHeight="1">
      <c r="A230" s="879"/>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row>
    <row r="231" spans="1:23" ht="12.75" customHeight="1">
      <c r="A231" s="879"/>
      <c r="B231" s="879"/>
      <c r="C231" s="879"/>
      <c r="D231" s="879"/>
      <c r="E231" s="879"/>
      <c r="F231" s="879"/>
      <c r="G231" s="879"/>
      <c r="H231" s="879"/>
      <c r="I231" s="879"/>
      <c r="J231" s="879"/>
      <c r="K231" s="879"/>
      <c r="L231" s="879"/>
      <c r="M231" s="879"/>
      <c r="N231" s="879"/>
      <c r="O231" s="879"/>
      <c r="P231" s="879"/>
      <c r="Q231" s="879"/>
      <c r="R231" s="879"/>
      <c r="S231" s="879"/>
      <c r="T231" s="879"/>
      <c r="U231" s="879"/>
      <c r="V231" s="879"/>
      <c r="W231" s="879"/>
    </row>
    <row r="232" spans="1:23" ht="12.75" customHeight="1">
      <c r="A232" s="879"/>
      <c r="B232" s="879"/>
      <c r="C232" s="879"/>
      <c r="D232" s="879"/>
      <c r="E232" s="879"/>
      <c r="F232" s="879"/>
      <c r="G232" s="879"/>
      <c r="H232" s="879"/>
      <c r="I232" s="879"/>
      <c r="J232" s="879"/>
      <c r="K232" s="879"/>
      <c r="L232" s="879"/>
      <c r="M232" s="879"/>
      <c r="N232" s="879"/>
      <c r="O232" s="879"/>
      <c r="P232" s="879"/>
      <c r="Q232" s="879"/>
      <c r="R232" s="879"/>
      <c r="S232" s="879"/>
      <c r="T232" s="879"/>
      <c r="U232" s="879"/>
      <c r="V232" s="879"/>
      <c r="W232" s="879"/>
    </row>
    <row r="233" spans="1:23" ht="12.75" customHeight="1">
      <c r="A233" s="879"/>
      <c r="B233" s="879"/>
      <c r="C233" s="879"/>
      <c r="D233" s="879"/>
      <c r="E233" s="879"/>
      <c r="F233" s="879"/>
      <c r="G233" s="879"/>
      <c r="H233" s="879"/>
      <c r="I233" s="879"/>
      <c r="J233" s="879"/>
      <c r="K233" s="879"/>
      <c r="L233" s="879"/>
      <c r="M233" s="879"/>
      <c r="N233" s="879"/>
      <c r="O233" s="879"/>
      <c r="P233" s="879"/>
      <c r="Q233" s="879"/>
      <c r="R233" s="879"/>
      <c r="S233" s="879"/>
      <c r="T233" s="879"/>
      <c r="U233" s="879"/>
      <c r="V233" s="879"/>
      <c r="W233" s="879"/>
    </row>
    <row r="234" spans="1:23" ht="12.75" customHeight="1">
      <c r="A234" s="879"/>
      <c r="B234" s="879"/>
      <c r="C234" s="879"/>
      <c r="D234" s="879"/>
      <c r="E234" s="879"/>
      <c r="F234" s="879"/>
      <c r="G234" s="879"/>
      <c r="H234" s="879"/>
      <c r="I234" s="879"/>
      <c r="J234" s="879"/>
      <c r="K234" s="879"/>
      <c r="L234" s="879"/>
      <c r="M234" s="879"/>
      <c r="N234" s="879"/>
      <c r="O234" s="879"/>
      <c r="P234" s="879"/>
      <c r="Q234" s="879"/>
      <c r="R234" s="879"/>
      <c r="S234" s="879"/>
      <c r="T234" s="879"/>
      <c r="U234" s="879"/>
      <c r="V234" s="879"/>
      <c r="W234" s="879"/>
    </row>
    <row r="235" spans="1:23" ht="12.75" customHeight="1">
      <c r="A235" s="879"/>
      <c r="B235" s="879"/>
      <c r="C235" s="879"/>
      <c r="D235" s="879"/>
      <c r="E235" s="879"/>
      <c r="F235" s="879"/>
      <c r="G235" s="879"/>
      <c r="H235" s="879"/>
      <c r="I235" s="879"/>
      <c r="J235" s="879"/>
      <c r="K235" s="879"/>
      <c r="L235" s="879"/>
      <c r="M235" s="879"/>
      <c r="N235" s="879"/>
      <c r="O235" s="879"/>
      <c r="P235" s="879"/>
      <c r="Q235" s="879"/>
      <c r="R235" s="879"/>
      <c r="S235" s="879"/>
      <c r="T235" s="879"/>
      <c r="U235" s="879"/>
      <c r="V235" s="879"/>
      <c r="W235" s="879"/>
    </row>
    <row r="236" spans="1:23" ht="12.75" customHeight="1">
      <c r="A236" s="879"/>
      <c r="B236" s="879"/>
      <c r="C236" s="879"/>
      <c r="D236" s="879"/>
      <c r="E236" s="879"/>
      <c r="F236" s="879"/>
      <c r="G236" s="879"/>
      <c r="H236" s="879"/>
      <c r="I236" s="879"/>
      <c r="J236" s="879"/>
      <c r="K236" s="879"/>
      <c r="L236" s="879"/>
      <c r="M236" s="879"/>
      <c r="N236" s="879"/>
      <c r="O236" s="879"/>
      <c r="P236" s="879"/>
      <c r="Q236" s="879"/>
      <c r="R236" s="879"/>
      <c r="S236" s="879"/>
      <c r="T236" s="879"/>
      <c r="U236" s="879"/>
      <c r="V236" s="879"/>
      <c r="W236" s="879"/>
    </row>
    <row r="237" spans="1:23" ht="12.75" customHeight="1">
      <c r="A237" s="879"/>
      <c r="B237" s="879"/>
      <c r="C237" s="879"/>
      <c r="D237" s="879"/>
      <c r="E237" s="879"/>
      <c r="F237" s="879"/>
      <c r="G237" s="879"/>
      <c r="H237" s="879"/>
      <c r="I237" s="879"/>
      <c r="J237" s="879"/>
      <c r="K237" s="879"/>
      <c r="L237" s="879"/>
      <c r="M237" s="879"/>
      <c r="N237" s="879"/>
      <c r="O237" s="879"/>
      <c r="P237" s="879"/>
      <c r="Q237" s="879"/>
      <c r="R237" s="879"/>
      <c r="S237" s="879"/>
      <c r="T237" s="879"/>
      <c r="U237" s="879"/>
      <c r="V237" s="879"/>
      <c r="W237" s="879"/>
    </row>
    <row r="238" spans="1:23" ht="12.75" customHeight="1">
      <c r="A238" s="879"/>
      <c r="B238" s="879"/>
      <c r="C238" s="879"/>
      <c r="D238" s="879"/>
      <c r="E238" s="879"/>
      <c r="F238" s="879"/>
      <c r="G238" s="879"/>
      <c r="H238" s="879"/>
      <c r="I238" s="879"/>
      <c r="J238" s="879"/>
      <c r="K238" s="879"/>
      <c r="L238" s="879"/>
      <c r="M238" s="879"/>
      <c r="N238" s="879"/>
      <c r="O238" s="879"/>
      <c r="P238" s="879"/>
      <c r="Q238" s="879"/>
      <c r="R238" s="879"/>
      <c r="S238" s="879"/>
      <c r="T238" s="879"/>
      <c r="U238" s="879"/>
      <c r="V238" s="879"/>
      <c r="W238" s="879"/>
    </row>
    <row r="239" spans="1:23" ht="12.75" customHeight="1">
      <c r="A239" s="879"/>
      <c r="B239" s="879"/>
      <c r="C239" s="879"/>
      <c r="D239" s="879"/>
      <c r="E239" s="879"/>
      <c r="F239" s="879"/>
      <c r="G239" s="879"/>
      <c r="H239" s="879"/>
      <c r="I239" s="879"/>
      <c r="J239" s="879"/>
      <c r="K239" s="879"/>
      <c r="L239" s="879"/>
      <c r="M239" s="879"/>
      <c r="N239" s="879"/>
      <c r="O239" s="879"/>
      <c r="P239" s="879"/>
      <c r="Q239" s="879"/>
      <c r="R239" s="879"/>
      <c r="S239" s="879"/>
      <c r="T239" s="879"/>
      <c r="U239" s="879"/>
      <c r="V239" s="879"/>
      <c r="W239" s="879"/>
    </row>
    <row r="240" spans="1:23" ht="12.75" customHeight="1">
      <c r="A240" s="879"/>
      <c r="B240" s="879"/>
      <c r="C240" s="879"/>
      <c r="D240" s="879"/>
      <c r="E240" s="879"/>
      <c r="F240" s="879"/>
      <c r="G240" s="879"/>
      <c r="H240" s="879"/>
      <c r="I240" s="879"/>
      <c r="J240" s="879"/>
      <c r="K240" s="879"/>
      <c r="L240" s="879"/>
      <c r="M240" s="879"/>
      <c r="N240" s="879"/>
      <c r="O240" s="879"/>
      <c r="P240" s="879"/>
      <c r="Q240" s="879"/>
      <c r="R240" s="879"/>
      <c r="S240" s="879"/>
      <c r="T240" s="879"/>
      <c r="U240" s="879"/>
      <c r="V240" s="879"/>
      <c r="W240" s="879"/>
    </row>
    <row r="241" spans="1:23" ht="12.75" customHeight="1">
      <c r="A241" s="879"/>
      <c r="B241" s="879"/>
      <c r="C241" s="879"/>
      <c r="D241" s="879"/>
      <c r="E241" s="879"/>
      <c r="F241" s="879"/>
      <c r="G241" s="879"/>
      <c r="H241" s="879"/>
      <c r="I241" s="879"/>
      <c r="J241" s="879"/>
      <c r="K241" s="879"/>
      <c r="L241" s="879"/>
      <c r="M241" s="879"/>
      <c r="N241" s="879"/>
      <c r="O241" s="879"/>
      <c r="P241" s="879"/>
      <c r="Q241" s="879"/>
      <c r="R241" s="879"/>
      <c r="S241" s="879"/>
      <c r="T241" s="879"/>
      <c r="U241" s="879"/>
      <c r="V241" s="879"/>
      <c r="W241" s="879"/>
    </row>
    <row r="242" spans="1:23" ht="12.75" customHeight="1">
      <c r="A242" s="879"/>
      <c r="B242" s="879"/>
      <c r="C242" s="879"/>
      <c r="D242" s="879"/>
      <c r="E242" s="879"/>
      <c r="F242" s="879"/>
      <c r="G242" s="879"/>
      <c r="H242" s="879"/>
      <c r="I242" s="879"/>
      <c r="J242" s="879"/>
      <c r="K242" s="879"/>
      <c r="L242" s="879"/>
      <c r="M242" s="879"/>
      <c r="N242" s="879"/>
      <c r="O242" s="879"/>
      <c r="P242" s="879"/>
      <c r="Q242" s="879"/>
      <c r="R242" s="879"/>
      <c r="S242" s="879"/>
      <c r="T242" s="879"/>
      <c r="U242" s="879"/>
      <c r="V242" s="879"/>
      <c r="W242" s="879"/>
    </row>
    <row r="243" spans="1:23" ht="12.75" customHeight="1">
      <c r="A243" s="879"/>
      <c r="B243" s="879"/>
      <c r="C243" s="879"/>
      <c r="D243" s="879"/>
      <c r="E243" s="879"/>
      <c r="F243" s="879"/>
      <c r="G243" s="879"/>
      <c r="H243" s="879"/>
      <c r="I243" s="879"/>
      <c r="J243" s="879"/>
      <c r="K243" s="879"/>
      <c r="L243" s="879"/>
      <c r="M243" s="879"/>
      <c r="N243" s="879"/>
      <c r="O243" s="879"/>
      <c r="P243" s="879"/>
      <c r="Q243" s="879"/>
      <c r="R243" s="879"/>
      <c r="S243" s="879"/>
      <c r="T243" s="879"/>
      <c r="U243" s="879"/>
      <c r="V243" s="879"/>
      <c r="W243" s="879"/>
    </row>
    <row r="244" spans="1:23" ht="12.75" customHeight="1">
      <c r="A244" s="879"/>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row>
    <row r="245" spans="1:23" ht="12.75" customHeight="1">
      <c r="A245" s="879"/>
      <c r="B245" s="879"/>
      <c r="C245" s="879"/>
      <c r="D245" s="879"/>
      <c r="E245" s="879"/>
      <c r="F245" s="879"/>
      <c r="G245" s="879"/>
      <c r="H245" s="879"/>
      <c r="I245" s="879"/>
      <c r="J245" s="879"/>
      <c r="K245" s="879"/>
      <c r="L245" s="879"/>
      <c r="M245" s="879"/>
      <c r="N245" s="879"/>
      <c r="O245" s="879"/>
      <c r="P245" s="879"/>
      <c r="Q245" s="879"/>
      <c r="R245" s="879"/>
      <c r="S245" s="879"/>
      <c r="T245" s="879"/>
      <c r="U245" s="879"/>
      <c r="V245" s="879"/>
      <c r="W245" s="879"/>
    </row>
    <row r="246" spans="1:23" ht="12.75" customHeight="1">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row>
    <row r="247" spans="1:23" ht="12.75" customHeight="1">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row>
    <row r="248" spans="1:23" ht="12.75" customHeight="1">
      <c r="A248" s="879"/>
      <c r="B248" s="879"/>
      <c r="C248" s="879"/>
      <c r="D248" s="879"/>
      <c r="E248" s="879"/>
      <c r="F248" s="879"/>
      <c r="G248" s="879"/>
      <c r="H248" s="879"/>
      <c r="I248" s="879"/>
      <c r="J248" s="879"/>
      <c r="K248" s="879"/>
      <c r="L248" s="879"/>
      <c r="M248" s="879"/>
      <c r="N248" s="879"/>
      <c r="O248" s="879"/>
      <c r="P248" s="879"/>
      <c r="Q248" s="879"/>
      <c r="R248" s="879"/>
      <c r="S248" s="879"/>
      <c r="T248" s="879"/>
      <c r="U248" s="879"/>
      <c r="V248" s="879"/>
      <c r="W248" s="879"/>
    </row>
    <row r="249" spans="1:23" ht="12.75" customHeight="1">
      <c r="A249" s="879"/>
      <c r="B249" s="879"/>
      <c r="C249" s="879"/>
      <c r="D249" s="879"/>
      <c r="E249" s="879"/>
      <c r="F249" s="879"/>
      <c r="G249" s="879"/>
      <c r="H249" s="879"/>
      <c r="I249" s="879"/>
      <c r="J249" s="879"/>
      <c r="K249" s="879"/>
      <c r="L249" s="879"/>
      <c r="M249" s="879"/>
      <c r="N249" s="879"/>
      <c r="O249" s="879"/>
      <c r="P249" s="879"/>
      <c r="Q249" s="879"/>
      <c r="R249" s="879"/>
      <c r="S249" s="879"/>
      <c r="T249" s="879"/>
      <c r="U249" s="879"/>
      <c r="V249" s="879"/>
      <c r="W249" s="879"/>
    </row>
    <row r="250" spans="1:23" ht="12.75" customHeight="1">
      <c r="A250" s="879"/>
      <c r="B250" s="879"/>
      <c r="C250" s="879"/>
      <c r="D250" s="879"/>
      <c r="E250" s="879"/>
      <c r="F250" s="879"/>
      <c r="G250" s="879"/>
      <c r="H250" s="879"/>
      <c r="I250" s="879"/>
      <c r="J250" s="879"/>
      <c r="K250" s="879"/>
      <c r="L250" s="879"/>
      <c r="M250" s="879"/>
      <c r="N250" s="879"/>
      <c r="O250" s="879"/>
      <c r="P250" s="879"/>
      <c r="Q250" s="879"/>
      <c r="R250" s="879"/>
      <c r="S250" s="879"/>
      <c r="T250" s="879"/>
      <c r="U250" s="879"/>
      <c r="V250" s="879"/>
      <c r="W250" s="879"/>
    </row>
    <row r="251" spans="1:23" ht="12.75" customHeight="1">
      <c r="A251" s="879"/>
      <c r="B251" s="879"/>
      <c r="C251" s="879"/>
      <c r="D251" s="879"/>
      <c r="E251" s="879"/>
      <c r="F251" s="879"/>
      <c r="G251" s="879"/>
      <c r="H251" s="879"/>
      <c r="I251" s="879"/>
      <c r="J251" s="879"/>
      <c r="K251" s="879"/>
      <c r="L251" s="879"/>
      <c r="M251" s="879"/>
      <c r="N251" s="879"/>
      <c r="O251" s="879"/>
      <c r="P251" s="879"/>
      <c r="Q251" s="879"/>
      <c r="R251" s="879"/>
      <c r="S251" s="879"/>
      <c r="T251" s="879"/>
      <c r="U251" s="879"/>
      <c r="V251" s="879"/>
      <c r="W251" s="879"/>
    </row>
    <row r="252" spans="1:23" ht="12.75" customHeight="1">
      <c r="A252" s="879"/>
      <c r="B252" s="879"/>
      <c r="C252" s="879"/>
      <c r="D252" s="879"/>
      <c r="E252" s="879"/>
      <c r="F252" s="879"/>
      <c r="G252" s="879"/>
      <c r="H252" s="879"/>
      <c r="I252" s="879"/>
      <c r="J252" s="879"/>
      <c r="K252" s="879"/>
      <c r="L252" s="879"/>
      <c r="M252" s="879"/>
      <c r="N252" s="879"/>
      <c r="O252" s="879"/>
      <c r="P252" s="879"/>
      <c r="Q252" s="879"/>
      <c r="R252" s="879"/>
      <c r="S252" s="879"/>
      <c r="T252" s="879"/>
      <c r="U252" s="879"/>
      <c r="V252" s="879"/>
      <c r="W252" s="879"/>
    </row>
    <row r="253" spans="1:23" ht="12.75" customHeight="1">
      <c r="A253" s="879"/>
      <c r="B253" s="879"/>
      <c r="C253" s="879"/>
      <c r="D253" s="879"/>
      <c r="E253" s="879"/>
      <c r="F253" s="879"/>
      <c r="G253" s="879"/>
      <c r="H253" s="879"/>
      <c r="I253" s="879"/>
      <c r="J253" s="879"/>
      <c r="K253" s="879"/>
      <c r="L253" s="879"/>
      <c r="M253" s="879"/>
      <c r="N253" s="879"/>
      <c r="O253" s="879"/>
      <c r="P253" s="879"/>
      <c r="Q253" s="879"/>
      <c r="R253" s="879"/>
      <c r="S253" s="879"/>
      <c r="T253" s="879"/>
      <c r="U253" s="879"/>
      <c r="V253" s="879"/>
      <c r="W253" s="879"/>
    </row>
    <row r="254" spans="1:23" ht="12.75" customHeight="1">
      <c r="A254" s="879"/>
      <c r="B254" s="879"/>
      <c r="C254" s="879"/>
      <c r="D254" s="879"/>
      <c r="E254" s="879"/>
      <c r="F254" s="879"/>
      <c r="G254" s="879"/>
      <c r="H254" s="879"/>
      <c r="I254" s="879"/>
      <c r="J254" s="879"/>
      <c r="K254" s="879"/>
      <c r="L254" s="879"/>
      <c r="M254" s="879"/>
      <c r="N254" s="879"/>
      <c r="O254" s="879"/>
      <c r="P254" s="879"/>
      <c r="Q254" s="879"/>
      <c r="R254" s="879"/>
      <c r="S254" s="879"/>
      <c r="T254" s="879"/>
      <c r="U254" s="879"/>
      <c r="V254" s="879"/>
      <c r="W254" s="879"/>
    </row>
    <row r="255" spans="1:23" ht="12.75" customHeight="1">
      <c r="A255" s="879"/>
      <c r="B255" s="879"/>
      <c r="C255" s="879"/>
      <c r="D255" s="879"/>
      <c r="E255" s="879"/>
      <c r="F255" s="879"/>
      <c r="G255" s="879"/>
      <c r="H255" s="879"/>
      <c r="I255" s="879"/>
      <c r="J255" s="879"/>
      <c r="K255" s="879"/>
      <c r="L255" s="879"/>
      <c r="M255" s="879"/>
      <c r="N255" s="879"/>
      <c r="O255" s="879"/>
      <c r="P255" s="879"/>
      <c r="Q255" s="879"/>
      <c r="R255" s="879"/>
      <c r="S255" s="879"/>
      <c r="T255" s="879"/>
      <c r="U255" s="879"/>
      <c r="V255" s="879"/>
      <c r="W255" s="879"/>
    </row>
    <row r="256" spans="1:23" ht="12.75" customHeight="1">
      <c r="A256" s="879"/>
      <c r="B256" s="879"/>
      <c r="C256" s="879"/>
      <c r="D256" s="879"/>
      <c r="E256" s="879"/>
      <c r="F256" s="879"/>
      <c r="G256" s="879"/>
      <c r="H256" s="879"/>
      <c r="I256" s="879"/>
      <c r="J256" s="879"/>
      <c r="K256" s="879"/>
      <c r="L256" s="879"/>
      <c r="M256" s="879"/>
      <c r="N256" s="879"/>
      <c r="O256" s="879"/>
      <c r="P256" s="879"/>
      <c r="Q256" s="879"/>
      <c r="R256" s="879"/>
      <c r="S256" s="879"/>
      <c r="T256" s="879"/>
      <c r="U256" s="879"/>
      <c r="V256" s="879"/>
      <c r="W256" s="879"/>
    </row>
    <row r="257" spans="1:23" ht="12.75" customHeight="1">
      <c r="A257" s="879"/>
      <c r="B257" s="879"/>
      <c r="C257" s="879"/>
      <c r="D257" s="879"/>
      <c r="E257" s="879"/>
      <c r="F257" s="879"/>
      <c r="G257" s="879"/>
      <c r="H257" s="879"/>
      <c r="I257" s="879"/>
      <c r="J257" s="879"/>
      <c r="K257" s="879"/>
      <c r="L257" s="879"/>
      <c r="M257" s="879"/>
      <c r="N257" s="879"/>
      <c r="O257" s="879"/>
      <c r="P257" s="879"/>
      <c r="Q257" s="879"/>
      <c r="R257" s="879"/>
      <c r="S257" s="879"/>
      <c r="T257" s="879"/>
      <c r="U257" s="879"/>
      <c r="V257" s="879"/>
      <c r="W257" s="879"/>
    </row>
    <row r="258" spans="1:23" ht="12.75" customHeight="1">
      <c r="A258" s="879"/>
      <c r="B258" s="879"/>
      <c r="C258" s="879"/>
      <c r="D258" s="879"/>
      <c r="E258" s="879"/>
      <c r="F258" s="879"/>
      <c r="G258" s="879"/>
      <c r="H258" s="879"/>
      <c r="I258" s="879"/>
      <c r="J258" s="879"/>
      <c r="K258" s="879"/>
      <c r="L258" s="879"/>
      <c r="M258" s="879"/>
      <c r="N258" s="879"/>
      <c r="O258" s="879"/>
      <c r="P258" s="879"/>
      <c r="Q258" s="879"/>
      <c r="R258" s="879"/>
      <c r="S258" s="879"/>
      <c r="T258" s="879"/>
      <c r="U258" s="879"/>
      <c r="V258" s="879"/>
      <c r="W258" s="879"/>
    </row>
    <row r="259" spans="1:23" ht="12.75" customHeight="1">
      <c r="A259" s="879"/>
      <c r="B259" s="879"/>
      <c r="C259" s="879"/>
      <c r="D259" s="879"/>
      <c r="E259" s="879"/>
      <c r="F259" s="879"/>
      <c r="G259" s="879"/>
      <c r="H259" s="879"/>
      <c r="I259" s="879"/>
      <c r="J259" s="879"/>
      <c r="K259" s="879"/>
      <c r="L259" s="879"/>
      <c r="M259" s="879"/>
      <c r="N259" s="879"/>
      <c r="O259" s="879"/>
      <c r="P259" s="879"/>
      <c r="Q259" s="879"/>
      <c r="R259" s="879"/>
      <c r="S259" s="879"/>
      <c r="T259" s="879"/>
      <c r="U259" s="879"/>
      <c r="V259" s="879"/>
      <c r="W259" s="879"/>
    </row>
    <row r="260" spans="1:23" ht="12.75" customHeight="1">
      <c r="A260" s="879"/>
      <c r="B260" s="879"/>
      <c r="C260" s="879"/>
      <c r="D260" s="879"/>
      <c r="E260" s="879"/>
      <c r="F260" s="879"/>
      <c r="G260" s="879"/>
      <c r="H260" s="879"/>
      <c r="I260" s="879"/>
      <c r="J260" s="879"/>
      <c r="K260" s="879"/>
      <c r="L260" s="879"/>
      <c r="M260" s="879"/>
      <c r="N260" s="879"/>
      <c r="O260" s="879"/>
      <c r="P260" s="879"/>
      <c r="Q260" s="879"/>
      <c r="R260" s="879"/>
      <c r="S260" s="879"/>
      <c r="T260" s="879"/>
      <c r="U260" s="879"/>
      <c r="V260" s="879"/>
      <c r="W260" s="879"/>
    </row>
    <row r="261" spans="1:23" ht="12.75" customHeight="1">
      <c r="A261" s="879"/>
      <c r="B261" s="879"/>
      <c r="C261" s="879"/>
      <c r="D261" s="879"/>
      <c r="E261" s="879"/>
      <c r="F261" s="879"/>
      <c r="G261" s="879"/>
      <c r="H261" s="879"/>
      <c r="I261" s="879"/>
      <c r="J261" s="879"/>
      <c r="K261" s="879"/>
      <c r="L261" s="879"/>
      <c r="M261" s="879"/>
      <c r="N261" s="879"/>
      <c r="O261" s="879"/>
      <c r="P261" s="879"/>
      <c r="Q261" s="879"/>
      <c r="R261" s="879"/>
      <c r="S261" s="879"/>
      <c r="T261" s="879"/>
      <c r="U261" s="879"/>
      <c r="V261" s="879"/>
      <c r="W261" s="879"/>
    </row>
    <row r="262" spans="1:23" ht="12.75" customHeight="1">
      <c r="A262" s="879"/>
      <c r="B262" s="879"/>
      <c r="C262" s="879"/>
      <c r="D262" s="879"/>
      <c r="E262" s="879"/>
      <c r="F262" s="879"/>
      <c r="G262" s="879"/>
      <c r="H262" s="879"/>
      <c r="I262" s="879"/>
      <c r="J262" s="879"/>
      <c r="K262" s="879"/>
      <c r="L262" s="879"/>
      <c r="M262" s="879"/>
      <c r="N262" s="879"/>
      <c r="O262" s="879"/>
      <c r="P262" s="879"/>
      <c r="Q262" s="879"/>
      <c r="R262" s="879"/>
      <c r="S262" s="879"/>
      <c r="T262" s="879"/>
      <c r="U262" s="879"/>
      <c r="V262" s="879"/>
      <c r="W262" s="879"/>
    </row>
    <row r="263" spans="1:23" ht="12.75" customHeight="1">
      <c r="A263" s="879"/>
      <c r="B263" s="879"/>
      <c r="C263" s="879"/>
      <c r="D263" s="879"/>
      <c r="E263" s="879"/>
      <c r="F263" s="879"/>
      <c r="G263" s="879"/>
      <c r="H263" s="879"/>
      <c r="I263" s="879"/>
      <c r="J263" s="879"/>
      <c r="K263" s="879"/>
      <c r="L263" s="879"/>
      <c r="M263" s="879"/>
      <c r="N263" s="879"/>
      <c r="O263" s="879"/>
      <c r="P263" s="879"/>
      <c r="Q263" s="879"/>
      <c r="R263" s="879"/>
      <c r="S263" s="879"/>
      <c r="T263" s="879"/>
      <c r="U263" s="879"/>
      <c r="V263" s="879"/>
      <c r="W263" s="879"/>
    </row>
    <row r="264" spans="1:23" ht="12.75" customHeight="1">
      <c r="A264" s="879"/>
      <c r="B264" s="879"/>
      <c r="C264" s="879"/>
      <c r="D264" s="879"/>
      <c r="E264" s="879"/>
      <c r="F264" s="879"/>
      <c r="G264" s="879"/>
      <c r="H264" s="879"/>
      <c r="I264" s="879"/>
      <c r="J264" s="879"/>
      <c r="K264" s="879"/>
      <c r="L264" s="879"/>
      <c r="M264" s="879"/>
      <c r="N264" s="879"/>
      <c r="O264" s="879"/>
      <c r="P264" s="879"/>
      <c r="Q264" s="879"/>
      <c r="R264" s="879"/>
      <c r="S264" s="879"/>
      <c r="T264" s="879"/>
      <c r="U264" s="879"/>
      <c r="V264" s="879"/>
      <c r="W264" s="879"/>
    </row>
    <row r="265" spans="1:23" ht="12.75" customHeight="1">
      <c r="A265" s="879"/>
      <c r="B265" s="879"/>
      <c r="C265" s="879"/>
      <c r="D265" s="879"/>
      <c r="E265" s="879"/>
      <c r="F265" s="879"/>
      <c r="G265" s="879"/>
      <c r="H265" s="879"/>
      <c r="I265" s="879"/>
      <c r="J265" s="879"/>
      <c r="K265" s="879"/>
      <c r="L265" s="879"/>
      <c r="M265" s="879"/>
      <c r="N265" s="879"/>
      <c r="O265" s="879"/>
      <c r="P265" s="879"/>
      <c r="Q265" s="879"/>
      <c r="R265" s="879"/>
      <c r="S265" s="879"/>
      <c r="T265" s="879"/>
      <c r="U265" s="879"/>
      <c r="V265" s="879"/>
      <c r="W265" s="879"/>
    </row>
    <row r="266" spans="1:23" ht="12.75" customHeight="1">
      <c r="A266" s="879"/>
      <c r="B266" s="879"/>
      <c r="C266" s="879"/>
      <c r="D266" s="879"/>
      <c r="E266" s="879"/>
      <c r="F266" s="879"/>
      <c r="G266" s="879"/>
      <c r="H266" s="879"/>
      <c r="I266" s="879"/>
      <c r="J266" s="879"/>
      <c r="K266" s="879"/>
      <c r="L266" s="879"/>
      <c r="M266" s="879"/>
      <c r="N266" s="879"/>
      <c r="O266" s="879"/>
      <c r="P266" s="879"/>
      <c r="Q266" s="879"/>
      <c r="R266" s="879"/>
      <c r="S266" s="879"/>
      <c r="T266" s="879"/>
      <c r="U266" s="879"/>
      <c r="V266" s="879"/>
      <c r="W266" s="879"/>
    </row>
    <row r="267" spans="1:23" ht="12.75" customHeight="1">
      <c r="A267" s="879"/>
      <c r="B267" s="879"/>
      <c r="C267" s="879"/>
      <c r="D267" s="879"/>
      <c r="E267" s="879"/>
      <c r="F267" s="879"/>
      <c r="G267" s="879"/>
      <c r="H267" s="879"/>
      <c r="I267" s="879"/>
      <c r="J267" s="879"/>
      <c r="K267" s="879"/>
      <c r="L267" s="879"/>
      <c r="M267" s="879"/>
      <c r="N267" s="879"/>
      <c r="O267" s="879"/>
      <c r="P267" s="879"/>
      <c r="Q267" s="879"/>
      <c r="R267" s="879"/>
      <c r="S267" s="879"/>
      <c r="T267" s="879"/>
      <c r="U267" s="879"/>
      <c r="V267" s="879"/>
      <c r="W267" s="879"/>
    </row>
    <row r="268" spans="1:23" ht="12.75" customHeight="1">
      <c r="A268" s="879"/>
      <c r="B268" s="879"/>
      <c r="C268" s="879"/>
      <c r="D268" s="879"/>
      <c r="E268" s="879"/>
      <c r="F268" s="879"/>
      <c r="G268" s="879"/>
      <c r="H268" s="879"/>
      <c r="I268" s="879"/>
      <c r="J268" s="879"/>
      <c r="K268" s="879"/>
      <c r="L268" s="879"/>
      <c r="M268" s="879"/>
      <c r="N268" s="879"/>
      <c r="O268" s="879"/>
      <c r="P268" s="879"/>
      <c r="Q268" s="879"/>
      <c r="R268" s="879"/>
      <c r="S268" s="879"/>
      <c r="T268" s="879"/>
      <c r="U268" s="879"/>
      <c r="V268" s="879"/>
      <c r="W268" s="879"/>
    </row>
    <row r="269" spans="1:23" ht="12.75" customHeight="1">
      <c r="A269" s="879"/>
      <c r="B269" s="879"/>
      <c r="C269" s="879"/>
      <c r="D269" s="879"/>
      <c r="E269" s="879"/>
      <c r="F269" s="879"/>
      <c r="G269" s="879"/>
      <c r="H269" s="879"/>
      <c r="I269" s="879"/>
      <c r="J269" s="879"/>
      <c r="K269" s="879"/>
      <c r="L269" s="879"/>
      <c r="M269" s="879"/>
      <c r="N269" s="879"/>
      <c r="O269" s="879"/>
      <c r="P269" s="879"/>
      <c r="Q269" s="879"/>
      <c r="R269" s="879"/>
      <c r="S269" s="879"/>
      <c r="T269" s="879"/>
      <c r="U269" s="879"/>
      <c r="V269" s="879"/>
      <c r="W269" s="879"/>
    </row>
    <row r="270" spans="1:23" ht="12.75" customHeight="1">
      <c r="A270" s="879"/>
      <c r="B270" s="879"/>
      <c r="C270" s="879"/>
      <c r="D270" s="879"/>
      <c r="E270" s="879"/>
      <c r="F270" s="879"/>
      <c r="G270" s="879"/>
      <c r="H270" s="879"/>
      <c r="I270" s="879"/>
      <c r="J270" s="879"/>
      <c r="K270" s="879"/>
      <c r="L270" s="879"/>
      <c r="M270" s="879"/>
      <c r="N270" s="879"/>
      <c r="O270" s="879"/>
      <c r="P270" s="879"/>
      <c r="Q270" s="879"/>
      <c r="R270" s="879"/>
      <c r="S270" s="879"/>
      <c r="T270" s="879"/>
      <c r="U270" s="879"/>
      <c r="V270" s="879"/>
      <c r="W270" s="879"/>
    </row>
    <row r="271" spans="1:23" ht="12.75" customHeight="1">
      <c r="A271" s="879"/>
      <c r="B271" s="879"/>
      <c r="C271" s="879"/>
      <c r="D271" s="879"/>
      <c r="E271" s="879"/>
      <c r="F271" s="879"/>
      <c r="G271" s="879"/>
      <c r="H271" s="879"/>
      <c r="I271" s="879"/>
      <c r="J271" s="879"/>
      <c r="K271" s="879"/>
      <c r="L271" s="879"/>
      <c r="M271" s="879"/>
      <c r="N271" s="879"/>
      <c r="O271" s="879"/>
      <c r="P271" s="879"/>
      <c r="Q271" s="879"/>
      <c r="R271" s="879"/>
      <c r="S271" s="879"/>
      <c r="T271" s="879"/>
      <c r="U271" s="879"/>
      <c r="V271" s="879"/>
      <c r="W271" s="879"/>
    </row>
    <row r="272" spans="1:23" ht="12.75" customHeight="1">
      <c r="A272" s="879"/>
      <c r="B272" s="879"/>
      <c r="C272" s="879"/>
      <c r="D272" s="879"/>
      <c r="E272" s="879"/>
      <c r="F272" s="879"/>
      <c r="G272" s="879"/>
      <c r="H272" s="879"/>
      <c r="I272" s="879"/>
      <c r="J272" s="879"/>
      <c r="K272" s="879"/>
      <c r="L272" s="879"/>
      <c r="M272" s="879"/>
      <c r="N272" s="879"/>
      <c r="O272" s="879"/>
      <c r="P272" s="879"/>
      <c r="Q272" s="879"/>
      <c r="R272" s="879"/>
      <c r="S272" s="879"/>
      <c r="T272" s="879"/>
      <c r="U272" s="879"/>
      <c r="V272" s="879"/>
      <c r="W272" s="879"/>
    </row>
    <row r="273" spans="1:23" ht="12.75" customHeight="1">
      <c r="A273" s="879"/>
      <c r="B273" s="879"/>
      <c r="C273" s="879"/>
      <c r="D273" s="879"/>
      <c r="E273" s="879"/>
      <c r="F273" s="879"/>
      <c r="G273" s="879"/>
      <c r="H273" s="879"/>
      <c r="I273" s="879"/>
      <c r="J273" s="879"/>
      <c r="K273" s="879"/>
      <c r="L273" s="879"/>
      <c r="M273" s="879"/>
      <c r="N273" s="879"/>
      <c r="O273" s="879"/>
      <c r="P273" s="879"/>
      <c r="Q273" s="879"/>
      <c r="R273" s="879"/>
      <c r="S273" s="879"/>
      <c r="T273" s="879"/>
      <c r="U273" s="879"/>
      <c r="V273" s="879"/>
      <c r="W273" s="879"/>
    </row>
    <row r="274" spans="1:23" ht="12.75" customHeight="1">
      <c r="A274" s="879"/>
      <c r="B274" s="879"/>
      <c r="C274" s="879"/>
      <c r="D274" s="879"/>
      <c r="E274" s="879"/>
      <c r="F274" s="879"/>
      <c r="G274" s="879"/>
      <c r="H274" s="879"/>
      <c r="I274" s="879"/>
      <c r="J274" s="879"/>
      <c r="K274" s="879"/>
      <c r="L274" s="879"/>
      <c r="M274" s="879"/>
      <c r="N274" s="879"/>
      <c r="O274" s="879"/>
      <c r="P274" s="879"/>
      <c r="Q274" s="879"/>
      <c r="R274" s="879"/>
      <c r="S274" s="879"/>
      <c r="T274" s="879"/>
      <c r="U274" s="879"/>
      <c r="V274" s="879"/>
      <c r="W274" s="879"/>
    </row>
    <row r="275" spans="1:23" ht="12.75" customHeight="1">
      <c r="A275" s="879"/>
      <c r="B275" s="879"/>
      <c r="C275" s="879"/>
      <c r="D275" s="879"/>
      <c r="E275" s="879"/>
      <c r="F275" s="879"/>
      <c r="G275" s="879"/>
      <c r="H275" s="879"/>
      <c r="I275" s="879"/>
      <c r="J275" s="879"/>
      <c r="K275" s="879"/>
      <c r="L275" s="879"/>
      <c r="M275" s="879"/>
      <c r="N275" s="879"/>
      <c r="O275" s="879"/>
      <c r="P275" s="879"/>
      <c r="Q275" s="879"/>
      <c r="R275" s="879"/>
      <c r="S275" s="879"/>
      <c r="T275" s="879"/>
      <c r="U275" s="879"/>
      <c r="V275" s="879"/>
      <c r="W275" s="879"/>
    </row>
    <row r="276" spans="1:23" ht="12.75" customHeight="1">
      <c r="A276" s="879"/>
      <c r="B276" s="879"/>
      <c r="C276" s="879"/>
      <c r="D276" s="879"/>
      <c r="E276" s="879"/>
      <c r="F276" s="879"/>
      <c r="G276" s="879"/>
      <c r="H276" s="879"/>
      <c r="I276" s="879"/>
      <c r="J276" s="879"/>
      <c r="K276" s="879"/>
      <c r="L276" s="879"/>
      <c r="M276" s="879"/>
      <c r="N276" s="879"/>
      <c r="O276" s="879"/>
      <c r="P276" s="879"/>
      <c r="Q276" s="879"/>
      <c r="R276" s="879"/>
      <c r="S276" s="879"/>
      <c r="T276" s="879"/>
      <c r="U276" s="879"/>
      <c r="V276" s="879"/>
      <c r="W276" s="879"/>
    </row>
    <row r="277" spans="1:23" ht="12.75" customHeight="1">
      <c r="A277" s="879"/>
      <c r="B277" s="879"/>
      <c r="C277" s="879"/>
      <c r="D277" s="879"/>
      <c r="E277" s="879"/>
      <c r="F277" s="879"/>
      <c r="G277" s="879"/>
      <c r="H277" s="879"/>
      <c r="I277" s="879"/>
      <c r="J277" s="879"/>
      <c r="K277" s="879"/>
      <c r="L277" s="879"/>
      <c r="M277" s="879"/>
      <c r="N277" s="879"/>
      <c r="O277" s="879"/>
      <c r="P277" s="879"/>
      <c r="Q277" s="879"/>
      <c r="R277" s="879"/>
      <c r="S277" s="879"/>
      <c r="T277" s="879"/>
      <c r="U277" s="879"/>
      <c r="V277" s="879"/>
      <c r="W277" s="879"/>
    </row>
    <row r="278" spans="1:23" ht="12.75" customHeight="1">
      <c r="A278" s="879"/>
      <c r="B278" s="879"/>
      <c r="C278" s="879"/>
      <c r="D278" s="879"/>
      <c r="E278" s="879"/>
      <c r="F278" s="879"/>
      <c r="G278" s="879"/>
      <c r="H278" s="879"/>
      <c r="I278" s="879"/>
      <c r="J278" s="879"/>
      <c r="K278" s="879"/>
      <c r="L278" s="879"/>
      <c r="M278" s="879"/>
      <c r="N278" s="879"/>
      <c r="O278" s="879"/>
      <c r="P278" s="879"/>
      <c r="Q278" s="879"/>
      <c r="R278" s="879"/>
      <c r="S278" s="879"/>
      <c r="T278" s="879"/>
      <c r="U278" s="879"/>
      <c r="V278" s="879"/>
      <c r="W278" s="879"/>
    </row>
    <row r="279" spans="1:23" ht="12.75" customHeight="1">
      <c r="A279" s="879"/>
      <c r="B279" s="879"/>
      <c r="C279" s="879"/>
      <c r="D279" s="879"/>
      <c r="E279" s="879"/>
      <c r="F279" s="879"/>
      <c r="G279" s="879"/>
      <c r="H279" s="879"/>
      <c r="I279" s="879"/>
      <c r="J279" s="879"/>
      <c r="K279" s="879"/>
      <c r="L279" s="879"/>
      <c r="M279" s="879"/>
      <c r="N279" s="879"/>
      <c r="O279" s="879"/>
      <c r="P279" s="879"/>
      <c r="Q279" s="879"/>
      <c r="R279" s="879"/>
      <c r="S279" s="879"/>
      <c r="T279" s="879"/>
      <c r="U279" s="879"/>
      <c r="V279" s="879"/>
      <c r="W279" s="879"/>
    </row>
    <row r="280" spans="1:23" ht="12.75" customHeight="1">
      <c r="A280" s="879"/>
      <c r="B280" s="879"/>
      <c r="C280" s="879"/>
      <c r="D280" s="879"/>
      <c r="E280" s="879"/>
      <c r="F280" s="879"/>
      <c r="G280" s="879"/>
      <c r="H280" s="879"/>
      <c r="I280" s="879"/>
      <c r="J280" s="879"/>
      <c r="K280" s="879"/>
      <c r="L280" s="879"/>
      <c r="M280" s="879"/>
      <c r="N280" s="879"/>
      <c r="O280" s="879"/>
      <c r="P280" s="879"/>
      <c r="Q280" s="879"/>
      <c r="R280" s="879"/>
      <c r="S280" s="879"/>
      <c r="T280" s="879"/>
      <c r="U280" s="879"/>
      <c r="V280" s="879"/>
      <c r="W280" s="879"/>
    </row>
    <row r="281" spans="1:23" ht="12.75" customHeight="1">
      <c r="A281" s="879"/>
      <c r="B281" s="879"/>
      <c r="C281" s="879"/>
      <c r="D281" s="879"/>
      <c r="E281" s="879"/>
      <c r="F281" s="879"/>
      <c r="G281" s="879"/>
      <c r="H281" s="879"/>
      <c r="I281" s="879"/>
      <c r="J281" s="879"/>
      <c r="K281" s="879"/>
      <c r="L281" s="879"/>
      <c r="M281" s="879"/>
      <c r="N281" s="879"/>
      <c r="O281" s="879"/>
      <c r="P281" s="879"/>
      <c r="Q281" s="879"/>
      <c r="R281" s="879"/>
      <c r="S281" s="879"/>
      <c r="T281" s="879"/>
      <c r="U281" s="879"/>
      <c r="V281" s="879"/>
      <c r="W281" s="879"/>
    </row>
    <row r="282" spans="1:23" ht="12.75" customHeight="1">
      <c r="A282" s="879"/>
      <c r="B282" s="879"/>
      <c r="C282" s="879"/>
      <c r="D282" s="879"/>
      <c r="E282" s="879"/>
      <c r="F282" s="879"/>
      <c r="G282" s="879"/>
      <c r="H282" s="879"/>
      <c r="I282" s="879"/>
      <c r="J282" s="879"/>
      <c r="K282" s="879"/>
      <c r="L282" s="879"/>
      <c r="M282" s="879"/>
      <c r="N282" s="879"/>
      <c r="O282" s="879"/>
      <c r="P282" s="879"/>
      <c r="Q282" s="879"/>
      <c r="R282" s="879"/>
      <c r="S282" s="879"/>
      <c r="T282" s="879"/>
      <c r="U282" s="879"/>
      <c r="V282" s="879"/>
      <c r="W282" s="879"/>
    </row>
    <row r="283" spans="1:23" ht="12.75" customHeight="1">
      <c r="A283" s="879"/>
      <c r="B283" s="879"/>
      <c r="C283" s="879"/>
      <c r="D283" s="879"/>
      <c r="E283" s="879"/>
      <c r="F283" s="879"/>
      <c r="G283" s="879"/>
      <c r="H283" s="879"/>
      <c r="I283" s="879"/>
      <c r="J283" s="879"/>
      <c r="K283" s="879"/>
      <c r="L283" s="879"/>
      <c r="M283" s="879"/>
      <c r="N283" s="879"/>
      <c r="O283" s="879"/>
      <c r="P283" s="879"/>
      <c r="Q283" s="879"/>
      <c r="R283" s="879"/>
      <c r="S283" s="879"/>
      <c r="T283" s="879"/>
      <c r="U283" s="879"/>
      <c r="V283" s="879"/>
      <c r="W283" s="879"/>
    </row>
    <row r="284" spans="1:23" ht="12.75" customHeight="1">
      <c r="A284" s="879"/>
      <c r="B284" s="879"/>
      <c r="C284" s="879"/>
      <c r="D284" s="879"/>
      <c r="E284" s="879"/>
      <c r="F284" s="879"/>
      <c r="G284" s="879"/>
      <c r="H284" s="879"/>
      <c r="I284" s="879"/>
      <c r="J284" s="879"/>
      <c r="K284" s="879"/>
      <c r="L284" s="879"/>
      <c r="M284" s="879"/>
      <c r="N284" s="879"/>
      <c r="O284" s="879"/>
      <c r="P284" s="879"/>
      <c r="Q284" s="879"/>
      <c r="R284" s="879"/>
      <c r="S284" s="879"/>
      <c r="T284" s="879"/>
      <c r="U284" s="879"/>
      <c r="V284" s="879"/>
      <c r="W284" s="879"/>
    </row>
    <row r="285" spans="1:23" ht="12.75" customHeight="1">
      <c r="A285" s="879"/>
      <c r="B285" s="879"/>
      <c r="C285" s="879"/>
      <c r="D285" s="879"/>
      <c r="E285" s="879"/>
      <c r="F285" s="879"/>
      <c r="G285" s="879"/>
      <c r="H285" s="879"/>
      <c r="I285" s="879"/>
      <c r="J285" s="879"/>
      <c r="K285" s="879"/>
      <c r="L285" s="879"/>
      <c r="M285" s="879"/>
      <c r="N285" s="879"/>
      <c r="O285" s="879"/>
      <c r="P285" s="879"/>
      <c r="Q285" s="879"/>
      <c r="R285" s="879"/>
      <c r="S285" s="879"/>
      <c r="T285" s="879"/>
      <c r="U285" s="879"/>
      <c r="V285" s="879"/>
      <c r="W285" s="879"/>
    </row>
    <row r="286" spans="1:23" ht="12.75" customHeight="1">
      <c r="A286" s="879"/>
      <c r="B286" s="879"/>
      <c r="C286" s="879"/>
      <c r="D286" s="879"/>
      <c r="E286" s="879"/>
      <c r="F286" s="879"/>
      <c r="G286" s="879"/>
      <c r="H286" s="879"/>
      <c r="I286" s="879"/>
      <c r="J286" s="879"/>
      <c r="K286" s="879"/>
      <c r="L286" s="879"/>
      <c r="M286" s="879"/>
      <c r="N286" s="879"/>
      <c r="O286" s="879"/>
      <c r="P286" s="879"/>
      <c r="Q286" s="879"/>
      <c r="R286" s="879"/>
      <c r="S286" s="879"/>
      <c r="T286" s="879"/>
      <c r="U286" s="879"/>
      <c r="V286" s="879"/>
      <c r="W286" s="879"/>
    </row>
    <row r="287" spans="1:23" ht="12.75" customHeight="1">
      <c r="A287" s="879"/>
      <c r="B287" s="879"/>
      <c r="C287" s="879"/>
      <c r="D287" s="879"/>
      <c r="E287" s="879"/>
      <c r="F287" s="879"/>
      <c r="G287" s="879"/>
      <c r="H287" s="879"/>
      <c r="I287" s="879"/>
      <c r="J287" s="879"/>
      <c r="K287" s="879"/>
      <c r="L287" s="879"/>
      <c r="M287" s="879"/>
      <c r="N287" s="879"/>
      <c r="O287" s="879"/>
      <c r="P287" s="879"/>
      <c r="Q287" s="879"/>
      <c r="R287" s="879"/>
      <c r="S287" s="879"/>
      <c r="T287" s="879"/>
      <c r="U287" s="879"/>
      <c r="V287" s="879"/>
      <c r="W287" s="879"/>
    </row>
    <row r="288" spans="1:23" ht="12.75" customHeight="1">
      <c r="A288" s="879"/>
      <c r="B288" s="879"/>
      <c r="C288" s="879"/>
      <c r="D288" s="879"/>
      <c r="E288" s="879"/>
      <c r="F288" s="879"/>
      <c r="G288" s="879"/>
      <c r="H288" s="879"/>
      <c r="I288" s="879"/>
      <c r="J288" s="879"/>
      <c r="K288" s="879"/>
      <c r="L288" s="879"/>
      <c r="M288" s="879"/>
      <c r="N288" s="879"/>
      <c r="O288" s="879"/>
      <c r="P288" s="879"/>
      <c r="Q288" s="879"/>
      <c r="R288" s="879"/>
      <c r="S288" s="879"/>
      <c r="T288" s="879"/>
      <c r="U288" s="879"/>
      <c r="V288" s="879"/>
      <c r="W288" s="879"/>
    </row>
    <row r="289" spans="1:23" ht="12.75" customHeight="1">
      <c r="A289" s="879"/>
      <c r="B289" s="879"/>
      <c r="C289" s="879"/>
      <c r="D289" s="879"/>
      <c r="E289" s="879"/>
      <c r="F289" s="879"/>
      <c r="G289" s="879"/>
      <c r="H289" s="879"/>
      <c r="I289" s="879"/>
      <c r="J289" s="879"/>
      <c r="K289" s="879"/>
      <c r="L289" s="879"/>
      <c r="M289" s="879"/>
      <c r="N289" s="879"/>
      <c r="O289" s="879"/>
      <c r="P289" s="879"/>
      <c r="Q289" s="879"/>
      <c r="R289" s="879"/>
      <c r="S289" s="879"/>
      <c r="T289" s="879"/>
      <c r="U289" s="879"/>
      <c r="V289" s="879"/>
      <c r="W289" s="879"/>
    </row>
    <row r="290" spans="1:23" ht="12.75" customHeight="1">
      <c r="A290" s="879"/>
      <c r="B290" s="879"/>
      <c r="C290" s="879"/>
      <c r="D290" s="879"/>
      <c r="E290" s="879"/>
      <c r="F290" s="879"/>
      <c r="G290" s="879"/>
      <c r="H290" s="879"/>
      <c r="I290" s="879"/>
      <c r="J290" s="879"/>
      <c r="K290" s="879"/>
      <c r="L290" s="879"/>
      <c r="M290" s="879"/>
      <c r="N290" s="879"/>
      <c r="O290" s="879"/>
      <c r="P290" s="879"/>
      <c r="Q290" s="879"/>
      <c r="R290" s="879"/>
      <c r="S290" s="879"/>
      <c r="T290" s="879"/>
      <c r="U290" s="879"/>
      <c r="V290" s="879"/>
      <c r="W290" s="879"/>
    </row>
    <row r="291" spans="1:23" ht="12.75" customHeight="1">
      <c r="A291" s="879"/>
      <c r="B291" s="879"/>
      <c r="C291" s="879"/>
      <c r="D291" s="879"/>
      <c r="E291" s="879"/>
      <c r="F291" s="879"/>
      <c r="G291" s="879"/>
      <c r="H291" s="879"/>
      <c r="I291" s="879"/>
      <c r="J291" s="879"/>
      <c r="K291" s="879"/>
      <c r="L291" s="879"/>
      <c r="M291" s="879"/>
      <c r="N291" s="879"/>
      <c r="O291" s="879"/>
      <c r="P291" s="879"/>
      <c r="Q291" s="879"/>
      <c r="R291" s="879"/>
      <c r="S291" s="879"/>
      <c r="T291" s="879"/>
      <c r="U291" s="879"/>
      <c r="V291" s="879"/>
      <c r="W291" s="879"/>
    </row>
    <row r="292" spans="1:23" ht="12.75" customHeight="1">
      <c r="A292" s="879"/>
      <c r="B292" s="879"/>
      <c r="C292" s="879"/>
      <c r="D292" s="879"/>
      <c r="E292" s="879"/>
      <c r="F292" s="879"/>
      <c r="G292" s="879"/>
      <c r="H292" s="879"/>
      <c r="I292" s="879"/>
      <c r="J292" s="879"/>
      <c r="K292" s="879"/>
      <c r="L292" s="879"/>
      <c r="M292" s="879"/>
      <c r="N292" s="879"/>
      <c r="O292" s="879"/>
      <c r="P292" s="879"/>
      <c r="Q292" s="879"/>
      <c r="R292" s="879"/>
      <c r="S292" s="879"/>
      <c r="T292" s="879"/>
      <c r="U292" s="879"/>
      <c r="V292" s="879"/>
      <c r="W292" s="879"/>
    </row>
    <row r="293" spans="1:23" ht="12.75" customHeight="1">
      <c r="A293" s="879"/>
      <c r="B293" s="879"/>
      <c r="C293" s="879"/>
      <c r="D293" s="879"/>
      <c r="E293" s="879"/>
      <c r="F293" s="879"/>
      <c r="G293" s="879"/>
      <c r="H293" s="879"/>
      <c r="I293" s="879"/>
      <c r="J293" s="879"/>
      <c r="K293" s="879"/>
      <c r="L293" s="879"/>
      <c r="M293" s="879"/>
      <c r="N293" s="879"/>
      <c r="O293" s="879"/>
      <c r="P293" s="879"/>
      <c r="Q293" s="879"/>
      <c r="R293" s="879"/>
      <c r="S293" s="879"/>
      <c r="T293" s="879"/>
      <c r="U293" s="879"/>
      <c r="V293" s="879"/>
      <c r="W293" s="879"/>
    </row>
    <row r="294" spans="1:23" ht="12.75" customHeight="1">
      <c r="A294" s="879"/>
      <c r="B294" s="879"/>
      <c r="C294" s="879"/>
      <c r="D294" s="879"/>
      <c r="E294" s="879"/>
      <c r="F294" s="879"/>
      <c r="G294" s="879"/>
      <c r="H294" s="879"/>
      <c r="I294" s="879"/>
      <c r="J294" s="879"/>
      <c r="K294" s="879"/>
      <c r="L294" s="879"/>
      <c r="M294" s="879"/>
      <c r="N294" s="879"/>
      <c r="O294" s="879"/>
      <c r="P294" s="879"/>
      <c r="Q294" s="879"/>
      <c r="R294" s="879"/>
      <c r="S294" s="879"/>
      <c r="T294" s="879"/>
      <c r="U294" s="879"/>
      <c r="V294" s="879"/>
      <c r="W294" s="879"/>
    </row>
    <row r="295" spans="1:23" ht="12.75" customHeight="1">
      <c r="A295" s="879"/>
      <c r="B295" s="879"/>
      <c r="C295" s="879"/>
      <c r="D295" s="879"/>
      <c r="E295" s="879"/>
      <c r="F295" s="879"/>
      <c r="G295" s="879"/>
      <c r="H295" s="879"/>
      <c r="I295" s="879"/>
      <c r="J295" s="879"/>
      <c r="K295" s="879"/>
      <c r="L295" s="879"/>
      <c r="M295" s="879"/>
      <c r="N295" s="879"/>
      <c r="O295" s="879"/>
      <c r="P295" s="879"/>
      <c r="Q295" s="879"/>
      <c r="R295" s="879"/>
      <c r="S295" s="879"/>
      <c r="T295" s="879"/>
      <c r="U295" s="879"/>
      <c r="V295" s="879"/>
      <c r="W295" s="879"/>
    </row>
    <row r="296" spans="1:23" ht="12.75" customHeight="1">
      <c r="A296" s="879"/>
      <c r="B296" s="879"/>
      <c r="C296" s="879"/>
      <c r="D296" s="879"/>
      <c r="E296" s="879"/>
      <c r="F296" s="879"/>
      <c r="G296" s="879"/>
      <c r="H296" s="879"/>
      <c r="I296" s="879"/>
      <c r="J296" s="879"/>
      <c r="K296" s="879"/>
      <c r="L296" s="879"/>
      <c r="M296" s="879"/>
      <c r="N296" s="879"/>
      <c r="O296" s="879"/>
      <c r="P296" s="879"/>
      <c r="Q296" s="879"/>
      <c r="R296" s="879"/>
      <c r="S296" s="879"/>
      <c r="T296" s="879"/>
      <c r="U296" s="879"/>
      <c r="V296" s="879"/>
      <c r="W296" s="879"/>
    </row>
    <row r="297" spans="1:23" ht="12.75" customHeight="1">
      <c r="A297" s="879"/>
      <c r="B297" s="879"/>
      <c r="C297" s="879"/>
      <c r="D297" s="879"/>
      <c r="E297" s="879"/>
      <c r="F297" s="879"/>
      <c r="G297" s="879"/>
      <c r="H297" s="879"/>
      <c r="I297" s="879"/>
      <c r="J297" s="879"/>
      <c r="K297" s="879"/>
      <c r="L297" s="879"/>
      <c r="M297" s="879"/>
      <c r="N297" s="879"/>
      <c r="O297" s="879"/>
      <c r="P297" s="879"/>
      <c r="Q297" s="879"/>
      <c r="R297" s="879"/>
      <c r="S297" s="879"/>
      <c r="T297" s="879"/>
      <c r="U297" s="879"/>
      <c r="V297" s="879"/>
      <c r="W297" s="879"/>
    </row>
    <row r="298" spans="1:23" ht="12.75" customHeight="1">
      <c r="A298" s="879"/>
      <c r="B298" s="879"/>
      <c r="C298" s="879"/>
      <c r="D298" s="879"/>
      <c r="E298" s="879"/>
      <c r="F298" s="879"/>
      <c r="G298" s="879"/>
      <c r="H298" s="879"/>
      <c r="I298" s="879"/>
      <c r="J298" s="879"/>
      <c r="K298" s="879"/>
      <c r="L298" s="879"/>
      <c r="M298" s="879"/>
      <c r="N298" s="879"/>
      <c r="O298" s="879"/>
      <c r="P298" s="879"/>
      <c r="Q298" s="879"/>
      <c r="R298" s="879"/>
      <c r="S298" s="879"/>
      <c r="T298" s="879"/>
      <c r="U298" s="879"/>
      <c r="V298" s="879"/>
      <c r="W298" s="879"/>
    </row>
    <row r="299" spans="1:23" ht="12.75" customHeight="1">
      <c r="A299" s="879"/>
      <c r="B299" s="879"/>
      <c r="C299" s="879"/>
      <c r="D299" s="879"/>
      <c r="E299" s="879"/>
      <c r="F299" s="879"/>
      <c r="G299" s="879"/>
      <c r="H299" s="879"/>
      <c r="I299" s="879"/>
      <c r="J299" s="879"/>
      <c r="K299" s="879"/>
      <c r="L299" s="879"/>
      <c r="M299" s="879"/>
      <c r="N299" s="879"/>
      <c r="O299" s="879"/>
      <c r="P299" s="879"/>
      <c r="Q299" s="879"/>
      <c r="R299" s="879"/>
      <c r="S299" s="879"/>
      <c r="T299" s="879"/>
      <c r="U299" s="879"/>
      <c r="V299" s="879"/>
      <c r="W299" s="879"/>
    </row>
    <row r="300" spans="1:23" ht="12.75" customHeight="1">
      <c r="A300" s="879"/>
      <c r="B300" s="879"/>
      <c r="C300" s="879"/>
      <c r="D300" s="879"/>
      <c r="E300" s="879"/>
      <c r="F300" s="879"/>
      <c r="G300" s="879"/>
      <c r="H300" s="879"/>
      <c r="I300" s="879"/>
      <c r="J300" s="879"/>
      <c r="K300" s="879"/>
      <c r="L300" s="879"/>
      <c r="M300" s="879"/>
      <c r="N300" s="879"/>
      <c r="O300" s="879"/>
      <c r="P300" s="879"/>
      <c r="Q300" s="879"/>
      <c r="R300" s="879"/>
      <c r="S300" s="879"/>
      <c r="T300" s="879"/>
      <c r="U300" s="879"/>
      <c r="V300" s="879"/>
      <c r="W300" s="879"/>
    </row>
    <row r="301" spans="1:23" ht="12.75" customHeight="1">
      <c r="A301" s="879"/>
      <c r="B301" s="879"/>
      <c r="C301" s="879"/>
      <c r="D301" s="879"/>
      <c r="E301" s="879"/>
      <c r="F301" s="879"/>
      <c r="G301" s="879"/>
      <c r="H301" s="879"/>
      <c r="I301" s="879"/>
      <c r="J301" s="879"/>
      <c r="K301" s="879"/>
      <c r="L301" s="879"/>
      <c r="M301" s="879"/>
      <c r="N301" s="879"/>
      <c r="O301" s="879"/>
      <c r="P301" s="879"/>
      <c r="Q301" s="879"/>
      <c r="R301" s="879"/>
      <c r="S301" s="879"/>
      <c r="T301" s="879"/>
      <c r="U301" s="879"/>
      <c r="V301" s="879"/>
      <c r="W301" s="879"/>
    </row>
    <row r="302" spans="1:23" ht="12.75" customHeight="1">
      <c r="A302" s="879"/>
      <c r="B302" s="879"/>
      <c r="C302" s="879"/>
      <c r="D302" s="879"/>
      <c r="E302" s="879"/>
      <c r="F302" s="879"/>
      <c r="G302" s="879"/>
      <c r="H302" s="879"/>
      <c r="I302" s="879"/>
      <c r="J302" s="879"/>
      <c r="K302" s="879"/>
      <c r="L302" s="879"/>
      <c r="M302" s="879"/>
      <c r="N302" s="879"/>
      <c r="O302" s="879"/>
      <c r="P302" s="879"/>
      <c r="Q302" s="879"/>
      <c r="R302" s="879"/>
      <c r="S302" s="879"/>
      <c r="T302" s="879"/>
      <c r="U302" s="879"/>
      <c r="V302" s="879"/>
      <c r="W302" s="879"/>
    </row>
    <row r="303" spans="1:23" ht="12.75" customHeight="1">
      <c r="A303" s="879"/>
      <c r="B303" s="879"/>
      <c r="C303" s="879"/>
      <c r="D303" s="879"/>
      <c r="E303" s="879"/>
      <c r="F303" s="879"/>
      <c r="G303" s="879"/>
      <c r="H303" s="879"/>
      <c r="I303" s="879"/>
      <c r="J303" s="879"/>
      <c r="K303" s="879"/>
      <c r="L303" s="879"/>
      <c r="M303" s="879"/>
      <c r="N303" s="879"/>
      <c r="O303" s="879"/>
      <c r="P303" s="879"/>
      <c r="Q303" s="879"/>
      <c r="R303" s="879"/>
      <c r="S303" s="879"/>
      <c r="T303" s="879"/>
      <c r="U303" s="879"/>
      <c r="V303" s="879"/>
      <c r="W303" s="879"/>
    </row>
    <row r="304" spans="1:23" ht="12.75" customHeight="1">
      <c r="A304" s="879"/>
      <c r="B304" s="879"/>
      <c r="C304" s="879"/>
      <c r="D304" s="879"/>
      <c r="E304" s="879"/>
      <c r="F304" s="879"/>
      <c r="G304" s="879"/>
      <c r="H304" s="879"/>
      <c r="I304" s="879"/>
      <c r="J304" s="879"/>
      <c r="K304" s="879"/>
      <c r="L304" s="879"/>
      <c r="M304" s="879"/>
      <c r="N304" s="879"/>
      <c r="O304" s="879"/>
      <c r="P304" s="879"/>
      <c r="Q304" s="879"/>
      <c r="R304" s="879"/>
      <c r="S304" s="879"/>
      <c r="T304" s="879"/>
      <c r="U304" s="879"/>
      <c r="V304" s="879"/>
      <c r="W304" s="879"/>
    </row>
    <row r="305" spans="1:23" ht="12.75" customHeight="1">
      <c r="A305" s="879"/>
      <c r="B305" s="879"/>
      <c r="C305" s="879"/>
      <c r="D305" s="879"/>
      <c r="E305" s="879"/>
      <c r="F305" s="879"/>
      <c r="G305" s="879"/>
      <c r="H305" s="879"/>
      <c r="I305" s="879"/>
      <c r="J305" s="879"/>
      <c r="K305" s="879"/>
      <c r="L305" s="879"/>
      <c r="M305" s="879"/>
      <c r="N305" s="879"/>
      <c r="O305" s="879"/>
      <c r="P305" s="879"/>
      <c r="Q305" s="879"/>
      <c r="R305" s="879"/>
      <c r="S305" s="879"/>
      <c r="T305" s="879"/>
      <c r="U305" s="879"/>
      <c r="V305" s="879"/>
      <c r="W305" s="879"/>
    </row>
    <row r="306" spans="1:23" ht="12.75" customHeight="1">
      <c r="A306" s="879"/>
      <c r="B306" s="879"/>
      <c r="C306" s="879"/>
      <c r="D306" s="879"/>
      <c r="E306" s="879"/>
      <c r="F306" s="879"/>
      <c r="G306" s="879"/>
      <c r="H306" s="879"/>
      <c r="I306" s="879"/>
      <c r="J306" s="879"/>
      <c r="K306" s="879"/>
      <c r="L306" s="879"/>
      <c r="M306" s="879"/>
      <c r="N306" s="879"/>
      <c r="O306" s="879"/>
      <c r="P306" s="879"/>
      <c r="Q306" s="879"/>
      <c r="R306" s="879"/>
      <c r="S306" s="879"/>
      <c r="T306" s="879"/>
      <c r="U306" s="879"/>
      <c r="V306" s="879"/>
      <c r="W306" s="879"/>
    </row>
    <row r="307" spans="1:23" ht="12.75" customHeight="1">
      <c r="A307" s="879"/>
      <c r="B307" s="879"/>
      <c r="C307" s="879"/>
      <c r="D307" s="879"/>
      <c r="E307" s="879"/>
      <c r="F307" s="879"/>
      <c r="G307" s="879"/>
      <c r="H307" s="879"/>
      <c r="I307" s="879"/>
      <c r="J307" s="879"/>
      <c r="K307" s="879"/>
      <c r="L307" s="879"/>
      <c r="M307" s="879"/>
      <c r="N307" s="879"/>
      <c r="O307" s="879"/>
      <c r="P307" s="879"/>
      <c r="Q307" s="879"/>
      <c r="R307" s="879"/>
      <c r="S307" s="879"/>
      <c r="T307" s="879"/>
      <c r="U307" s="879"/>
      <c r="V307" s="879"/>
      <c r="W307" s="879"/>
    </row>
    <row r="308" spans="1:23" ht="12.75" customHeight="1">
      <c r="A308" s="879"/>
      <c r="B308" s="879"/>
      <c r="C308" s="879"/>
      <c r="D308" s="879"/>
      <c r="E308" s="879"/>
      <c r="F308" s="879"/>
      <c r="G308" s="879"/>
      <c r="H308" s="879"/>
      <c r="I308" s="879"/>
      <c r="J308" s="879"/>
      <c r="K308" s="879"/>
      <c r="L308" s="879"/>
      <c r="M308" s="879"/>
      <c r="N308" s="879"/>
      <c r="O308" s="879"/>
      <c r="P308" s="879"/>
      <c r="Q308" s="879"/>
      <c r="R308" s="879"/>
      <c r="S308" s="879"/>
      <c r="T308" s="879"/>
      <c r="U308" s="879"/>
      <c r="V308" s="879"/>
      <c r="W308" s="879"/>
    </row>
    <row r="309" spans="1:23" ht="12.75" customHeight="1">
      <c r="A309" s="879"/>
      <c r="B309" s="879"/>
      <c r="C309" s="879"/>
      <c r="D309" s="879"/>
      <c r="E309" s="879"/>
      <c r="F309" s="879"/>
      <c r="G309" s="879"/>
      <c r="H309" s="879"/>
      <c r="I309" s="879"/>
      <c r="J309" s="879"/>
      <c r="K309" s="879"/>
      <c r="L309" s="879"/>
      <c r="M309" s="879"/>
      <c r="N309" s="879"/>
      <c r="O309" s="879"/>
      <c r="P309" s="879"/>
      <c r="Q309" s="879"/>
      <c r="R309" s="879"/>
      <c r="S309" s="879"/>
      <c r="T309" s="879"/>
      <c r="U309" s="879"/>
      <c r="V309" s="879"/>
      <c r="W309" s="879"/>
    </row>
    <row r="310" spans="1:23" ht="12.75" customHeight="1">
      <c r="A310" s="879"/>
      <c r="B310" s="879"/>
      <c r="C310" s="879"/>
      <c r="D310" s="879"/>
      <c r="E310" s="879"/>
      <c r="F310" s="879"/>
      <c r="G310" s="879"/>
      <c r="H310" s="879"/>
      <c r="I310" s="879"/>
      <c r="J310" s="879"/>
      <c r="K310" s="879"/>
      <c r="L310" s="879"/>
      <c r="M310" s="879"/>
      <c r="N310" s="879"/>
      <c r="O310" s="879"/>
      <c r="P310" s="879"/>
      <c r="Q310" s="879"/>
      <c r="R310" s="879"/>
      <c r="S310" s="879"/>
      <c r="T310" s="879"/>
      <c r="U310" s="879"/>
      <c r="V310" s="879"/>
      <c r="W310" s="879"/>
    </row>
    <row r="311" spans="1:23" ht="12.75" customHeight="1">
      <c r="A311" s="879"/>
      <c r="B311" s="879"/>
      <c r="C311" s="879"/>
      <c r="D311" s="879"/>
      <c r="E311" s="879"/>
      <c r="F311" s="879"/>
      <c r="G311" s="879"/>
      <c r="H311" s="879"/>
      <c r="I311" s="879"/>
      <c r="J311" s="879"/>
      <c r="K311" s="879"/>
      <c r="L311" s="879"/>
      <c r="M311" s="879"/>
      <c r="N311" s="879"/>
      <c r="O311" s="879"/>
      <c r="P311" s="879"/>
      <c r="Q311" s="879"/>
      <c r="R311" s="879"/>
      <c r="S311" s="879"/>
      <c r="T311" s="879"/>
      <c r="U311" s="879"/>
      <c r="V311" s="879"/>
      <c r="W311" s="879"/>
    </row>
    <row r="312" spans="1:23" ht="12.75" customHeight="1">
      <c r="A312" s="879"/>
      <c r="B312" s="879"/>
      <c r="C312" s="879"/>
      <c r="D312" s="879"/>
      <c r="E312" s="879"/>
      <c r="F312" s="879"/>
      <c r="G312" s="879"/>
      <c r="H312" s="879"/>
      <c r="I312" s="879"/>
      <c r="J312" s="879"/>
      <c r="K312" s="879"/>
      <c r="L312" s="879"/>
      <c r="M312" s="879"/>
      <c r="N312" s="879"/>
      <c r="O312" s="879"/>
      <c r="P312" s="879"/>
      <c r="Q312" s="879"/>
      <c r="R312" s="879"/>
      <c r="S312" s="879"/>
      <c r="T312" s="879"/>
      <c r="U312" s="879"/>
      <c r="V312" s="879"/>
      <c r="W312" s="879"/>
    </row>
    <row r="313" spans="1:23" ht="12.75" customHeight="1">
      <c r="A313" s="879"/>
      <c r="B313" s="879"/>
      <c r="C313" s="879"/>
      <c r="D313" s="879"/>
      <c r="E313" s="879"/>
      <c r="F313" s="879"/>
      <c r="G313" s="879"/>
      <c r="H313" s="879"/>
      <c r="I313" s="879"/>
      <c r="J313" s="879"/>
      <c r="K313" s="879"/>
      <c r="L313" s="879"/>
      <c r="M313" s="879"/>
      <c r="N313" s="879"/>
      <c r="O313" s="879"/>
      <c r="P313" s="879"/>
      <c r="Q313" s="879"/>
      <c r="R313" s="879"/>
      <c r="S313" s="879"/>
      <c r="T313" s="879"/>
      <c r="U313" s="879"/>
      <c r="V313" s="879"/>
      <c r="W313" s="879"/>
    </row>
    <row r="314" spans="1:23" ht="12.75" customHeight="1">
      <c r="A314" s="879"/>
      <c r="B314" s="879"/>
      <c r="C314" s="879"/>
      <c r="D314" s="879"/>
      <c r="E314" s="879"/>
      <c r="F314" s="879"/>
      <c r="G314" s="879"/>
      <c r="H314" s="879"/>
      <c r="I314" s="879"/>
      <c r="J314" s="879"/>
      <c r="K314" s="879"/>
      <c r="L314" s="879"/>
      <c r="M314" s="879"/>
      <c r="N314" s="879"/>
      <c r="O314" s="879"/>
      <c r="P314" s="879"/>
      <c r="Q314" s="879"/>
      <c r="R314" s="879"/>
      <c r="S314" s="879"/>
      <c r="T314" s="879"/>
      <c r="U314" s="879"/>
      <c r="V314" s="879"/>
      <c r="W314" s="879"/>
    </row>
    <row r="315" spans="1:23" ht="12.75" customHeight="1">
      <c r="A315" s="879"/>
      <c r="B315" s="879"/>
      <c r="C315" s="879"/>
      <c r="D315" s="879"/>
      <c r="E315" s="879"/>
      <c r="F315" s="879"/>
      <c r="G315" s="879"/>
      <c r="H315" s="879"/>
      <c r="I315" s="879"/>
      <c r="J315" s="879"/>
      <c r="K315" s="879"/>
      <c r="L315" s="879"/>
      <c r="M315" s="879"/>
      <c r="N315" s="879"/>
      <c r="O315" s="879"/>
      <c r="P315" s="879"/>
      <c r="Q315" s="879"/>
      <c r="R315" s="879"/>
      <c r="S315" s="879"/>
      <c r="T315" s="879"/>
      <c r="U315" s="879"/>
      <c r="V315" s="879"/>
      <c r="W315" s="879"/>
    </row>
    <row r="316" spans="1:23" ht="12.75" customHeight="1">
      <c r="A316" s="879"/>
      <c r="B316" s="879"/>
      <c r="C316" s="879"/>
      <c r="D316" s="879"/>
      <c r="E316" s="879"/>
      <c r="F316" s="879"/>
      <c r="G316" s="879"/>
      <c r="H316" s="879"/>
      <c r="I316" s="879"/>
      <c r="J316" s="879"/>
      <c r="K316" s="879"/>
      <c r="L316" s="879"/>
      <c r="M316" s="879"/>
      <c r="N316" s="879"/>
      <c r="O316" s="879"/>
      <c r="P316" s="879"/>
      <c r="Q316" s="879"/>
      <c r="R316" s="879"/>
      <c r="S316" s="879"/>
      <c r="T316" s="879"/>
      <c r="U316" s="879"/>
      <c r="V316" s="879"/>
      <c r="W316" s="879"/>
    </row>
    <row r="317" spans="1:23" ht="12.75" customHeight="1">
      <c r="A317" s="879"/>
      <c r="B317" s="879"/>
      <c r="C317" s="879"/>
      <c r="D317" s="879"/>
      <c r="E317" s="879"/>
      <c r="F317" s="879"/>
      <c r="G317" s="879"/>
      <c r="H317" s="879"/>
      <c r="I317" s="879"/>
      <c r="J317" s="879"/>
      <c r="K317" s="879"/>
      <c r="L317" s="879"/>
      <c r="M317" s="879"/>
      <c r="N317" s="879"/>
      <c r="O317" s="879"/>
      <c r="P317" s="879"/>
      <c r="Q317" s="879"/>
      <c r="R317" s="879"/>
      <c r="S317" s="879"/>
      <c r="T317" s="879"/>
      <c r="U317" s="879"/>
      <c r="V317" s="879"/>
      <c r="W317" s="879"/>
    </row>
    <row r="318" spans="1:23" ht="12.75" customHeight="1">
      <c r="A318" s="879"/>
      <c r="B318" s="879"/>
      <c r="C318" s="879"/>
      <c r="D318" s="879"/>
      <c r="E318" s="879"/>
      <c r="F318" s="879"/>
      <c r="G318" s="879"/>
      <c r="H318" s="879"/>
      <c r="I318" s="879"/>
      <c r="J318" s="879"/>
      <c r="K318" s="879"/>
      <c r="L318" s="879"/>
      <c r="M318" s="879"/>
      <c r="N318" s="879"/>
      <c r="O318" s="879"/>
      <c r="P318" s="879"/>
      <c r="Q318" s="879"/>
      <c r="R318" s="879"/>
      <c r="S318" s="879"/>
      <c r="T318" s="879"/>
      <c r="U318" s="879"/>
      <c r="V318" s="879"/>
      <c r="W318" s="879"/>
    </row>
    <row r="319" spans="1:23" ht="12.75" customHeight="1">
      <c r="A319" s="879"/>
      <c r="B319" s="879"/>
      <c r="C319" s="879"/>
      <c r="D319" s="879"/>
      <c r="E319" s="879"/>
      <c r="F319" s="879"/>
      <c r="G319" s="879"/>
      <c r="H319" s="879"/>
      <c r="I319" s="879"/>
      <c r="J319" s="879"/>
      <c r="K319" s="879"/>
      <c r="L319" s="879"/>
      <c r="M319" s="879"/>
      <c r="N319" s="879"/>
      <c r="O319" s="879"/>
      <c r="P319" s="879"/>
      <c r="Q319" s="879"/>
      <c r="R319" s="879"/>
      <c r="S319" s="879"/>
      <c r="T319" s="879"/>
      <c r="U319" s="879"/>
      <c r="V319" s="879"/>
      <c r="W319" s="879"/>
    </row>
    <row r="320" spans="1:23" ht="12.75" customHeight="1">
      <c r="A320" s="879"/>
      <c r="B320" s="879"/>
      <c r="C320" s="879"/>
      <c r="D320" s="879"/>
      <c r="E320" s="879"/>
      <c r="F320" s="879"/>
      <c r="G320" s="879"/>
      <c r="H320" s="879"/>
      <c r="I320" s="879"/>
      <c r="J320" s="879"/>
      <c r="K320" s="879"/>
      <c r="L320" s="879"/>
      <c r="M320" s="879"/>
      <c r="N320" s="879"/>
      <c r="O320" s="879"/>
      <c r="P320" s="879"/>
      <c r="Q320" s="879"/>
      <c r="R320" s="879"/>
      <c r="S320" s="879"/>
      <c r="T320" s="879"/>
      <c r="U320" s="879"/>
      <c r="V320" s="879"/>
      <c r="W320" s="879"/>
    </row>
    <row r="321" spans="1:23" ht="12.75" customHeight="1">
      <c r="A321" s="879"/>
      <c r="B321" s="879"/>
      <c r="C321" s="879"/>
      <c r="D321" s="879"/>
      <c r="E321" s="879"/>
      <c r="F321" s="879"/>
      <c r="G321" s="879"/>
      <c r="H321" s="879"/>
      <c r="I321" s="879"/>
      <c r="J321" s="879"/>
      <c r="K321" s="879"/>
      <c r="L321" s="879"/>
      <c r="M321" s="879"/>
      <c r="N321" s="879"/>
      <c r="O321" s="879"/>
      <c r="P321" s="879"/>
      <c r="Q321" s="879"/>
      <c r="R321" s="879"/>
      <c r="S321" s="879"/>
      <c r="T321" s="879"/>
      <c r="U321" s="879"/>
      <c r="V321" s="879"/>
      <c r="W321" s="879"/>
    </row>
    <row r="322" spans="1:23" ht="12.75" customHeight="1">
      <c r="A322" s="879"/>
      <c r="B322" s="879"/>
      <c r="C322" s="879"/>
      <c r="D322" s="879"/>
      <c r="E322" s="879"/>
      <c r="F322" s="879"/>
      <c r="G322" s="879"/>
      <c r="H322" s="879"/>
      <c r="I322" s="879"/>
      <c r="J322" s="879"/>
      <c r="K322" s="879"/>
      <c r="L322" s="879"/>
      <c r="M322" s="879"/>
      <c r="N322" s="879"/>
      <c r="O322" s="879"/>
      <c r="P322" s="879"/>
      <c r="Q322" s="879"/>
      <c r="R322" s="879"/>
      <c r="S322" s="879"/>
      <c r="T322" s="879"/>
      <c r="U322" s="879"/>
      <c r="V322" s="879"/>
      <c r="W322" s="879"/>
    </row>
    <row r="323" spans="1:23" ht="12.75" customHeight="1">
      <c r="A323" s="879"/>
      <c r="B323" s="879"/>
      <c r="C323" s="879"/>
      <c r="D323" s="879"/>
      <c r="E323" s="879"/>
      <c r="F323" s="879"/>
      <c r="G323" s="879"/>
      <c r="H323" s="879"/>
      <c r="I323" s="879"/>
      <c r="J323" s="879"/>
      <c r="K323" s="879"/>
      <c r="L323" s="879"/>
      <c r="M323" s="879"/>
      <c r="N323" s="879"/>
      <c r="O323" s="879"/>
      <c r="P323" s="879"/>
      <c r="Q323" s="879"/>
      <c r="R323" s="879"/>
      <c r="S323" s="879"/>
      <c r="T323" s="879"/>
      <c r="U323" s="879"/>
      <c r="V323" s="879"/>
      <c r="W323" s="879"/>
    </row>
    <row r="324" spans="1:23" ht="12.75" customHeight="1">
      <c r="A324" s="879"/>
      <c r="B324" s="879"/>
      <c r="C324" s="879"/>
      <c r="D324" s="879"/>
      <c r="E324" s="879"/>
      <c r="F324" s="879"/>
      <c r="G324" s="879"/>
      <c r="H324" s="879"/>
      <c r="I324" s="879"/>
      <c r="J324" s="879"/>
      <c r="K324" s="879"/>
      <c r="L324" s="879"/>
      <c r="M324" s="879"/>
      <c r="N324" s="879"/>
      <c r="O324" s="879"/>
      <c r="P324" s="879"/>
      <c r="Q324" s="879"/>
      <c r="R324" s="879"/>
      <c r="S324" s="879"/>
      <c r="T324" s="879"/>
      <c r="U324" s="879"/>
      <c r="V324" s="879"/>
      <c r="W324" s="879"/>
    </row>
    <row r="325" spans="1:23" ht="12.75" customHeight="1">
      <c r="A325" s="879"/>
      <c r="B325" s="879"/>
      <c r="C325" s="879"/>
      <c r="D325" s="879"/>
      <c r="E325" s="879"/>
      <c r="F325" s="879"/>
      <c r="G325" s="879"/>
      <c r="H325" s="879"/>
      <c r="I325" s="879"/>
      <c r="J325" s="879"/>
      <c r="K325" s="879"/>
      <c r="L325" s="879"/>
      <c r="M325" s="879"/>
      <c r="N325" s="879"/>
      <c r="O325" s="879"/>
      <c r="P325" s="879"/>
      <c r="Q325" s="879"/>
      <c r="R325" s="879"/>
      <c r="S325" s="879"/>
      <c r="T325" s="879"/>
      <c r="U325" s="879"/>
      <c r="V325" s="879"/>
      <c r="W325" s="879"/>
    </row>
    <row r="326" spans="1:23" ht="12.75" customHeight="1">
      <c r="A326" s="879"/>
      <c r="B326" s="879"/>
      <c r="C326" s="879"/>
      <c r="D326" s="879"/>
      <c r="E326" s="879"/>
      <c r="F326" s="879"/>
      <c r="G326" s="879"/>
      <c r="H326" s="879"/>
      <c r="I326" s="879"/>
      <c r="J326" s="879"/>
      <c r="K326" s="879"/>
      <c r="L326" s="879"/>
      <c r="M326" s="879"/>
      <c r="N326" s="879"/>
      <c r="O326" s="879"/>
      <c r="P326" s="879"/>
      <c r="Q326" s="879"/>
      <c r="R326" s="879"/>
      <c r="S326" s="879"/>
      <c r="T326" s="879"/>
      <c r="U326" s="879"/>
      <c r="V326" s="879"/>
      <c r="W326" s="879"/>
    </row>
    <row r="327" spans="1:23" ht="12.75" customHeight="1">
      <c r="A327" s="879"/>
      <c r="B327" s="879"/>
      <c r="C327" s="879"/>
      <c r="D327" s="879"/>
      <c r="E327" s="879"/>
      <c r="F327" s="879"/>
      <c r="G327" s="879"/>
      <c r="H327" s="879"/>
      <c r="I327" s="879"/>
      <c r="J327" s="879"/>
      <c r="K327" s="879"/>
      <c r="L327" s="879"/>
      <c r="M327" s="879"/>
      <c r="N327" s="879"/>
      <c r="O327" s="879"/>
      <c r="P327" s="879"/>
      <c r="Q327" s="879"/>
      <c r="R327" s="879"/>
      <c r="S327" s="879"/>
      <c r="T327" s="879"/>
      <c r="U327" s="879"/>
      <c r="V327" s="879"/>
      <c r="W327" s="879"/>
    </row>
    <row r="328" spans="1:23" ht="12.75" customHeight="1">
      <c r="A328" s="879"/>
      <c r="B328" s="879"/>
      <c r="C328" s="879"/>
      <c r="D328" s="879"/>
      <c r="E328" s="879"/>
      <c r="F328" s="879"/>
      <c r="G328" s="879"/>
      <c r="H328" s="879"/>
      <c r="I328" s="879"/>
      <c r="J328" s="879"/>
      <c r="K328" s="879"/>
      <c r="L328" s="879"/>
      <c r="M328" s="879"/>
      <c r="N328" s="879"/>
      <c r="O328" s="879"/>
      <c r="P328" s="879"/>
      <c r="Q328" s="879"/>
      <c r="R328" s="879"/>
      <c r="S328" s="879"/>
      <c r="T328" s="879"/>
      <c r="U328" s="879"/>
      <c r="V328" s="879"/>
      <c r="W328" s="879"/>
    </row>
    <row r="329" spans="1:23" ht="12.75" customHeight="1">
      <c r="A329" s="879"/>
      <c r="B329" s="879"/>
      <c r="C329" s="879"/>
      <c r="D329" s="879"/>
      <c r="E329" s="879"/>
      <c r="F329" s="879"/>
      <c r="G329" s="879"/>
      <c r="H329" s="879"/>
      <c r="I329" s="879"/>
      <c r="J329" s="879"/>
      <c r="K329" s="879"/>
      <c r="L329" s="879"/>
      <c r="M329" s="879"/>
      <c r="N329" s="879"/>
      <c r="O329" s="879"/>
      <c r="P329" s="879"/>
      <c r="Q329" s="879"/>
      <c r="R329" s="879"/>
      <c r="S329" s="879"/>
      <c r="T329" s="879"/>
      <c r="U329" s="879"/>
      <c r="V329" s="879"/>
      <c r="W329" s="879"/>
    </row>
    <row r="330" spans="1:23" ht="12.75" customHeight="1">
      <c r="A330" s="879"/>
      <c r="B330" s="879"/>
      <c r="C330" s="879"/>
      <c r="D330" s="879"/>
      <c r="E330" s="879"/>
      <c r="F330" s="879"/>
      <c r="G330" s="879"/>
      <c r="H330" s="879"/>
      <c r="I330" s="879"/>
      <c r="J330" s="879"/>
      <c r="K330" s="879"/>
      <c r="L330" s="879"/>
      <c r="M330" s="879"/>
      <c r="N330" s="879"/>
      <c r="O330" s="879"/>
      <c r="P330" s="879"/>
      <c r="Q330" s="879"/>
      <c r="R330" s="879"/>
      <c r="S330" s="879"/>
      <c r="T330" s="879"/>
      <c r="U330" s="879"/>
      <c r="V330" s="879"/>
      <c r="W330" s="879"/>
    </row>
    <row r="331" spans="1:23" ht="12.75" customHeight="1">
      <c r="A331" s="879"/>
      <c r="B331" s="879"/>
      <c r="C331" s="879"/>
      <c r="D331" s="879"/>
      <c r="E331" s="879"/>
      <c r="F331" s="879"/>
      <c r="G331" s="879"/>
      <c r="H331" s="879"/>
      <c r="I331" s="879"/>
      <c r="J331" s="879"/>
      <c r="K331" s="879"/>
      <c r="L331" s="879"/>
      <c r="M331" s="879"/>
      <c r="N331" s="879"/>
      <c r="O331" s="879"/>
      <c r="P331" s="879"/>
      <c r="Q331" s="879"/>
      <c r="R331" s="879"/>
      <c r="S331" s="879"/>
      <c r="T331" s="879"/>
      <c r="U331" s="879"/>
      <c r="V331" s="879"/>
      <c r="W331" s="879"/>
    </row>
    <row r="332" spans="1:23" ht="12.75" customHeight="1">
      <c r="A332" s="879"/>
      <c r="B332" s="879"/>
      <c r="C332" s="879"/>
      <c r="D332" s="879"/>
      <c r="E332" s="879"/>
      <c r="F332" s="879"/>
      <c r="G332" s="879"/>
      <c r="H332" s="879"/>
      <c r="I332" s="879"/>
      <c r="J332" s="879"/>
      <c r="K332" s="879"/>
      <c r="L332" s="879"/>
      <c r="M332" s="879"/>
      <c r="N332" s="879"/>
      <c r="O332" s="879"/>
      <c r="P332" s="879"/>
      <c r="Q332" s="879"/>
      <c r="R332" s="879"/>
      <c r="S332" s="879"/>
      <c r="T332" s="879"/>
      <c r="U332" s="879"/>
      <c r="V332" s="879"/>
      <c r="W332" s="879"/>
    </row>
    <row r="333" spans="1:23" ht="12.75" customHeight="1">
      <c r="A333" s="879"/>
      <c r="B333" s="879"/>
      <c r="C333" s="879"/>
      <c r="D333" s="879"/>
      <c r="E333" s="879"/>
      <c r="F333" s="879"/>
      <c r="G333" s="879"/>
      <c r="H333" s="879"/>
      <c r="I333" s="879"/>
      <c r="J333" s="879"/>
      <c r="K333" s="879"/>
      <c r="L333" s="879"/>
      <c r="M333" s="879"/>
      <c r="N333" s="879"/>
      <c r="O333" s="879"/>
      <c r="P333" s="879"/>
      <c r="Q333" s="879"/>
      <c r="R333" s="879"/>
      <c r="S333" s="879"/>
      <c r="T333" s="879"/>
      <c r="U333" s="879"/>
      <c r="V333" s="879"/>
      <c r="W333" s="879"/>
    </row>
    <row r="334" spans="1:23" ht="12.75" customHeight="1">
      <c r="A334" s="879"/>
      <c r="B334" s="879"/>
      <c r="C334" s="879"/>
      <c r="D334" s="879"/>
      <c r="E334" s="879"/>
      <c r="F334" s="879"/>
      <c r="G334" s="879"/>
      <c r="H334" s="879"/>
      <c r="I334" s="879"/>
      <c r="J334" s="879"/>
      <c r="K334" s="879"/>
      <c r="L334" s="879"/>
      <c r="M334" s="879"/>
      <c r="N334" s="879"/>
      <c r="O334" s="879"/>
      <c r="P334" s="879"/>
      <c r="Q334" s="879"/>
      <c r="R334" s="879"/>
      <c r="S334" s="879"/>
      <c r="T334" s="879"/>
      <c r="U334" s="879"/>
      <c r="V334" s="879"/>
      <c r="W334" s="879"/>
    </row>
    <row r="335" spans="1:23" ht="12.75" customHeight="1">
      <c r="A335" s="879"/>
      <c r="B335" s="879"/>
      <c r="C335" s="879"/>
      <c r="D335" s="879"/>
      <c r="E335" s="879"/>
      <c r="F335" s="879"/>
      <c r="G335" s="879"/>
      <c r="H335" s="879"/>
      <c r="I335" s="879"/>
      <c r="J335" s="879"/>
      <c r="K335" s="879"/>
      <c r="L335" s="879"/>
      <c r="M335" s="879"/>
      <c r="N335" s="879"/>
      <c r="O335" s="879"/>
      <c r="P335" s="879"/>
      <c r="Q335" s="879"/>
      <c r="R335" s="879"/>
      <c r="S335" s="879"/>
      <c r="T335" s="879"/>
      <c r="U335" s="879"/>
      <c r="V335" s="879"/>
      <c r="W335" s="879"/>
    </row>
    <row r="336" spans="1:23" ht="12.75" customHeight="1">
      <c r="A336" s="879"/>
      <c r="B336" s="879"/>
      <c r="C336" s="879"/>
      <c r="D336" s="879"/>
      <c r="E336" s="879"/>
      <c r="F336" s="879"/>
      <c r="G336" s="879"/>
      <c r="H336" s="879"/>
      <c r="I336" s="879"/>
      <c r="J336" s="879"/>
      <c r="K336" s="879"/>
      <c r="L336" s="879"/>
      <c r="M336" s="879"/>
      <c r="N336" s="879"/>
      <c r="O336" s="879"/>
      <c r="P336" s="879"/>
      <c r="Q336" s="879"/>
      <c r="R336" s="879"/>
      <c r="S336" s="879"/>
      <c r="T336" s="879"/>
      <c r="U336" s="879"/>
      <c r="V336" s="879"/>
      <c r="W336" s="879"/>
    </row>
    <row r="337" spans="1:23" ht="12.75" customHeight="1">
      <c r="A337" s="879"/>
      <c r="B337" s="879"/>
      <c r="C337" s="879"/>
      <c r="D337" s="879"/>
      <c r="E337" s="879"/>
      <c r="F337" s="879"/>
      <c r="G337" s="879"/>
      <c r="H337" s="879"/>
      <c r="I337" s="879"/>
      <c r="J337" s="879"/>
      <c r="K337" s="879"/>
      <c r="L337" s="879"/>
      <c r="M337" s="879"/>
      <c r="N337" s="879"/>
      <c r="O337" s="879"/>
      <c r="P337" s="879"/>
      <c r="Q337" s="879"/>
      <c r="R337" s="879"/>
      <c r="S337" s="879"/>
      <c r="T337" s="879"/>
      <c r="U337" s="879"/>
      <c r="V337" s="879"/>
      <c r="W337" s="879"/>
    </row>
    <row r="338" spans="1:23" ht="12.75" customHeight="1">
      <c r="A338" s="879"/>
      <c r="B338" s="879"/>
      <c r="C338" s="879"/>
      <c r="D338" s="879"/>
      <c r="E338" s="879"/>
      <c r="F338" s="879"/>
      <c r="G338" s="879"/>
      <c r="H338" s="879"/>
      <c r="I338" s="879"/>
      <c r="J338" s="879"/>
      <c r="K338" s="879"/>
      <c r="L338" s="879"/>
      <c r="M338" s="879"/>
      <c r="N338" s="879"/>
      <c r="O338" s="879"/>
      <c r="P338" s="879"/>
      <c r="Q338" s="879"/>
      <c r="R338" s="879"/>
      <c r="S338" s="879"/>
      <c r="T338" s="879"/>
      <c r="U338" s="879"/>
      <c r="V338" s="879"/>
      <c r="W338" s="879"/>
    </row>
    <row r="339" spans="1:23" ht="12.75" customHeight="1">
      <c r="A339" s="879"/>
      <c r="B339" s="879"/>
      <c r="C339" s="879"/>
      <c r="D339" s="879"/>
      <c r="E339" s="879"/>
      <c r="F339" s="879"/>
      <c r="G339" s="879"/>
      <c r="H339" s="879"/>
      <c r="I339" s="879"/>
      <c r="J339" s="879"/>
      <c r="K339" s="879"/>
      <c r="L339" s="879"/>
      <c r="M339" s="879"/>
      <c r="N339" s="879"/>
      <c r="O339" s="879"/>
      <c r="P339" s="879"/>
      <c r="Q339" s="879"/>
      <c r="R339" s="879"/>
      <c r="S339" s="879"/>
      <c r="T339" s="879"/>
      <c r="U339" s="879"/>
      <c r="V339" s="879"/>
      <c r="W339" s="879"/>
    </row>
    <row r="340" spans="1:23" ht="12.75" customHeight="1">
      <c r="A340" s="879"/>
      <c r="B340" s="879"/>
      <c r="C340" s="879"/>
      <c r="D340" s="879"/>
      <c r="E340" s="879"/>
      <c r="F340" s="879"/>
      <c r="G340" s="879"/>
      <c r="H340" s="879"/>
      <c r="I340" s="879"/>
      <c r="J340" s="879"/>
      <c r="K340" s="879"/>
      <c r="L340" s="879"/>
      <c r="M340" s="879"/>
      <c r="N340" s="879"/>
      <c r="O340" s="879"/>
      <c r="P340" s="879"/>
      <c r="Q340" s="879"/>
      <c r="R340" s="879"/>
      <c r="S340" s="879"/>
      <c r="T340" s="879"/>
      <c r="U340" s="879"/>
      <c r="V340" s="879"/>
      <c r="W340" s="879"/>
    </row>
    <row r="341" spans="1:23" ht="12.75" customHeight="1">
      <c r="A341" s="879"/>
      <c r="B341" s="879"/>
      <c r="C341" s="879"/>
      <c r="D341" s="879"/>
      <c r="E341" s="879"/>
      <c r="F341" s="879"/>
      <c r="G341" s="879"/>
      <c r="H341" s="879"/>
      <c r="I341" s="879"/>
      <c r="J341" s="879"/>
      <c r="K341" s="879"/>
      <c r="L341" s="879"/>
      <c r="M341" s="879"/>
      <c r="N341" s="879"/>
      <c r="O341" s="879"/>
      <c r="P341" s="879"/>
      <c r="Q341" s="879"/>
      <c r="R341" s="879"/>
      <c r="S341" s="879"/>
      <c r="T341" s="879"/>
      <c r="U341" s="879"/>
      <c r="V341" s="879"/>
      <c r="W341" s="879"/>
    </row>
    <row r="342" spans="1:23" ht="12.75" customHeight="1">
      <c r="A342" s="879"/>
      <c r="B342" s="879"/>
      <c r="C342" s="879"/>
      <c r="D342" s="879"/>
      <c r="E342" s="879"/>
      <c r="F342" s="879"/>
      <c r="G342" s="879"/>
      <c r="H342" s="879"/>
      <c r="I342" s="879"/>
      <c r="J342" s="879"/>
      <c r="K342" s="879"/>
      <c r="L342" s="879"/>
      <c r="M342" s="879"/>
      <c r="N342" s="879"/>
      <c r="O342" s="879"/>
      <c r="P342" s="879"/>
      <c r="Q342" s="879"/>
      <c r="R342" s="879"/>
      <c r="S342" s="879"/>
      <c r="T342" s="879"/>
      <c r="U342" s="879"/>
      <c r="V342" s="879"/>
      <c r="W342" s="879"/>
    </row>
    <row r="343" spans="1:23" ht="12.75" customHeight="1">
      <c r="A343" s="879"/>
      <c r="B343" s="879"/>
      <c r="C343" s="879"/>
      <c r="D343" s="879"/>
      <c r="E343" s="879"/>
      <c r="F343" s="879"/>
      <c r="G343" s="879"/>
      <c r="H343" s="879"/>
      <c r="I343" s="879"/>
      <c r="J343" s="879"/>
      <c r="K343" s="879"/>
      <c r="L343" s="879"/>
      <c r="M343" s="879"/>
      <c r="N343" s="879"/>
      <c r="O343" s="879"/>
      <c r="P343" s="879"/>
      <c r="Q343" s="879"/>
      <c r="R343" s="879"/>
      <c r="S343" s="879"/>
      <c r="T343" s="879"/>
      <c r="U343" s="879"/>
      <c r="V343" s="879"/>
      <c r="W343" s="879"/>
    </row>
    <row r="344" spans="1:23" ht="12.75" customHeight="1">
      <c r="A344" s="879"/>
      <c r="B344" s="879"/>
      <c r="C344" s="879"/>
      <c r="D344" s="879"/>
      <c r="E344" s="879"/>
      <c r="F344" s="879"/>
      <c r="G344" s="879"/>
      <c r="H344" s="879"/>
      <c r="I344" s="879"/>
      <c r="J344" s="879"/>
      <c r="K344" s="879"/>
      <c r="L344" s="879"/>
      <c r="M344" s="879"/>
      <c r="N344" s="879"/>
      <c r="O344" s="879"/>
      <c r="P344" s="879"/>
      <c r="Q344" s="879"/>
      <c r="R344" s="879"/>
      <c r="S344" s="879"/>
      <c r="T344" s="879"/>
      <c r="U344" s="879"/>
      <c r="V344" s="879"/>
      <c r="W344" s="879"/>
    </row>
    <row r="345" spans="1:23" ht="12.75" customHeight="1">
      <c r="A345" s="879"/>
      <c r="B345" s="879"/>
      <c r="C345" s="879"/>
      <c r="D345" s="879"/>
      <c r="E345" s="879"/>
      <c r="F345" s="879"/>
      <c r="G345" s="879"/>
      <c r="H345" s="879"/>
      <c r="I345" s="879"/>
      <c r="J345" s="879"/>
      <c r="K345" s="879"/>
      <c r="L345" s="879"/>
      <c r="M345" s="879"/>
      <c r="N345" s="879"/>
      <c r="O345" s="879"/>
      <c r="P345" s="879"/>
      <c r="Q345" s="879"/>
      <c r="R345" s="879"/>
      <c r="S345" s="879"/>
      <c r="T345" s="879"/>
      <c r="U345" s="879"/>
      <c r="V345" s="879"/>
      <c r="W345" s="879"/>
    </row>
    <row r="346" spans="1:23" ht="12.75" customHeight="1">
      <c r="A346" s="879"/>
      <c r="B346" s="879"/>
      <c r="C346" s="879"/>
      <c r="D346" s="879"/>
      <c r="E346" s="879"/>
      <c r="F346" s="879"/>
      <c r="G346" s="879"/>
      <c r="H346" s="879"/>
      <c r="I346" s="879"/>
      <c r="J346" s="879"/>
      <c r="K346" s="879"/>
      <c r="L346" s="879"/>
      <c r="M346" s="879"/>
      <c r="N346" s="879"/>
      <c r="O346" s="879"/>
      <c r="P346" s="879"/>
      <c r="Q346" s="879"/>
      <c r="R346" s="879"/>
      <c r="S346" s="879"/>
      <c r="T346" s="879"/>
      <c r="U346" s="879"/>
      <c r="V346" s="879"/>
      <c r="W346" s="879"/>
    </row>
    <row r="347" spans="1:23" ht="12.75" customHeight="1">
      <c r="A347" s="879"/>
      <c r="B347" s="879"/>
      <c r="C347" s="879"/>
      <c r="D347" s="879"/>
      <c r="E347" s="879"/>
      <c r="F347" s="879"/>
      <c r="G347" s="879"/>
      <c r="H347" s="879"/>
      <c r="I347" s="879"/>
      <c r="J347" s="879"/>
      <c r="K347" s="879"/>
      <c r="L347" s="879"/>
      <c r="M347" s="879"/>
      <c r="N347" s="879"/>
      <c r="O347" s="879"/>
      <c r="P347" s="879"/>
      <c r="Q347" s="879"/>
      <c r="R347" s="879"/>
      <c r="S347" s="879"/>
      <c r="T347" s="879"/>
      <c r="U347" s="879"/>
      <c r="V347" s="879"/>
      <c r="W347" s="879"/>
    </row>
    <row r="348" spans="1:23" ht="12.75" customHeight="1">
      <c r="A348" s="879"/>
      <c r="B348" s="879"/>
      <c r="C348" s="879"/>
      <c r="D348" s="879"/>
      <c r="E348" s="879"/>
      <c r="F348" s="879"/>
      <c r="G348" s="879"/>
      <c r="H348" s="879"/>
      <c r="I348" s="879"/>
      <c r="J348" s="879"/>
      <c r="K348" s="879"/>
      <c r="L348" s="879"/>
      <c r="M348" s="879"/>
      <c r="N348" s="879"/>
      <c r="O348" s="879"/>
      <c r="P348" s="879"/>
      <c r="Q348" s="879"/>
      <c r="R348" s="879"/>
      <c r="S348" s="879"/>
      <c r="T348" s="879"/>
      <c r="U348" s="879"/>
      <c r="V348" s="879"/>
      <c r="W348" s="879"/>
    </row>
    <row r="349" spans="1:23" ht="12.75" customHeight="1">
      <c r="A349" s="879"/>
      <c r="B349" s="879"/>
      <c r="C349" s="879"/>
      <c r="D349" s="879"/>
      <c r="E349" s="879"/>
      <c r="F349" s="879"/>
      <c r="G349" s="879"/>
      <c r="H349" s="879"/>
      <c r="I349" s="879"/>
      <c r="J349" s="879"/>
      <c r="K349" s="879"/>
      <c r="L349" s="879"/>
      <c r="M349" s="879"/>
      <c r="N349" s="879"/>
      <c r="O349" s="879"/>
      <c r="P349" s="879"/>
      <c r="Q349" s="879"/>
      <c r="R349" s="879"/>
      <c r="S349" s="879"/>
      <c r="T349" s="879"/>
      <c r="U349" s="879"/>
      <c r="V349" s="879"/>
      <c r="W349" s="879"/>
    </row>
    <row r="350" spans="1:23" ht="12.75" customHeight="1">
      <c r="A350" s="879"/>
      <c r="B350" s="879"/>
      <c r="C350" s="879"/>
      <c r="D350" s="879"/>
      <c r="E350" s="879"/>
      <c r="F350" s="879"/>
      <c r="G350" s="879"/>
      <c r="H350" s="879"/>
      <c r="I350" s="879"/>
      <c r="J350" s="879"/>
      <c r="K350" s="879"/>
      <c r="L350" s="879"/>
      <c r="M350" s="879"/>
      <c r="N350" s="879"/>
      <c r="O350" s="879"/>
      <c r="P350" s="879"/>
      <c r="Q350" s="879"/>
      <c r="R350" s="879"/>
      <c r="S350" s="879"/>
      <c r="T350" s="879"/>
      <c r="U350" s="879"/>
      <c r="V350" s="879"/>
      <c r="W350" s="879"/>
    </row>
    <row r="351" spans="1:23" ht="12.75" customHeight="1">
      <c r="A351" s="879"/>
      <c r="B351" s="879"/>
      <c r="C351" s="879"/>
      <c r="D351" s="879"/>
      <c r="E351" s="879"/>
      <c r="F351" s="879"/>
      <c r="G351" s="879"/>
      <c r="H351" s="879"/>
      <c r="I351" s="879"/>
      <c r="J351" s="879"/>
      <c r="K351" s="879"/>
      <c r="L351" s="879"/>
      <c r="M351" s="879"/>
      <c r="N351" s="879"/>
      <c r="O351" s="879"/>
      <c r="P351" s="879"/>
      <c r="Q351" s="879"/>
      <c r="R351" s="879"/>
      <c r="S351" s="879"/>
      <c r="T351" s="879"/>
      <c r="U351" s="879"/>
      <c r="V351" s="879"/>
      <c r="W351" s="879"/>
    </row>
    <row r="352" spans="1:23" ht="12.75" customHeight="1">
      <c r="A352" s="879"/>
      <c r="B352" s="879"/>
      <c r="C352" s="879"/>
      <c r="D352" s="879"/>
      <c r="E352" s="879"/>
      <c r="F352" s="879"/>
      <c r="G352" s="879"/>
      <c r="H352" s="879"/>
      <c r="I352" s="879"/>
      <c r="J352" s="879"/>
      <c r="K352" s="879"/>
      <c r="L352" s="879"/>
      <c r="M352" s="879"/>
      <c r="N352" s="879"/>
      <c r="O352" s="879"/>
      <c r="P352" s="879"/>
      <c r="Q352" s="879"/>
      <c r="R352" s="879"/>
      <c r="S352" s="879"/>
      <c r="T352" s="879"/>
      <c r="U352" s="879"/>
      <c r="V352" s="879"/>
      <c r="W352" s="879"/>
    </row>
    <row r="353" spans="1:23" ht="12.75" customHeight="1">
      <c r="A353" s="879"/>
      <c r="B353" s="879"/>
      <c r="C353" s="879"/>
      <c r="D353" s="879"/>
      <c r="E353" s="879"/>
      <c r="F353" s="879"/>
      <c r="G353" s="879"/>
      <c r="H353" s="879"/>
      <c r="I353" s="879"/>
      <c r="J353" s="879"/>
      <c r="K353" s="879"/>
      <c r="L353" s="879"/>
      <c r="M353" s="879"/>
      <c r="N353" s="879"/>
      <c r="O353" s="879"/>
      <c r="P353" s="879"/>
      <c r="Q353" s="879"/>
      <c r="R353" s="879"/>
      <c r="S353" s="879"/>
      <c r="T353" s="879"/>
      <c r="U353" s="879"/>
      <c r="V353" s="879"/>
      <c r="W353" s="879"/>
    </row>
    <row r="354" spans="1:23" ht="12.75" customHeight="1">
      <c r="A354" s="879"/>
      <c r="B354" s="879"/>
      <c r="C354" s="879"/>
      <c r="D354" s="879"/>
      <c r="E354" s="879"/>
      <c r="F354" s="879"/>
      <c r="G354" s="879"/>
      <c r="H354" s="879"/>
      <c r="I354" s="879"/>
      <c r="J354" s="879"/>
      <c r="K354" s="879"/>
      <c r="L354" s="879"/>
      <c r="M354" s="879"/>
      <c r="N354" s="879"/>
      <c r="O354" s="879"/>
      <c r="P354" s="879"/>
      <c r="Q354" s="879"/>
      <c r="R354" s="879"/>
      <c r="S354" s="879"/>
      <c r="T354" s="879"/>
      <c r="U354" s="879"/>
      <c r="V354" s="879"/>
      <c r="W354" s="879"/>
    </row>
    <row r="355" spans="1:23" ht="12.75" customHeight="1">
      <c r="A355" s="879"/>
      <c r="B355" s="879"/>
      <c r="C355" s="879"/>
      <c r="D355" s="879"/>
      <c r="E355" s="879"/>
      <c r="F355" s="879"/>
      <c r="G355" s="879"/>
      <c r="H355" s="879"/>
      <c r="I355" s="879"/>
      <c r="J355" s="879"/>
      <c r="K355" s="879"/>
      <c r="L355" s="879"/>
      <c r="M355" s="879"/>
      <c r="N355" s="879"/>
      <c r="O355" s="879"/>
      <c r="P355" s="879"/>
      <c r="Q355" s="879"/>
      <c r="R355" s="879"/>
      <c r="S355" s="879"/>
      <c r="T355" s="879"/>
      <c r="U355" s="879"/>
      <c r="V355" s="879"/>
      <c r="W355" s="879"/>
    </row>
    <row r="356" spans="1:23" ht="12.75" customHeight="1">
      <c r="A356" s="879"/>
      <c r="B356" s="879"/>
      <c r="C356" s="879"/>
      <c r="D356" s="879"/>
      <c r="E356" s="879"/>
      <c r="F356" s="879"/>
      <c r="G356" s="879"/>
      <c r="H356" s="879"/>
      <c r="I356" s="879"/>
      <c r="J356" s="879"/>
      <c r="K356" s="879"/>
      <c r="L356" s="879"/>
      <c r="M356" s="879"/>
      <c r="N356" s="879"/>
      <c r="O356" s="879"/>
      <c r="P356" s="879"/>
      <c r="Q356" s="879"/>
      <c r="R356" s="879"/>
      <c r="S356" s="879"/>
      <c r="T356" s="879"/>
      <c r="U356" s="879"/>
      <c r="V356" s="879"/>
      <c r="W356" s="879"/>
    </row>
    <row r="357" spans="1:23" ht="12.75" customHeight="1">
      <c r="A357" s="879"/>
      <c r="B357" s="879"/>
      <c r="C357" s="879"/>
      <c r="D357" s="879"/>
      <c r="E357" s="879"/>
      <c r="F357" s="879"/>
      <c r="G357" s="879"/>
      <c r="H357" s="879"/>
      <c r="I357" s="879"/>
      <c r="J357" s="879"/>
      <c r="K357" s="879"/>
      <c r="L357" s="879"/>
      <c r="M357" s="879"/>
      <c r="N357" s="879"/>
      <c r="O357" s="879"/>
      <c r="P357" s="879"/>
      <c r="Q357" s="879"/>
      <c r="R357" s="879"/>
      <c r="S357" s="879"/>
      <c r="T357" s="879"/>
      <c r="U357" s="879"/>
      <c r="V357" s="879"/>
      <c r="W357" s="879"/>
    </row>
    <row r="358" spans="1:23" ht="12.75" customHeight="1">
      <c r="A358" s="879"/>
      <c r="B358" s="879"/>
      <c r="C358" s="879"/>
      <c r="D358" s="879"/>
      <c r="E358" s="879"/>
      <c r="F358" s="879"/>
      <c r="G358" s="879"/>
      <c r="H358" s="879"/>
      <c r="I358" s="879"/>
      <c r="J358" s="879"/>
      <c r="K358" s="879"/>
      <c r="L358" s="879"/>
      <c r="M358" s="879"/>
      <c r="N358" s="879"/>
      <c r="O358" s="879"/>
      <c r="P358" s="879"/>
      <c r="Q358" s="879"/>
      <c r="R358" s="879"/>
      <c r="S358" s="879"/>
      <c r="T358" s="879"/>
      <c r="U358" s="879"/>
      <c r="V358" s="879"/>
      <c r="W358" s="879"/>
    </row>
    <row r="359" spans="1:23" ht="12.75" customHeight="1">
      <c r="A359" s="879"/>
      <c r="B359" s="879"/>
      <c r="C359" s="879"/>
      <c r="D359" s="879"/>
      <c r="E359" s="879"/>
      <c r="F359" s="879"/>
      <c r="G359" s="879"/>
      <c r="H359" s="879"/>
      <c r="I359" s="879"/>
      <c r="J359" s="879"/>
      <c r="K359" s="879"/>
      <c r="L359" s="879"/>
      <c r="M359" s="879"/>
      <c r="N359" s="879"/>
      <c r="O359" s="879"/>
      <c r="P359" s="879"/>
      <c r="Q359" s="879"/>
      <c r="R359" s="879"/>
      <c r="S359" s="879"/>
      <c r="T359" s="879"/>
      <c r="U359" s="879"/>
      <c r="V359" s="879"/>
      <c r="W359" s="879"/>
    </row>
    <row r="360" spans="1:23" ht="12.75" customHeight="1">
      <c r="A360" s="879"/>
      <c r="B360" s="879"/>
      <c r="C360" s="879"/>
      <c r="D360" s="879"/>
      <c r="E360" s="879"/>
      <c r="F360" s="879"/>
      <c r="G360" s="879"/>
      <c r="H360" s="879"/>
      <c r="I360" s="879"/>
      <c r="J360" s="879"/>
      <c r="K360" s="879"/>
      <c r="L360" s="879"/>
      <c r="M360" s="879"/>
      <c r="N360" s="879"/>
      <c r="O360" s="879"/>
      <c r="P360" s="879"/>
      <c r="Q360" s="879"/>
      <c r="R360" s="879"/>
      <c r="S360" s="879"/>
      <c r="T360" s="879"/>
      <c r="U360" s="879"/>
      <c r="V360" s="879"/>
      <c r="W360" s="879"/>
    </row>
    <row r="361" spans="1:23" ht="12.75" customHeight="1">
      <c r="A361" s="879"/>
      <c r="B361" s="879"/>
      <c r="C361" s="879"/>
      <c r="D361" s="879"/>
      <c r="E361" s="879"/>
      <c r="F361" s="879"/>
      <c r="G361" s="879"/>
      <c r="H361" s="879"/>
      <c r="I361" s="879"/>
      <c r="J361" s="879"/>
      <c r="K361" s="879"/>
      <c r="L361" s="879"/>
      <c r="M361" s="879"/>
      <c r="N361" s="879"/>
      <c r="O361" s="879"/>
      <c r="P361" s="879"/>
      <c r="Q361" s="879"/>
      <c r="R361" s="879"/>
      <c r="S361" s="879"/>
      <c r="T361" s="879"/>
      <c r="U361" s="879"/>
      <c r="V361" s="879"/>
      <c r="W361" s="879"/>
    </row>
    <row r="362" spans="1:23" ht="12.75" customHeight="1">
      <c r="A362" s="879"/>
      <c r="B362" s="879"/>
      <c r="C362" s="879"/>
      <c r="D362" s="879"/>
      <c r="E362" s="879"/>
      <c r="F362" s="879"/>
      <c r="G362" s="879"/>
      <c r="H362" s="879"/>
      <c r="I362" s="879"/>
      <c r="J362" s="879"/>
      <c r="K362" s="879"/>
      <c r="L362" s="879"/>
      <c r="M362" s="879"/>
      <c r="N362" s="879"/>
      <c r="O362" s="879"/>
      <c r="P362" s="879"/>
      <c r="Q362" s="879"/>
      <c r="R362" s="879"/>
      <c r="S362" s="879"/>
      <c r="T362" s="879"/>
      <c r="U362" s="879"/>
      <c r="V362" s="879"/>
      <c r="W362" s="879"/>
    </row>
    <row r="363" spans="1:23" ht="12.75" customHeight="1">
      <c r="A363" s="879"/>
      <c r="B363" s="879"/>
      <c r="C363" s="879"/>
      <c r="D363" s="879"/>
      <c r="E363" s="879"/>
      <c r="F363" s="879"/>
      <c r="G363" s="879"/>
      <c r="H363" s="879"/>
      <c r="I363" s="879"/>
      <c r="J363" s="879"/>
      <c r="K363" s="879"/>
      <c r="L363" s="879"/>
      <c r="M363" s="879"/>
      <c r="N363" s="879"/>
      <c r="O363" s="879"/>
      <c r="P363" s="879"/>
      <c r="Q363" s="879"/>
      <c r="R363" s="879"/>
      <c r="S363" s="879"/>
      <c r="T363" s="879"/>
      <c r="U363" s="879"/>
      <c r="V363" s="879"/>
      <c r="W363" s="879"/>
    </row>
    <row r="364" spans="1:23" ht="12.75" customHeight="1">
      <c r="A364" s="879"/>
      <c r="B364" s="879"/>
      <c r="C364" s="879"/>
      <c r="D364" s="879"/>
      <c r="E364" s="879"/>
      <c r="F364" s="879"/>
      <c r="G364" s="879"/>
      <c r="H364" s="879"/>
      <c r="I364" s="879"/>
      <c r="J364" s="879"/>
      <c r="K364" s="879"/>
      <c r="L364" s="879"/>
      <c r="M364" s="879"/>
      <c r="N364" s="879"/>
      <c r="O364" s="879"/>
      <c r="P364" s="879"/>
      <c r="Q364" s="879"/>
      <c r="R364" s="879"/>
      <c r="S364" s="879"/>
      <c r="T364" s="879"/>
      <c r="U364" s="879"/>
      <c r="V364" s="879"/>
      <c r="W364" s="879"/>
    </row>
    <row r="365" spans="1:23" ht="12.75" customHeight="1">
      <c r="A365" s="879"/>
      <c r="B365" s="879"/>
      <c r="C365" s="879"/>
      <c r="D365" s="879"/>
      <c r="E365" s="879"/>
      <c r="F365" s="879"/>
      <c r="G365" s="879"/>
      <c r="H365" s="879"/>
      <c r="I365" s="879"/>
      <c r="J365" s="879"/>
      <c r="K365" s="879"/>
      <c r="L365" s="879"/>
      <c r="M365" s="879"/>
      <c r="N365" s="879"/>
      <c r="O365" s="879"/>
      <c r="P365" s="879"/>
      <c r="Q365" s="879"/>
      <c r="R365" s="879"/>
      <c r="S365" s="879"/>
      <c r="T365" s="879"/>
      <c r="U365" s="879"/>
      <c r="V365" s="879"/>
      <c r="W365" s="879"/>
    </row>
    <row r="366" spans="1:23" ht="12.75" customHeight="1">
      <c r="A366" s="879"/>
      <c r="B366" s="879"/>
      <c r="C366" s="879"/>
      <c r="D366" s="879"/>
      <c r="E366" s="879"/>
      <c r="F366" s="879"/>
      <c r="G366" s="879"/>
      <c r="H366" s="879"/>
      <c r="I366" s="879"/>
      <c r="J366" s="879"/>
      <c r="K366" s="879"/>
      <c r="L366" s="879"/>
      <c r="M366" s="879"/>
      <c r="N366" s="879"/>
      <c r="O366" s="879"/>
      <c r="P366" s="879"/>
      <c r="Q366" s="879"/>
      <c r="R366" s="879"/>
      <c r="S366" s="879"/>
      <c r="T366" s="879"/>
      <c r="U366" s="879"/>
      <c r="V366" s="879"/>
      <c r="W366" s="879"/>
    </row>
    <row r="367" spans="1:23" ht="12.75" customHeight="1">
      <c r="A367" s="879"/>
      <c r="B367" s="879"/>
      <c r="C367" s="879"/>
      <c r="D367" s="879"/>
      <c r="E367" s="879"/>
      <c r="F367" s="879"/>
      <c r="G367" s="879"/>
      <c r="H367" s="879"/>
      <c r="I367" s="879"/>
      <c r="J367" s="879"/>
      <c r="K367" s="879"/>
      <c r="L367" s="879"/>
      <c r="M367" s="879"/>
      <c r="N367" s="879"/>
      <c r="O367" s="879"/>
      <c r="P367" s="879"/>
      <c r="Q367" s="879"/>
      <c r="R367" s="879"/>
      <c r="S367" s="879"/>
      <c r="T367" s="879"/>
      <c r="U367" s="879"/>
      <c r="V367" s="879"/>
      <c r="W367" s="879"/>
    </row>
    <row r="368" spans="1:23" ht="12.75" customHeight="1">
      <c r="A368" s="879"/>
      <c r="B368" s="879"/>
      <c r="C368" s="879"/>
      <c r="D368" s="879"/>
      <c r="E368" s="879"/>
      <c r="F368" s="879"/>
      <c r="G368" s="879"/>
      <c r="H368" s="879"/>
      <c r="I368" s="879"/>
      <c r="J368" s="879"/>
      <c r="K368" s="879"/>
      <c r="L368" s="879"/>
      <c r="M368" s="879"/>
      <c r="N368" s="879"/>
      <c r="O368" s="879"/>
      <c r="P368" s="879"/>
      <c r="Q368" s="879"/>
      <c r="R368" s="879"/>
      <c r="S368" s="879"/>
      <c r="T368" s="879"/>
      <c r="U368" s="879"/>
      <c r="V368" s="879"/>
      <c r="W368" s="879"/>
    </row>
    <row r="369" spans="1:23" ht="12.75" customHeight="1">
      <c r="A369" s="879"/>
      <c r="B369" s="879"/>
      <c r="C369" s="879"/>
      <c r="D369" s="879"/>
      <c r="E369" s="879"/>
      <c r="F369" s="879"/>
      <c r="G369" s="879"/>
      <c r="H369" s="879"/>
      <c r="I369" s="879"/>
      <c r="J369" s="879"/>
      <c r="K369" s="879"/>
      <c r="L369" s="879"/>
      <c r="M369" s="879"/>
      <c r="N369" s="879"/>
      <c r="O369" s="879"/>
      <c r="P369" s="879"/>
      <c r="Q369" s="879"/>
      <c r="R369" s="879"/>
      <c r="S369" s="879"/>
      <c r="T369" s="879"/>
      <c r="U369" s="879"/>
      <c r="V369" s="879"/>
      <c r="W369" s="879"/>
    </row>
    <row r="370" spans="1:23" ht="12.75" customHeight="1">
      <c r="A370" s="879"/>
      <c r="B370" s="879"/>
      <c r="C370" s="879"/>
      <c r="D370" s="879"/>
      <c r="E370" s="879"/>
      <c r="F370" s="879"/>
      <c r="G370" s="879"/>
      <c r="H370" s="879"/>
      <c r="I370" s="879"/>
      <c r="J370" s="879"/>
      <c r="K370" s="879"/>
      <c r="L370" s="879"/>
      <c r="M370" s="879"/>
      <c r="N370" s="879"/>
      <c r="O370" s="879"/>
      <c r="P370" s="879"/>
      <c r="Q370" s="879"/>
      <c r="R370" s="879"/>
      <c r="S370" s="879"/>
      <c r="T370" s="879"/>
      <c r="U370" s="879"/>
      <c r="V370" s="879"/>
      <c r="W370" s="879"/>
    </row>
    <row r="371" spans="1:23" ht="12.75" customHeight="1">
      <c r="A371" s="879"/>
      <c r="B371" s="879"/>
      <c r="C371" s="879"/>
      <c r="D371" s="879"/>
      <c r="E371" s="879"/>
      <c r="F371" s="879"/>
      <c r="G371" s="879"/>
      <c r="H371" s="879"/>
      <c r="I371" s="879"/>
      <c r="J371" s="879"/>
      <c r="K371" s="879"/>
      <c r="L371" s="879"/>
      <c r="M371" s="879"/>
      <c r="N371" s="879"/>
      <c r="O371" s="879"/>
      <c r="P371" s="879"/>
      <c r="Q371" s="879"/>
      <c r="R371" s="879"/>
      <c r="S371" s="879"/>
      <c r="T371" s="879"/>
      <c r="U371" s="879"/>
      <c r="V371" s="879"/>
      <c r="W371" s="879"/>
    </row>
    <row r="372" spans="1:23" ht="12.75" customHeight="1">
      <c r="A372" s="879"/>
      <c r="B372" s="879"/>
      <c r="C372" s="879"/>
      <c r="D372" s="879"/>
      <c r="E372" s="879"/>
      <c r="F372" s="879"/>
      <c r="G372" s="879"/>
      <c r="H372" s="879"/>
      <c r="I372" s="879"/>
      <c r="J372" s="879"/>
      <c r="K372" s="879"/>
      <c r="L372" s="879"/>
      <c r="M372" s="879"/>
      <c r="N372" s="879"/>
      <c r="O372" s="879"/>
      <c r="P372" s="879"/>
      <c r="Q372" s="879"/>
      <c r="R372" s="879"/>
      <c r="S372" s="879"/>
      <c r="T372" s="879"/>
      <c r="U372" s="879"/>
      <c r="V372" s="879"/>
      <c r="W372" s="879"/>
    </row>
    <row r="373" spans="1:23" ht="12.75" customHeight="1">
      <c r="A373" s="879"/>
      <c r="B373" s="879"/>
      <c r="C373" s="879"/>
      <c r="D373" s="879"/>
      <c r="E373" s="879"/>
      <c r="F373" s="879"/>
      <c r="G373" s="879"/>
      <c r="H373" s="879"/>
      <c r="I373" s="879"/>
      <c r="J373" s="879"/>
      <c r="K373" s="879"/>
      <c r="L373" s="879"/>
      <c r="M373" s="879"/>
      <c r="N373" s="879"/>
      <c r="O373" s="879"/>
      <c r="P373" s="879"/>
      <c r="Q373" s="879"/>
      <c r="R373" s="879"/>
      <c r="S373" s="879"/>
      <c r="T373" s="879"/>
      <c r="U373" s="879"/>
      <c r="V373" s="879"/>
      <c r="W373" s="879"/>
    </row>
    <row r="374" spans="1:23" ht="12.75" customHeight="1">
      <c r="A374" s="879"/>
      <c r="B374" s="879"/>
      <c r="C374" s="879"/>
      <c r="D374" s="879"/>
      <c r="E374" s="879"/>
      <c r="F374" s="879"/>
      <c r="G374" s="879"/>
      <c r="H374" s="879"/>
      <c r="I374" s="879"/>
      <c r="J374" s="879"/>
      <c r="K374" s="879"/>
      <c r="L374" s="879"/>
      <c r="M374" s="879"/>
      <c r="N374" s="879"/>
      <c r="O374" s="879"/>
      <c r="P374" s="879"/>
      <c r="Q374" s="879"/>
      <c r="R374" s="879"/>
      <c r="S374" s="879"/>
      <c r="T374" s="879"/>
      <c r="U374" s="879"/>
      <c r="V374" s="879"/>
      <c r="W374" s="879"/>
    </row>
    <row r="375" spans="1:23" ht="12.75" customHeight="1">
      <c r="A375" s="879"/>
      <c r="B375" s="879"/>
      <c r="C375" s="879"/>
      <c r="D375" s="879"/>
      <c r="E375" s="879"/>
      <c r="F375" s="879"/>
      <c r="G375" s="879"/>
      <c r="H375" s="879"/>
      <c r="I375" s="879"/>
      <c r="J375" s="879"/>
      <c r="K375" s="879"/>
      <c r="L375" s="879"/>
      <c r="M375" s="879"/>
      <c r="N375" s="879"/>
      <c r="O375" s="879"/>
      <c r="P375" s="879"/>
      <c r="Q375" s="879"/>
      <c r="R375" s="879"/>
      <c r="S375" s="879"/>
      <c r="T375" s="879"/>
      <c r="U375" s="879"/>
      <c r="V375" s="879"/>
      <c r="W375" s="879"/>
    </row>
    <row r="376" spans="1:23" ht="12.75" customHeight="1">
      <c r="A376" s="879"/>
      <c r="B376" s="879"/>
      <c r="C376" s="879"/>
      <c r="D376" s="879"/>
      <c r="E376" s="879"/>
      <c r="F376" s="879"/>
      <c r="G376" s="879"/>
      <c r="H376" s="879"/>
      <c r="I376" s="879"/>
      <c r="J376" s="879"/>
      <c r="K376" s="879"/>
      <c r="L376" s="879"/>
      <c r="M376" s="879"/>
      <c r="N376" s="879"/>
      <c r="O376" s="879"/>
      <c r="P376" s="879"/>
      <c r="Q376" s="879"/>
      <c r="R376" s="879"/>
      <c r="S376" s="879"/>
      <c r="T376" s="879"/>
      <c r="U376" s="879"/>
      <c r="V376" s="879"/>
      <c r="W376" s="879"/>
    </row>
    <row r="377" spans="1:23" ht="12.75" customHeight="1">
      <c r="A377" s="879"/>
      <c r="B377" s="879"/>
      <c r="C377" s="879"/>
      <c r="D377" s="879"/>
      <c r="E377" s="879"/>
      <c r="F377" s="879"/>
      <c r="G377" s="879"/>
      <c r="H377" s="879"/>
      <c r="I377" s="879"/>
      <c r="J377" s="879"/>
      <c r="K377" s="879"/>
      <c r="L377" s="879"/>
      <c r="M377" s="879"/>
      <c r="N377" s="879"/>
      <c r="O377" s="879"/>
      <c r="P377" s="879"/>
      <c r="Q377" s="879"/>
      <c r="R377" s="879"/>
      <c r="S377" s="879"/>
      <c r="T377" s="879"/>
      <c r="U377" s="879"/>
      <c r="V377" s="879"/>
      <c r="W377" s="879"/>
    </row>
    <row r="378" spans="1:23" ht="12.75" customHeight="1">
      <c r="A378" s="879"/>
      <c r="B378" s="879"/>
      <c r="C378" s="879"/>
      <c r="D378" s="879"/>
      <c r="E378" s="879"/>
      <c r="F378" s="879"/>
      <c r="G378" s="879"/>
      <c r="H378" s="879"/>
      <c r="I378" s="879"/>
      <c r="J378" s="879"/>
      <c r="K378" s="879"/>
      <c r="L378" s="879"/>
      <c r="M378" s="879"/>
      <c r="N378" s="879"/>
      <c r="O378" s="879"/>
      <c r="P378" s="879"/>
      <c r="Q378" s="879"/>
      <c r="R378" s="879"/>
      <c r="S378" s="879"/>
      <c r="T378" s="879"/>
      <c r="U378" s="879"/>
      <c r="V378" s="879"/>
      <c r="W378" s="879"/>
    </row>
    <row r="379" spans="1:23" ht="12.75" customHeight="1">
      <c r="A379" s="879"/>
      <c r="B379" s="879"/>
      <c r="C379" s="879"/>
      <c r="D379" s="879"/>
      <c r="E379" s="879"/>
      <c r="F379" s="879"/>
      <c r="G379" s="879"/>
      <c r="H379" s="879"/>
      <c r="I379" s="879"/>
      <c r="J379" s="879"/>
      <c r="K379" s="879"/>
      <c r="L379" s="879"/>
      <c r="M379" s="879"/>
      <c r="N379" s="879"/>
      <c r="O379" s="879"/>
      <c r="P379" s="879"/>
      <c r="Q379" s="879"/>
      <c r="R379" s="879"/>
      <c r="S379" s="879"/>
      <c r="T379" s="879"/>
      <c r="U379" s="879"/>
      <c r="V379" s="879"/>
      <c r="W379" s="879"/>
    </row>
    <row r="380" spans="1:23" ht="12.75" customHeight="1">
      <c r="A380" s="879"/>
      <c r="B380" s="879"/>
      <c r="C380" s="879"/>
      <c r="D380" s="879"/>
      <c r="E380" s="879"/>
      <c r="F380" s="879"/>
      <c r="G380" s="879"/>
      <c r="H380" s="879"/>
      <c r="I380" s="879"/>
      <c r="J380" s="879"/>
      <c r="K380" s="879"/>
      <c r="L380" s="879"/>
      <c r="M380" s="879"/>
      <c r="N380" s="879"/>
      <c r="O380" s="879"/>
      <c r="P380" s="879"/>
      <c r="Q380" s="879"/>
      <c r="R380" s="879"/>
      <c r="S380" s="879"/>
      <c r="T380" s="879"/>
      <c r="U380" s="879"/>
      <c r="V380" s="879"/>
      <c r="W380" s="879"/>
    </row>
    <row r="381" spans="1:23" ht="12.75" customHeight="1">
      <c r="A381" s="879"/>
      <c r="B381" s="879"/>
      <c r="C381" s="879"/>
      <c r="D381" s="879"/>
      <c r="E381" s="879"/>
      <c r="F381" s="879"/>
      <c r="G381" s="879"/>
      <c r="H381" s="879"/>
      <c r="I381" s="879"/>
      <c r="J381" s="879"/>
      <c r="K381" s="879"/>
      <c r="L381" s="879"/>
      <c r="M381" s="879"/>
      <c r="N381" s="879"/>
      <c r="O381" s="879"/>
      <c r="P381" s="879"/>
      <c r="Q381" s="879"/>
      <c r="R381" s="879"/>
      <c r="S381" s="879"/>
      <c r="T381" s="879"/>
      <c r="U381" s="879"/>
      <c r="V381" s="879"/>
      <c r="W381" s="879"/>
    </row>
    <row r="382" spans="1:23" ht="12.75" customHeight="1">
      <c r="A382" s="879"/>
      <c r="B382" s="879"/>
      <c r="C382" s="879"/>
      <c r="D382" s="879"/>
      <c r="E382" s="879"/>
      <c r="F382" s="879"/>
      <c r="G382" s="879"/>
      <c r="H382" s="879"/>
      <c r="I382" s="879"/>
      <c r="J382" s="879"/>
      <c r="K382" s="879"/>
      <c r="L382" s="879"/>
      <c r="M382" s="879"/>
      <c r="N382" s="879"/>
      <c r="O382" s="879"/>
      <c r="P382" s="879"/>
      <c r="Q382" s="879"/>
      <c r="R382" s="879"/>
      <c r="S382" s="879"/>
      <c r="T382" s="879"/>
      <c r="U382" s="879"/>
      <c r="V382" s="879"/>
      <c r="W382" s="879"/>
    </row>
    <row r="383" spans="1:23" ht="12.75" customHeight="1">
      <c r="A383" s="879"/>
      <c r="B383" s="879"/>
      <c r="C383" s="879"/>
      <c r="D383" s="879"/>
      <c r="E383" s="879"/>
      <c r="F383" s="879"/>
      <c r="G383" s="879"/>
      <c r="H383" s="879"/>
      <c r="I383" s="879"/>
      <c r="J383" s="879"/>
      <c r="K383" s="879"/>
      <c r="L383" s="879"/>
      <c r="M383" s="879"/>
      <c r="N383" s="879"/>
      <c r="O383" s="879"/>
      <c r="P383" s="879"/>
      <c r="Q383" s="879"/>
      <c r="R383" s="879"/>
      <c r="S383" s="879"/>
      <c r="T383" s="879"/>
      <c r="U383" s="879"/>
      <c r="V383" s="879"/>
      <c r="W383" s="879"/>
    </row>
    <row r="384" spans="1:23" ht="12.75" customHeight="1">
      <c r="A384" s="879"/>
      <c r="B384" s="879"/>
      <c r="C384" s="879"/>
      <c r="D384" s="879"/>
      <c r="E384" s="879"/>
      <c r="F384" s="879"/>
      <c r="G384" s="879"/>
      <c r="H384" s="879"/>
      <c r="I384" s="879"/>
      <c r="J384" s="879"/>
      <c r="K384" s="879"/>
      <c r="L384" s="879"/>
      <c r="M384" s="879"/>
      <c r="N384" s="879"/>
      <c r="O384" s="879"/>
      <c r="P384" s="879"/>
      <c r="Q384" s="879"/>
      <c r="R384" s="879"/>
      <c r="S384" s="879"/>
      <c r="T384" s="879"/>
      <c r="U384" s="879"/>
      <c r="V384" s="879"/>
      <c r="W384" s="879"/>
    </row>
    <row r="385" spans="1:23" ht="12.75" customHeight="1">
      <c r="A385" s="879"/>
      <c r="B385" s="879"/>
      <c r="C385" s="879"/>
      <c r="D385" s="879"/>
      <c r="E385" s="879"/>
      <c r="F385" s="879"/>
      <c r="G385" s="879"/>
      <c r="H385" s="879"/>
      <c r="I385" s="879"/>
      <c r="J385" s="879"/>
      <c r="K385" s="879"/>
      <c r="L385" s="879"/>
      <c r="M385" s="879"/>
      <c r="N385" s="879"/>
      <c r="O385" s="879"/>
      <c r="P385" s="879"/>
      <c r="Q385" s="879"/>
      <c r="R385" s="879"/>
      <c r="S385" s="879"/>
      <c r="T385" s="879"/>
      <c r="U385" s="879"/>
      <c r="V385" s="879"/>
      <c r="W385" s="879"/>
    </row>
    <row r="386" spans="1:23" ht="12.75" customHeight="1">
      <c r="A386" s="879"/>
      <c r="B386" s="879"/>
      <c r="C386" s="879"/>
      <c r="D386" s="879"/>
      <c r="E386" s="879"/>
      <c r="F386" s="879"/>
      <c r="G386" s="879"/>
      <c r="H386" s="879"/>
      <c r="I386" s="879"/>
      <c r="J386" s="879"/>
      <c r="K386" s="879"/>
      <c r="L386" s="879"/>
      <c r="M386" s="879"/>
      <c r="N386" s="879"/>
      <c r="O386" s="879"/>
      <c r="P386" s="879"/>
      <c r="Q386" s="879"/>
      <c r="R386" s="879"/>
      <c r="S386" s="879"/>
      <c r="T386" s="879"/>
      <c r="U386" s="879"/>
      <c r="V386" s="879"/>
      <c r="W386" s="879"/>
    </row>
    <row r="387" spans="1:23" ht="12.75" customHeight="1">
      <c r="A387" s="879"/>
      <c r="B387" s="879"/>
      <c r="C387" s="879"/>
      <c r="D387" s="879"/>
      <c r="E387" s="879"/>
      <c r="F387" s="879"/>
      <c r="G387" s="879"/>
      <c r="H387" s="879"/>
      <c r="I387" s="879"/>
      <c r="J387" s="879"/>
      <c r="K387" s="879"/>
      <c r="L387" s="879"/>
      <c r="M387" s="879"/>
      <c r="N387" s="879"/>
      <c r="O387" s="879"/>
      <c r="P387" s="879"/>
      <c r="Q387" s="879"/>
      <c r="R387" s="879"/>
      <c r="S387" s="879"/>
      <c r="T387" s="879"/>
      <c r="U387" s="879"/>
      <c r="V387" s="879"/>
      <c r="W387" s="879"/>
    </row>
    <row r="388" spans="1:23" ht="12.75" customHeight="1">
      <c r="A388" s="879"/>
      <c r="B388" s="879"/>
      <c r="C388" s="879"/>
      <c r="D388" s="879"/>
      <c r="E388" s="879"/>
      <c r="F388" s="879"/>
      <c r="G388" s="879"/>
      <c r="H388" s="879"/>
      <c r="I388" s="879"/>
      <c r="J388" s="879"/>
      <c r="K388" s="879"/>
      <c r="L388" s="879"/>
      <c r="M388" s="879"/>
      <c r="N388" s="879"/>
      <c r="O388" s="879"/>
      <c r="P388" s="879"/>
      <c r="Q388" s="879"/>
      <c r="R388" s="879"/>
      <c r="S388" s="879"/>
      <c r="T388" s="879"/>
      <c r="U388" s="879"/>
      <c r="V388" s="879"/>
      <c r="W388" s="879"/>
    </row>
    <row r="389" spans="1:23" ht="12.75" customHeight="1">
      <c r="A389" s="879"/>
      <c r="B389" s="879"/>
      <c r="C389" s="879"/>
      <c r="D389" s="879"/>
      <c r="E389" s="879"/>
      <c r="F389" s="879"/>
      <c r="G389" s="879"/>
      <c r="H389" s="879"/>
      <c r="I389" s="879"/>
      <c r="J389" s="879"/>
      <c r="K389" s="879"/>
      <c r="L389" s="879"/>
      <c r="M389" s="879"/>
      <c r="N389" s="879"/>
      <c r="O389" s="879"/>
      <c r="P389" s="879"/>
      <c r="Q389" s="879"/>
      <c r="R389" s="879"/>
      <c r="S389" s="879"/>
      <c r="T389" s="879"/>
      <c r="U389" s="879"/>
      <c r="V389" s="879"/>
      <c r="W389" s="879"/>
    </row>
    <row r="390" spans="1:23" ht="12.75" customHeight="1">
      <c r="A390" s="879"/>
      <c r="B390" s="879"/>
      <c r="C390" s="879"/>
      <c r="D390" s="879"/>
      <c r="E390" s="879"/>
      <c r="F390" s="879"/>
      <c r="G390" s="879"/>
      <c r="H390" s="879"/>
      <c r="I390" s="879"/>
      <c r="J390" s="879"/>
      <c r="K390" s="879"/>
      <c r="L390" s="879"/>
      <c r="M390" s="879"/>
      <c r="N390" s="879"/>
      <c r="O390" s="879"/>
      <c r="P390" s="879"/>
      <c r="Q390" s="879"/>
      <c r="R390" s="879"/>
      <c r="S390" s="879"/>
      <c r="T390" s="879"/>
      <c r="U390" s="879"/>
      <c r="V390" s="879"/>
      <c r="W390" s="879"/>
    </row>
    <row r="391" spans="1:23" ht="12.75" customHeight="1">
      <c r="A391" s="879"/>
      <c r="B391" s="879"/>
      <c r="C391" s="879"/>
      <c r="D391" s="879"/>
      <c r="E391" s="879"/>
      <c r="F391" s="879"/>
      <c r="G391" s="879"/>
      <c r="H391" s="879"/>
      <c r="I391" s="879"/>
      <c r="J391" s="879"/>
      <c r="K391" s="879"/>
      <c r="L391" s="879"/>
      <c r="M391" s="879"/>
      <c r="N391" s="879"/>
      <c r="O391" s="879"/>
      <c r="P391" s="879"/>
      <c r="Q391" s="879"/>
      <c r="R391" s="879"/>
      <c r="S391" s="879"/>
      <c r="T391" s="879"/>
      <c r="U391" s="879"/>
      <c r="V391" s="879"/>
      <c r="W391" s="879"/>
    </row>
    <row r="392" spans="1:23" ht="12.75" customHeight="1">
      <c r="A392" s="879"/>
      <c r="B392" s="879"/>
      <c r="C392" s="879"/>
      <c r="D392" s="879"/>
      <c r="E392" s="879"/>
      <c r="F392" s="879"/>
      <c r="G392" s="879"/>
      <c r="H392" s="879"/>
      <c r="I392" s="879"/>
      <c r="J392" s="879"/>
      <c r="K392" s="879"/>
      <c r="L392" s="879"/>
      <c r="M392" s="879"/>
      <c r="N392" s="879"/>
      <c r="O392" s="879"/>
      <c r="P392" s="879"/>
      <c r="Q392" s="879"/>
      <c r="R392" s="879"/>
      <c r="S392" s="879"/>
      <c r="T392" s="879"/>
      <c r="U392" s="879"/>
      <c r="V392" s="879"/>
      <c r="W392" s="879"/>
    </row>
    <row r="393" spans="1:23" ht="12.75" customHeight="1">
      <c r="A393" s="879"/>
      <c r="B393" s="879"/>
      <c r="C393" s="879"/>
      <c r="D393" s="879"/>
      <c r="E393" s="879"/>
      <c r="F393" s="879"/>
      <c r="G393" s="879"/>
      <c r="H393" s="879"/>
      <c r="I393" s="879"/>
      <c r="J393" s="879"/>
      <c r="K393" s="879"/>
      <c r="L393" s="879"/>
      <c r="M393" s="879"/>
      <c r="N393" s="879"/>
      <c r="O393" s="879"/>
      <c r="P393" s="879"/>
      <c r="Q393" s="879"/>
      <c r="R393" s="879"/>
      <c r="S393" s="879"/>
      <c r="T393" s="879"/>
      <c r="U393" s="879"/>
      <c r="V393" s="879"/>
      <c r="W393" s="879"/>
    </row>
    <row r="394" spans="1:23" ht="12.75" customHeight="1">
      <c r="A394" s="879"/>
      <c r="B394" s="879"/>
      <c r="C394" s="879"/>
      <c r="D394" s="879"/>
      <c r="E394" s="879"/>
      <c r="F394" s="879"/>
      <c r="G394" s="879"/>
      <c r="H394" s="879"/>
      <c r="I394" s="879"/>
      <c r="J394" s="879"/>
      <c r="K394" s="879"/>
      <c r="L394" s="879"/>
      <c r="M394" s="879"/>
      <c r="N394" s="879"/>
      <c r="O394" s="879"/>
      <c r="P394" s="879"/>
      <c r="Q394" s="879"/>
      <c r="R394" s="879"/>
      <c r="S394" s="879"/>
      <c r="T394" s="879"/>
      <c r="U394" s="879"/>
      <c r="V394" s="879"/>
      <c r="W394" s="879"/>
    </row>
    <row r="395" spans="1:23" ht="12.75" customHeight="1">
      <c r="A395" s="879"/>
      <c r="B395" s="879"/>
      <c r="C395" s="879"/>
      <c r="D395" s="879"/>
      <c r="E395" s="879"/>
      <c r="F395" s="879"/>
      <c r="G395" s="879"/>
      <c r="H395" s="879"/>
      <c r="I395" s="879"/>
      <c r="J395" s="879"/>
      <c r="K395" s="879"/>
      <c r="L395" s="879"/>
      <c r="M395" s="879"/>
      <c r="N395" s="879"/>
      <c r="O395" s="879"/>
      <c r="P395" s="879"/>
      <c r="Q395" s="879"/>
      <c r="R395" s="879"/>
      <c r="S395" s="879"/>
      <c r="T395" s="879"/>
      <c r="U395" s="879"/>
      <c r="V395" s="879"/>
      <c r="W395" s="879"/>
    </row>
    <row r="396" spans="1:23" ht="12.75" customHeight="1">
      <c r="A396" s="879"/>
      <c r="B396" s="879"/>
      <c r="C396" s="879"/>
      <c r="D396" s="879"/>
      <c r="E396" s="879"/>
      <c r="F396" s="879"/>
      <c r="G396" s="879"/>
      <c r="H396" s="879"/>
      <c r="I396" s="879"/>
      <c r="J396" s="879"/>
      <c r="K396" s="879"/>
      <c r="L396" s="879"/>
      <c r="M396" s="879"/>
      <c r="N396" s="879"/>
      <c r="O396" s="879"/>
      <c r="P396" s="879"/>
      <c r="Q396" s="879"/>
      <c r="R396" s="879"/>
      <c r="S396" s="879"/>
      <c r="T396" s="879"/>
      <c r="U396" s="879"/>
      <c r="V396" s="879"/>
      <c r="W396" s="879"/>
    </row>
    <row r="397" spans="1:23" ht="12.75" customHeight="1">
      <c r="A397" s="879"/>
      <c r="B397" s="879"/>
      <c r="C397" s="879"/>
      <c r="D397" s="879"/>
      <c r="E397" s="879"/>
      <c r="F397" s="879"/>
      <c r="G397" s="879"/>
      <c r="H397" s="879"/>
      <c r="I397" s="879"/>
      <c r="J397" s="879"/>
      <c r="K397" s="879"/>
      <c r="L397" s="879"/>
      <c r="M397" s="879"/>
      <c r="N397" s="879"/>
      <c r="O397" s="879"/>
      <c r="P397" s="879"/>
      <c r="Q397" s="879"/>
      <c r="R397" s="879"/>
      <c r="S397" s="879"/>
      <c r="T397" s="879"/>
      <c r="U397" s="879"/>
      <c r="V397" s="879"/>
      <c r="W397" s="879"/>
    </row>
    <row r="398" spans="1:23" ht="12.75" customHeight="1">
      <c r="A398" s="879"/>
      <c r="B398" s="879"/>
      <c r="C398" s="879"/>
      <c r="D398" s="879"/>
      <c r="E398" s="879"/>
      <c r="F398" s="879"/>
      <c r="G398" s="879"/>
      <c r="H398" s="879"/>
      <c r="I398" s="879"/>
      <c r="J398" s="879"/>
      <c r="K398" s="879"/>
      <c r="L398" s="879"/>
      <c r="M398" s="879"/>
      <c r="N398" s="879"/>
      <c r="O398" s="879"/>
      <c r="P398" s="879"/>
      <c r="Q398" s="879"/>
      <c r="R398" s="879"/>
      <c r="S398" s="879"/>
      <c r="T398" s="879"/>
      <c r="U398" s="879"/>
      <c r="V398" s="879"/>
      <c r="W398" s="879"/>
    </row>
    <row r="399" spans="1:23" ht="12.75" customHeight="1">
      <c r="A399" s="879"/>
      <c r="B399" s="879"/>
      <c r="C399" s="879"/>
      <c r="D399" s="879"/>
      <c r="E399" s="879"/>
      <c r="F399" s="879"/>
      <c r="G399" s="879"/>
      <c r="H399" s="879"/>
      <c r="I399" s="879"/>
      <c r="J399" s="879"/>
      <c r="K399" s="879"/>
      <c r="L399" s="879"/>
      <c r="M399" s="879"/>
      <c r="N399" s="879"/>
      <c r="O399" s="879"/>
      <c r="P399" s="879"/>
      <c r="Q399" s="879"/>
      <c r="R399" s="879"/>
      <c r="S399" s="879"/>
      <c r="T399" s="879"/>
      <c r="U399" s="879"/>
      <c r="V399" s="879"/>
      <c r="W399" s="879"/>
    </row>
    <row r="400" spans="1:23" ht="12.75" customHeight="1">
      <c r="A400" s="879"/>
      <c r="B400" s="879"/>
      <c r="C400" s="879"/>
      <c r="D400" s="879"/>
      <c r="E400" s="879"/>
      <c r="F400" s="879"/>
      <c r="G400" s="879"/>
      <c r="H400" s="879"/>
      <c r="I400" s="879"/>
      <c r="J400" s="879"/>
      <c r="K400" s="879"/>
      <c r="L400" s="879"/>
      <c r="M400" s="879"/>
      <c r="N400" s="879"/>
      <c r="O400" s="879"/>
      <c r="P400" s="879"/>
      <c r="Q400" s="879"/>
      <c r="R400" s="879"/>
      <c r="S400" s="879"/>
      <c r="T400" s="879"/>
      <c r="U400" s="879"/>
      <c r="V400" s="879"/>
      <c r="W400" s="879"/>
    </row>
    <row r="401" spans="1:23" ht="12.75" customHeight="1">
      <c r="A401" s="879"/>
      <c r="B401" s="879"/>
      <c r="C401" s="879"/>
      <c r="D401" s="879"/>
      <c r="E401" s="879"/>
      <c r="F401" s="879"/>
      <c r="G401" s="879"/>
      <c r="H401" s="879"/>
      <c r="I401" s="879"/>
      <c r="J401" s="879"/>
      <c r="K401" s="879"/>
      <c r="L401" s="879"/>
      <c r="M401" s="879"/>
      <c r="N401" s="879"/>
      <c r="O401" s="879"/>
      <c r="P401" s="879"/>
      <c r="Q401" s="879"/>
      <c r="R401" s="879"/>
      <c r="S401" s="879"/>
      <c r="T401" s="879"/>
      <c r="U401" s="879"/>
      <c r="V401" s="879"/>
      <c r="W401" s="879"/>
    </row>
    <row r="402" spans="1:23" ht="12.75" customHeight="1">
      <c r="A402" s="879"/>
      <c r="B402" s="879"/>
      <c r="C402" s="879"/>
      <c r="D402" s="879"/>
      <c r="E402" s="879"/>
      <c r="F402" s="879"/>
      <c r="G402" s="879"/>
      <c r="H402" s="879"/>
      <c r="I402" s="879"/>
      <c r="J402" s="879"/>
      <c r="K402" s="879"/>
      <c r="L402" s="879"/>
      <c r="M402" s="879"/>
      <c r="N402" s="879"/>
      <c r="O402" s="879"/>
      <c r="P402" s="879"/>
      <c r="Q402" s="879"/>
      <c r="R402" s="879"/>
      <c r="S402" s="879"/>
      <c r="T402" s="879"/>
      <c r="U402" s="879"/>
      <c r="V402" s="879"/>
      <c r="W402" s="879"/>
    </row>
    <row r="403" spans="1:23" ht="12.75" customHeight="1">
      <c r="A403" s="879"/>
      <c r="B403" s="879"/>
      <c r="C403" s="879"/>
      <c r="D403" s="879"/>
      <c r="E403" s="879"/>
      <c r="F403" s="879"/>
      <c r="G403" s="879"/>
      <c r="H403" s="879"/>
      <c r="I403" s="879"/>
      <c r="J403" s="879"/>
      <c r="K403" s="879"/>
      <c r="L403" s="879"/>
      <c r="M403" s="879"/>
      <c r="N403" s="879"/>
      <c r="O403" s="879"/>
      <c r="P403" s="879"/>
      <c r="Q403" s="879"/>
      <c r="R403" s="879"/>
      <c r="S403" s="879"/>
      <c r="T403" s="879"/>
      <c r="U403" s="879"/>
      <c r="V403" s="879"/>
      <c r="W403" s="879"/>
    </row>
    <row r="404" spans="1:23" ht="12.75" customHeight="1">
      <c r="A404" s="879"/>
      <c r="B404" s="879"/>
      <c r="C404" s="879"/>
      <c r="D404" s="879"/>
      <c r="E404" s="879"/>
      <c r="F404" s="879"/>
      <c r="G404" s="879"/>
      <c r="H404" s="879"/>
      <c r="I404" s="879"/>
      <c r="J404" s="879"/>
      <c r="K404" s="879"/>
      <c r="L404" s="879"/>
      <c r="M404" s="879"/>
      <c r="N404" s="879"/>
      <c r="O404" s="879"/>
      <c r="P404" s="879"/>
      <c r="Q404" s="879"/>
      <c r="R404" s="879"/>
      <c r="S404" s="879"/>
      <c r="T404" s="879"/>
      <c r="U404" s="879"/>
      <c r="V404" s="879"/>
      <c r="W404" s="879"/>
    </row>
    <row r="405" spans="1:23" ht="12.75" customHeight="1">
      <c r="A405" s="879"/>
      <c r="B405" s="879"/>
      <c r="C405" s="879"/>
      <c r="D405" s="879"/>
      <c r="E405" s="879"/>
      <c r="F405" s="879"/>
      <c r="G405" s="879"/>
      <c r="H405" s="879"/>
      <c r="I405" s="879"/>
      <c r="J405" s="879"/>
      <c r="K405" s="879"/>
      <c r="L405" s="879"/>
      <c r="M405" s="879"/>
      <c r="N405" s="879"/>
      <c r="O405" s="879"/>
      <c r="P405" s="879"/>
      <c r="Q405" s="879"/>
      <c r="R405" s="879"/>
      <c r="S405" s="879"/>
      <c r="T405" s="879"/>
      <c r="U405" s="879"/>
      <c r="V405" s="879"/>
      <c r="W405" s="879"/>
    </row>
    <row r="406" spans="1:23" ht="12.75" customHeight="1">
      <c r="A406" s="879"/>
      <c r="B406" s="879"/>
      <c r="C406" s="879"/>
      <c r="D406" s="879"/>
      <c r="E406" s="879"/>
      <c r="F406" s="879"/>
      <c r="G406" s="879"/>
      <c r="H406" s="879"/>
      <c r="I406" s="879"/>
      <c r="J406" s="879"/>
      <c r="K406" s="879"/>
      <c r="L406" s="879"/>
      <c r="M406" s="879"/>
      <c r="N406" s="879"/>
      <c r="O406" s="879"/>
      <c r="P406" s="879"/>
      <c r="Q406" s="879"/>
      <c r="R406" s="879"/>
      <c r="S406" s="879"/>
      <c r="T406" s="879"/>
      <c r="U406" s="879"/>
      <c r="V406" s="879"/>
      <c r="W406" s="879"/>
    </row>
    <row r="407" spans="1:23" ht="12.75" customHeight="1">
      <c r="A407" s="879"/>
      <c r="B407" s="879"/>
      <c r="C407" s="879"/>
      <c r="D407" s="879"/>
      <c r="E407" s="879"/>
      <c r="F407" s="879"/>
      <c r="G407" s="879"/>
      <c r="H407" s="879"/>
      <c r="I407" s="879"/>
      <c r="J407" s="879"/>
      <c r="K407" s="879"/>
      <c r="L407" s="879"/>
      <c r="M407" s="879"/>
      <c r="N407" s="879"/>
      <c r="O407" s="879"/>
      <c r="P407" s="879"/>
      <c r="Q407" s="879"/>
      <c r="R407" s="879"/>
      <c r="S407" s="879"/>
      <c r="T407" s="879"/>
      <c r="U407" s="879"/>
      <c r="V407" s="879"/>
      <c r="W407" s="879"/>
    </row>
    <row r="408" spans="1:23" ht="12.75" customHeight="1">
      <c r="A408" s="879"/>
      <c r="B408" s="879"/>
      <c r="C408" s="879"/>
      <c r="D408" s="879"/>
      <c r="E408" s="879"/>
      <c r="F408" s="879"/>
      <c r="G408" s="879"/>
      <c r="H408" s="879"/>
      <c r="I408" s="879"/>
      <c r="J408" s="879"/>
      <c r="K408" s="879"/>
      <c r="L408" s="879"/>
      <c r="M408" s="879"/>
      <c r="N408" s="879"/>
      <c r="O408" s="879"/>
      <c r="P408" s="879"/>
      <c r="Q408" s="879"/>
      <c r="R408" s="879"/>
      <c r="S408" s="879"/>
      <c r="T408" s="879"/>
      <c r="U408" s="879"/>
      <c r="V408" s="879"/>
      <c r="W408" s="879"/>
    </row>
    <row r="409" spans="1:23" ht="12.75" customHeight="1">
      <c r="A409" s="879"/>
      <c r="B409" s="879"/>
      <c r="C409" s="879"/>
      <c r="D409" s="879"/>
      <c r="E409" s="879"/>
      <c r="F409" s="879"/>
      <c r="G409" s="879"/>
      <c r="H409" s="879"/>
      <c r="I409" s="879"/>
      <c r="J409" s="879"/>
      <c r="K409" s="879"/>
      <c r="L409" s="879"/>
      <c r="M409" s="879"/>
      <c r="N409" s="879"/>
      <c r="O409" s="879"/>
      <c r="P409" s="879"/>
      <c r="Q409" s="879"/>
      <c r="R409" s="879"/>
      <c r="S409" s="879"/>
      <c r="T409" s="879"/>
      <c r="U409" s="879"/>
      <c r="V409" s="879"/>
      <c r="W409" s="879"/>
    </row>
    <row r="410" spans="1:23" ht="12.75" customHeight="1">
      <c r="A410" s="879"/>
      <c r="B410" s="879"/>
      <c r="C410" s="879"/>
      <c r="D410" s="879"/>
      <c r="E410" s="879"/>
      <c r="F410" s="879"/>
      <c r="G410" s="879"/>
      <c r="H410" s="879"/>
      <c r="I410" s="879"/>
      <c r="J410" s="879"/>
      <c r="K410" s="879"/>
      <c r="L410" s="879"/>
      <c r="M410" s="879"/>
      <c r="N410" s="879"/>
      <c r="O410" s="879"/>
      <c r="P410" s="879"/>
      <c r="Q410" s="879"/>
      <c r="R410" s="879"/>
      <c r="S410" s="879"/>
      <c r="T410" s="879"/>
      <c r="U410" s="879"/>
      <c r="V410" s="879"/>
      <c r="W410" s="879"/>
    </row>
    <row r="411" spans="1:23" ht="12.75" customHeight="1">
      <c r="A411" s="879"/>
      <c r="B411" s="879"/>
      <c r="C411" s="879"/>
      <c r="D411" s="879"/>
      <c r="E411" s="879"/>
      <c r="F411" s="879"/>
      <c r="G411" s="879"/>
      <c r="H411" s="879"/>
      <c r="I411" s="879"/>
      <c r="J411" s="879"/>
      <c r="K411" s="879"/>
      <c r="L411" s="879"/>
      <c r="M411" s="879"/>
      <c r="N411" s="879"/>
      <c r="O411" s="879"/>
      <c r="P411" s="879"/>
      <c r="Q411" s="879"/>
      <c r="R411" s="879"/>
      <c r="S411" s="879"/>
      <c r="T411" s="879"/>
      <c r="U411" s="879"/>
      <c r="V411" s="879"/>
      <c r="W411" s="879"/>
    </row>
    <row r="412" spans="1:23" ht="12.75" customHeight="1">
      <c r="A412" s="879"/>
      <c r="B412" s="879"/>
      <c r="C412" s="879"/>
      <c r="D412" s="879"/>
      <c r="E412" s="879"/>
      <c r="F412" s="879"/>
      <c r="G412" s="879"/>
      <c r="H412" s="879"/>
      <c r="I412" s="879"/>
      <c r="J412" s="879"/>
      <c r="K412" s="879"/>
      <c r="L412" s="879"/>
      <c r="M412" s="879"/>
      <c r="N412" s="879"/>
      <c r="O412" s="879"/>
      <c r="P412" s="879"/>
      <c r="Q412" s="879"/>
      <c r="R412" s="879"/>
      <c r="S412" s="879"/>
      <c r="T412" s="879"/>
      <c r="U412" s="879"/>
      <c r="V412" s="879"/>
      <c r="W412" s="879"/>
    </row>
    <row r="413" spans="1:23" ht="12.75" customHeight="1">
      <c r="A413" s="879"/>
      <c r="B413" s="879"/>
      <c r="C413" s="879"/>
      <c r="D413" s="879"/>
      <c r="E413" s="879"/>
      <c r="F413" s="879"/>
      <c r="G413" s="879"/>
      <c r="H413" s="879"/>
      <c r="I413" s="879"/>
      <c r="J413" s="879"/>
      <c r="K413" s="879"/>
      <c r="L413" s="879"/>
      <c r="M413" s="879"/>
      <c r="N413" s="879"/>
      <c r="O413" s="879"/>
      <c r="P413" s="879"/>
      <c r="Q413" s="879"/>
      <c r="R413" s="879"/>
      <c r="S413" s="879"/>
      <c r="T413" s="879"/>
      <c r="U413" s="879"/>
      <c r="V413" s="879"/>
      <c r="W413" s="879"/>
    </row>
    <row r="414" spans="1:23" ht="12.75" customHeight="1">
      <c r="A414" s="879"/>
      <c r="B414" s="879"/>
      <c r="C414" s="879"/>
      <c r="D414" s="879"/>
      <c r="E414" s="879"/>
      <c r="F414" s="879"/>
      <c r="G414" s="879"/>
      <c r="H414" s="879"/>
      <c r="I414" s="879"/>
      <c r="J414" s="879"/>
      <c r="K414" s="879"/>
      <c r="L414" s="879"/>
      <c r="M414" s="879"/>
      <c r="N414" s="879"/>
      <c r="O414" s="879"/>
      <c r="P414" s="879"/>
      <c r="Q414" s="879"/>
      <c r="R414" s="879"/>
      <c r="S414" s="879"/>
      <c r="T414" s="879"/>
      <c r="U414" s="879"/>
      <c r="V414" s="879"/>
      <c r="W414" s="879"/>
    </row>
    <row r="415" spans="1:23" ht="12.75" customHeight="1">
      <c r="A415" s="879"/>
      <c r="B415" s="879"/>
      <c r="C415" s="879"/>
      <c r="D415" s="879"/>
      <c r="E415" s="879"/>
      <c r="F415" s="879"/>
      <c r="G415" s="879"/>
      <c r="H415" s="879"/>
      <c r="I415" s="879"/>
      <c r="J415" s="879"/>
      <c r="K415" s="879"/>
      <c r="L415" s="879"/>
      <c r="M415" s="879"/>
      <c r="N415" s="879"/>
      <c r="O415" s="879"/>
      <c r="P415" s="879"/>
      <c r="Q415" s="879"/>
      <c r="R415" s="879"/>
      <c r="S415" s="879"/>
      <c r="T415" s="879"/>
      <c r="U415" s="879"/>
      <c r="V415" s="879"/>
      <c r="W415" s="879"/>
    </row>
    <row r="416" spans="1:23" ht="12.75" customHeight="1">
      <c r="A416" s="879"/>
      <c r="B416" s="879"/>
      <c r="C416" s="879"/>
      <c r="D416" s="879"/>
      <c r="E416" s="879"/>
      <c r="F416" s="879"/>
      <c r="G416" s="879"/>
      <c r="H416" s="879"/>
      <c r="I416" s="879"/>
      <c r="J416" s="879"/>
      <c r="K416" s="879"/>
      <c r="L416" s="879"/>
      <c r="M416" s="879"/>
      <c r="N416" s="879"/>
      <c r="O416" s="879"/>
      <c r="P416" s="879"/>
      <c r="Q416" s="879"/>
      <c r="R416" s="879"/>
      <c r="S416" s="879"/>
      <c r="T416" s="879"/>
      <c r="U416" s="879"/>
      <c r="V416" s="879"/>
      <c r="W416" s="879"/>
    </row>
    <row r="417" spans="1:23" ht="12.75" customHeight="1">
      <c r="A417" s="879"/>
      <c r="B417" s="879"/>
      <c r="C417" s="879"/>
      <c r="D417" s="879"/>
      <c r="E417" s="879"/>
      <c r="F417" s="879"/>
      <c r="G417" s="879"/>
      <c r="H417" s="879"/>
      <c r="I417" s="879"/>
      <c r="J417" s="879"/>
      <c r="K417" s="879"/>
      <c r="L417" s="879"/>
      <c r="M417" s="879"/>
      <c r="N417" s="879"/>
      <c r="O417" s="879"/>
      <c r="P417" s="879"/>
      <c r="Q417" s="879"/>
      <c r="R417" s="879"/>
      <c r="S417" s="879"/>
      <c r="T417" s="879"/>
      <c r="U417" s="879"/>
      <c r="V417" s="879"/>
      <c r="W417" s="879"/>
    </row>
    <row r="418" spans="1:23" ht="12.75" customHeight="1">
      <c r="A418" s="879"/>
      <c r="B418" s="879"/>
      <c r="C418" s="879"/>
      <c r="D418" s="879"/>
      <c r="E418" s="879"/>
      <c r="F418" s="879"/>
      <c r="G418" s="879"/>
      <c r="H418" s="879"/>
      <c r="I418" s="879"/>
      <c r="J418" s="879"/>
      <c r="K418" s="879"/>
      <c r="L418" s="879"/>
      <c r="M418" s="879"/>
      <c r="N418" s="879"/>
      <c r="O418" s="879"/>
      <c r="P418" s="879"/>
      <c r="Q418" s="879"/>
      <c r="R418" s="879"/>
      <c r="S418" s="879"/>
      <c r="T418" s="879"/>
      <c r="U418" s="879"/>
      <c r="V418" s="879"/>
      <c r="W418" s="879"/>
    </row>
    <row r="419" spans="1:23" ht="12.75" customHeight="1">
      <c r="A419" s="879"/>
      <c r="B419" s="879"/>
      <c r="C419" s="879"/>
      <c r="D419" s="879"/>
      <c r="E419" s="879"/>
      <c r="F419" s="879"/>
      <c r="G419" s="879"/>
      <c r="H419" s="879"/>
      <c r="I419" s="879"/>
      <c r="J419" s="879"/>
      <c r="K419" s="879"/>
      <c r="L419" s="879"/>
      <c r="M419" s="879"/>
      <c r="N419" s="879"/>
      <c r="O419" s="879"/>
      <c r="P419" s="879"/>
      <c r="Q419" s="879"/>
      <c r="R419" s="879"/>
      <c r="S419" s="879"/>
      <c r="T419" s="879"/>
      <c r="U419" s="879"/>
      <c r="V419" s="879"/>
      <c r="W419" s="879"/>
    </row>
    <row r="420" spans="1:23" ht="12.75" customHeight="1">
      <c r="A420" s="879"/>
      <c r="B420" s="879"/>
      <c r="C420" s="879"/>
      <c r="D420" s="879"/>
      <c r="E420" s="879"/>
      <c r="F420" s="879"/>
      <c r="G420" s="879"/>
      <c r="H420" s="879"/>
      <c r="I420" s="879"/>
      <c r="J420" s="879"/>
      <c r="K420" s="879"/>
      <c r="L420" s="879"/>
      <c r="M420" s="879"/>
      <c r="N420" s="879"/>
      <c r="O420" s="879"/>
      <c r="P420" s="879"/>
      <c r="Q420" s="879"/>
      <c r="R420" s="879"/>
      <c r="S420" s="879"/>
      <c r="T420" s="879"/>
      <c r="U420" s="879"/>
      <c r="V420" s="879"/>
      <c r="W420" s="879"/>
    </row>
    <row r="421" spans="1:23" ht="12.75" customHeight="1">
      <c r="A421" s="879"/>
      <c r="B421" s="879"/>
      <c r="C421" s="879"/>
      <c r="D421" s="879"/>
      <c r="E421" s="879"/>
      <c r="F421" s="879"/>
      <c r="G421" s="879"/>
      <c r="H421" s="879"/>
      <c r="I421" s="879"/>
      <c r="J421" s="879"/>
      <c r="K421" s="879"/>
      <c r="L421" s="879"/>
      <c r="M421" s="879"/>
      <c r="N421" s="879"/>
      <c r="O421" s="879"/>
      <c r="P421" s="879"/>
      <c r="Q421" s="879"/>
      <c r="R421" s="879"/>
      <c r="S421" s="879"/>
      <c r="T421" s="879"/>
      <c r="U421" s="879"/>
      <c r="V421" s="879"/>
      <c r="W421" s="879"/>
    </row>
    <row r="422" spans="1:23" ht="12.75" customHeight="1">
      <c r="A422" s="879"/>
      <c r="B422" s="879"/>
      <c r="C422" s="879"/>
      <c r="D422" s="879"/>
      <c r="E422" s="879"/>
      <c r="F422" s="879"/>
      <c r="G422" s="879"/>
      <c r="H422" s="879"/>
      <c r="I422" s="879"/>
      <c r="J422" s="879"/>
      <c r="K422" s="879"/>
      <c r="L422" s="879"/>
      <c r="M422" s="879"/>
      <c r="N422" s="879"/>
      <c r="O422" s="879"/>
      <c r="P422" s="879"/>
      <c r="Q422" s="879"/>
      <c r="R422" s="879"/>
      <c r="S422" s="879"/>
      <c r="T422" s="879"/>
      <c r="U422" s="879"/>
      <c r="V422" s="879"/>
      <c r="W422" s="879"/>
    </row>
    <row r="423" spans="1:23" ht="12.75" customHeight="1">
      <c r="A423" s="879"/>
      <c r="B423" s="879"/>
      <c r="C423" s="879"/>
      <c r="D423" s="879"/>
      <c r="E423" s="879"/>
      <c r="F423" s="879"/>
      <c r="G423" s="879"/>
      <c r="H423" s="879"/>
      <c r="I423" s="879"/>
      <c r="J423" s="879"/>
      <c r="K423" s="879"/>
      <c r="L423" s="879"/>
      <c r="M423" s="879"/>
      <c r="N423" s="879"/>
      <c r="O423" s="879"/>
      <c r="P423" s="879"/>
      <c r="Q423" s="879"/>
      <c r="R423" s="879"/>
      <c r="S423" s="879"/>
      <c r="T423" s="879"/>
      <c r="U423" s="879"/>
      <c r="V423" s="879"/>
      <c r="W423" s="879"/>
    </row>
    <row r="424" spans="1:23" ht="12.75" customHeight="1">
      <c r="A424" s="879"/>
      <c r="B424" s="879"/>
      <c r="C424" s="879"/>
      <c r="D424" s="879"/>
      <c r="E424" s="879"/>
      <c r="F424" s="879"/>
      <c r="G424" s="879"/>
      <c r="H424" s="879"/>
      <c r="I424" s="879"/>
      <c r="J424" s="879"/>
      <c r="K424" s="879"/>
      <c r="L424" s="879"/>
      <c r="M424" s="879"/>
      <c r="N424" s="879"/>
      <c r="O424" s="879"/>
      <c r="P424" s="879"/>
      <c r="Q424" s="879"/>
      <c r="R424" s="879"/>
      <c r="S424" s="879"/>
      <c r="T424" s="879"/>
      <c r="U424" s="879"/>
      <c r="V424" s="879"/>
      <c r="W424" s="879"/>
    </row>
    <row r="425" spans="1:23" ht="12.75" customHeight="1">
      <c r="A425" s="879"/>
      <c r="B425" s="879"/>
      <c r="C425" s="879"/>
      <c r="D425" s="879"/>
      <c r="E425" s="879"/>
      <c r="F425" s="879"/>
      <c r="G425" s="879"/>
      <c r="H425" s="879"/>
      <c r="I425" s="879"/>
      <c r="J425" s="879"/>
      <c r="K425" s="879"/>
      <c r="L425" s="879"/>
      <c r="M425" s="879"/>
      <c r="N425" s="879"/>
      <c r="O425" s="879"/>
      <c r="P425" s="879"/>
      <c r="Q425" s="879"/>
      <c r="R425" s="879"/>
      <c r="S425" s="879"/>
      <c r="T425" s="879"/>
      <c r="U425" s="879"/>
      <c r="V425" s="879"/>
      <c r="W425" s="879"/>
    </row>
    <row r="426" spans="1:23" ht="12.75" customHeight="1">
      <c r="A426" s="879"/>
      <c r="B426" s="879"/>
      <c r="C426" s="879"/>
      <c r="D426" s="879"/>
      <c r="E426" s="879"/>
      <c r="F426" s="879"/>
      <c r="G426" s="879"/>
      <c r="H426" s="879"/>
      <c r="I426" s="879"/>
      <c r="J426" s="879"/>
      <c r="K426" s="879"/>
      <c r="L426" s="879"/>
      <c r="M426" s="879"/>
      <c r="N426" s="879"/>
      <c r="O426" s="879"/>
      <c r="P426" s="879"/>
      <c r="Q426" s="879"/>
      <c r="R426" s="879"/>
      <c r="S426" s="879"/>
      <c r="T426" s="879"/>
      <c r="U426" s="879"/>
      <c r="V426" s="879"/>
      <c r="W426" s="879"/>
    </row>
    <row r="427" spans="1:23" ht="12.75" customHeight="1">
      <c r="A427" s="879"/>
      <c r="B427" s="879"/>
      <c r="C427" s="879"/>
      <c r="D427" s="879"/>
      <c r="E427" s="879"/>
      <c r="F427" s="879"/>
      <c r="G427" s="879"/>
      <c r="H427" s="879"/>
      <c r="I427" s="879"/>
      <c r="J427" s="879"/>
      <c r="K427" s="879"/>
      <c r="L427" s="879"/>
      <c r="M427" s="879"/>
      <c r="N427" s="879"/>
      <c r="O427" s="879"/>
      <c r="P427" s="879"/>
      <c r="Q427" s="879"/>
      <c r="R427" s="879"/>
      <c r="S427" s="879"/>
      <c r="T427" s="879"/>
      <c r="U427" s="879"/>
      <c r="V427" s="879"/>
      <c r="W427" s="879"/>
    </row>
    <row r="428" spans="1:23" ht="12.75" customHeight="1">
      <c r="A428" s="879"/>
      <c r="B428" s="879"/>
      <c r="C428" s="879"/>
      <c r="D428" s="879"/>
      <c r="E428" s="879"/>
      <c r="F428" s="879"/>
      <c r="G428" s="879"/>
      <c r="H428" s="879"/>
      <c r="I428" s="879"/>
      <c r="J428" s="879"/>
      <c r="K428" s="879"/>
      <c r="L428" s="879"/>
      <c r="M428" s="879"/>
      <c r="N428" s="879"/>
      <c r="O428" s="879"/>
      <c r="P428" s="879"/>
      <c r="Q428" s="879"/>
      <c r="R428" s="879"/>
      <c r="S428" s="879"/>
      <c r="T428" s="879"/>
      <c r="U428" s="879"/>
      <c r="V428" s="879"/>
      <c r="W428" s="879"/>
    </row>
    <row r="429" spans="1:23" ht="12.75" customHeight="1">
      <c r="A429" s="879"/>
      <c r="B429" s="879"/>
      <c r="C429" s="879"/>
      <c r="D429" s="879"/>
      <c r="E429" s="879"/>
      <c r="F429" s="879"/>
      <c r="G429" s="879"/>
      <c r="H429" s="879"/>
      <c r="I429" s="879"/>
      <c r="J429" s="879"/>
      <c r="K429" s="879"/>
      <c r="L429" s="879"/>
      <c r="M429" s="879"/>
      <c r="N429" s="879"/>
      <c r="O429" s="879"/>
      <c r="P429" s="879"/>
      <c r="Q429" s="879"/>
      <c r="R429" s="879"/>
      <c r="S429" s="879"/>
      <c r="T429" s="879"/>
      <c r="U429" s="879"/>
      <c r="V429" s="879"/>
      <c r="W429" s="879"/>
    </row>
    <row r="430" spans="1:23" ht="12.75" customHeight="1">
      <c r="A430" s="879"/>
      <c r="B430" s="879"/>
      <c r="C430" s="879"/>
      <c r="D430" s="879"/>
      <c r="E430" s="879"/>
      <c r="F430" s="879"/>
      <c r="G430" s="879"/>
      <c r="H430" s="879"/>
      <c r="I430" s="879"/>
      <c r="J430" s="879"/>
      <c r="K430" s="879"/>
      <c r="L430" s="879"/>
      <c r="M430" s="879"/>
      <c r="N430" s="879"/>
      <c r="O430" s="879"/>
      <c r="P430" s="879"/>
      <c r="Q430" s="879"/>
      <c r="R430" s="879"/>
      <c r="S430" s="879"/>
      <c r="T430" s="879"/>
      <c r="U430" s="879"/>
      <c r="V430" s="879"/>
      <c r="W430" s="879"/>
    </row>
    <row r="431" spans="1:23" ht="12.75" customHeight="1">
      <c r="A431" s="879"/>
      <c r="B431" s="879"/>
      <c r="C431" s="879"/>
      <c r="D431" s="879"/>
      <c r="E431" s="879"/>
      <c r="F431" s="879"/>
      <c r="G431" s="879"/>
      <c r="H431" s="879"/>
      <c r="I431" s="879"/>
      <c r="J431" s="879"/>
      <c r="K431" s="879"/>
      <c r="L431" s="879"/>
      <c r="M431" s="879"/>
      <c r="N431" s="879"/>
      <c r="O431" s="879"/>
      <c r="P431" s="879"/>
      <c r="Q431" s="879"/>
      <c r="R431" s="879"/>
      <c r="S431" s="879"/>
      <c r="T431" s="879"/>
      <c r="U431" s="879"/>
      <c r="V431" s="879"/>
      <c r="W431" s="879"/>
    </row>
    <row r="432" spans="1:23" ht="12.75" customHeight="1">
      <c r="A432" s="879"/>
      <c r="B432" s="879"/>
      <c r="C432" s="879"/>
      <c r="D432" s="879"/>
      <c r="E432" s="879"/>
      <c r="F432" s="879"/>
      <c r="G432" s="879"/>
      <c r="H432" s="879"/>
      <c r="I432" s="879"/>
      <c r="J432" s="879"/>
      <c r="K432" s="879"/>
      <c r="L432" s="879"/>
      <c r="M432" s="879"/>
      <c r="N432" s="879"/>
      <c r="O432" s="879"/>
      <c r="P432" s="879"/>
      <c r="Q432" s="879"/>
      <c r="R432" s="879"/>
      <c r="S432" s="879"/>
      <c r="T432" s="879"/>
      <c r="U432" s="879"/>
      <c r="V432" s="879"/>
      <c r="W432" s="879"/>
    </row>
    <row r="433" spans="1:23" ht="12.75" customHeight="1">
      <c r="A433" s="879"/>
      <c r="B433" s="879"/>
      <c r="C433" s="879"/>
      <c r="D433" s="879"/>
      <c r="E433" s="879"/>
      <c r="F433" s="879"/>
      <c r="G433" s="879"/>
      <c r="H433" s="879"/>
      <c r="I433" s="879"/>
      <c r="J433" s="879"/>
      <c r="K433" s="879"/>
      <c r="L433" s="879"/>
      <c r="M433" s="879"/>
      <c r="N433" s="879"/>
      <c r="O433" s="879"/>
      <c r="P433" s="879"/>
      <c r="Q433" s="879"/>
      <c r="R433" s="879"/>
      <c r="S433" s="879"/>
      <c r="T433" s="879"/>
      <c r="U433" s="879"/>
      <c r="V433" s="879"/>
      <c r="W433" s="879"/>
    </row>
    <row r="434" spans="1:23" ht="12.75" customHeight="1">
      <c r="A434" s="879"/>
      <c r="B434" s="879"/>
      <c r="C434" s="879"/>
      <c r="D434" s="879"/>
      <c r="E434" s="879"/>
      <c r="F434" s="879"/>
      <c r="G434" s="879"/>
      <c r="H434" s="879"/>
      <c r="I434" s="879"/>
      <c r="J434" s="879"/>
      <c r="K434" s="879"/>
      <c r="L434" s="879"/>
      <c r="M434" s="879"/>
      <c r="N434" s="879"/>
      <c r="O434" s="879"/>
      <c r="P434" s="879"/>
      <c r="Q434" s="879"/>
      <c r="R434" s="879"/>
      <c r="S434" s="879"/>
      <c r="T434" s="879"/>
      <c r="U434" s="879"/>
      <c r="V434" s="879"/>
      <c r="W434" s="879"/>
    </row>
    <row r="435" spans="1:23" ht="12.75" customHeight="1">
      <c r="A435" s="879"/>
      <c r="B435" s="879"/>
      <c r="C435" s="879"/>
      <c r="D435" s="879"/>
      <c r="E435" s="879"/>
      <c r="F435" s="879"/>
      <c r="G435" s="879"/>
      <c r="H435" s="879"/>
      <c r="I435" s="879"/>
      <c r="J435" s="879"/>
      <c r="K435" s="879"/>
      <c r="L435" s="879"/>
      <c r="M435" s="879"/>
      <c r="N435" s="879"/>
      <c r="O435" s="879"/>
      <c r="P435" s="879"/>
      <c r="Q435" s="879"/>
      <c r="R435" s="879"/>
      <c r="S435" s="879"/>
      <c r="T435" s="879"/>
      <c r="U435" s="879"/>
      <c r="V435" s="879"/>
      <c r="W435" s="879"/>
    </row>
    <row r="436" spans="1:23" ht="12.75" customHeight="1">
      <c r="A436" s="879"/>
      <c r="B436" s="879"/>
      <c r="C436" s="879"/>
      <c r="D436" s="879"/>
      <c r="E436" s="879"/>
      <c r="F436" s="879"/>
      <c r="G436" s="879"/>
      <c r="H436" s="879"/>
      <c r="I436" s="879"/>
      <c r="J436" s="879"/>
      <c r="K436" s="879"/>
      <c r="L436" s="879"/>
      <c r="M436" s="879"/>
      <c r="N436" s="879"/>
      <c r="O436" s="879"/>
      <c r="P436" s="879"/>
      <c r="Q436" s="879"/>
      <c r="R436" s="879"/>
      <c r="S436" s="879"/>
      <c r="T436" s="879"/>
      <c r="U436" s="879"/>
      <c r="V436" s="879"/>
      <c r="W436" s="879"/>
    </row>
    <row r="437" spans="1:23" ht="12.75" customHeight="1">
      <c r="A437" s="879"/>
      <c r="B437" s="879"/>
      <c r="C437" s="879"/>
      <c r="D437" s="879"/>
      <c r="E437" s="879"/>
      <c r="F437" s="879"/>
      <c r="G437" s="879"/>
      <c r="H437" s="879"/>
      <c r="I437" s="879"/>
      <c r="J437" s="879"/>
      <c r="K437" s="879"/>
      <c r="L437" s="879"/>
      <c r="M437" s="879"/>
      <c r="N437" s="879"/>
      <c r="O437" s="879"/>
      <c r="P437" s="879"/>
      <c r="Q437" s="879"/>
      <c r="R437" s="879"/>
      <c r="S437" s="879"/>
      <c r="T437" s="879"/>
      <c r="U437" s="879"/>
      <c r="V437" s="879"/>
      <c r="W437" s="879"/>
    </row>
    <row r="438" spans="1:23" ht="12.75" customHeight="1">
      <c r="A438" s="879"/>
      <c r="B438" s="879"/>
      <c r="C438" s="879"/>
      <c r="D438" s="879"/>
      <c r="E438" s="879"/>
      <c r="F438" s="879"/>
      <c r="G438" s="879"/>
      <c r="H438" s="879"/>
      <c r="I438" s="879"/>
      <c r="J438" s="879"/>
      <c r="K438" s="879"/>
      <c r="L438" s="879"/>
      <c r="M438" s="879"/>
      <c r="N438" s="879"/>
      <c r="O438" s="879"/>
      <c r="P438" s="879"/>
      <c r="Q438" s="879"/>
      <c r="R438" s="879"/>
      <c r="S438" s="879"/>
      <c r="T438" s="879"/>
      <c r="U438" s="879"/>
      <c r="V438" s="879"/>
      <c r="W438" s="879"/>
    </row>
    <row r="439" spans="1:23" ht="12.75" customHeight="1">
      <c r="A439" s="879"/>
      <c r="B439" s="879"/>
      <c r="C439" s="879"/>
      <c r="D439" s="879"/>
      <c r="E439" s="879"/>
      <c r="F439" s="879"/>
      <c r="G439" s="879"/>
      <c r="H439" s="879"/>
      <c r="I439" s="879"/>
      <c r="J439" s="879"/>
      <c r="K439" s="879"/>
      <c r="L439" s="879"/>
      <c r="M439" s="879"/>
      <c r="N439" s="879"/>
      <c r="O439" s="879"/>
      <c r="P439" s="879"/>
      <c r="Q439" s="879"/>
      <c r="R439" s="879"/>
      <c r="S439" s="879"/>
      <c r="T439" s="879"/>
      <c r="U439" s="879"/>
      <c r="V439" s="879"/>
      <c r="W439" s="879"/>
    </row>
    <row r="440" spans="1:23" ht="12.75" customHeight="1">
      <c r="A440" s="879"/>
      <c r="B440" s="879"/>
      <c r="C440" s="879"/>
      <c r="D440" s="879"/>
      <c r="E440" s="879"/>
      <c r="F440" s="879"/>
      <c r="G440" s="879"/>
      <c r="H440" s="879"/>
      <c r="I440" s="879"/>
      <c r="J440" s="879"/>
      <c r="K440" s="879"/>
      <c r="L440" s="879"/>
      <c r="M440" s="879"/>
      <c r="N440" s="879"/>
      <c r="O440" s="879"/>
      <c r="P440" s="879"/>
      <c r="Q440" s="879"/>
      <c r="R440" s="879"/>
      <c r="S440" s="879"/>
      <c r="T440" s="879"/>
      <c r="U440" s="879"/>
      <c r="V440" s="879"/>
      <c r="W440" s="879"/>
    </row>
    <row r="441" spans="1:23" ht="12.75" customHeight="1">
      <c r="A441" s="879"/>
      <c r="B441" s="879"/>
      <c r="C441" s="879"/>
      <c r="D441" s="879"/>
      <c r="E441" s="879"/>
      <c r="F441" s="879"/>
      <c r="G441" s="879"/>
      <c r="H441" s="879"/>
      <c r="I441" s="879"/>
      <c r="J441" s="879"/>
      <c r="K441" s="879"/>
      <c r="L441" s="879"/>
      <c r="M441" s="879"/>
      <c r="N441" s="879"/>
      <c r="O441" s="879"/>
      <c r="P441" s="879"/>
      <c r="Q441" s="879"/>
      <c r="R441" s="879"/>
      <c r="S441" s="879"/>
      <c r="T441" s="879"/>
      <c r="U441" s="879"/>
      <c r="V441" s="879"/>
      <c r="W441" s="879"/>
    </row>
    <row r="442" spans="1:23" ht="12.75" customHeight="1">
      <c r="A442" s="879"/>
      <c r="B442" s="879"/>
      <c r="C442" s="879"/>
      <c r="D442" s="879"/>
      <c r="E442" s="879"/>
      <c r="F442" s="879"/>
      <c r="G442" s="879"/>
      <c r="H442" s="879"/>
      <c r="I442" s="879"/>
      <c r="J442" s="879"/>
      <c r="K442" s="879"/>
      <c r="L442" s="879"/>
      <c r="M442" s="879"/>
      <c r="N442" s="879"/>
      <c r="O442" s="879"/>
      <c r="P442" s="879"/>
      <c r="Q442" s="879"/>
      <c r="R442" s="879"/>
      <c r="S442" s="879"/>
      <c r="T442" s="879"/>
      <c r="U442" s="879"/>
      <c r="V442" s="879"/>
      <c r="W442" s="879"/>
    </row>
    <row r="443" spans="1:23" ht="12.75" customHeight="1">
      <c r="A443" s="879"/>
      <c r="B443" s="879"/>
      <c r="C443" s="879"/>
      <c r="D443" s="879"/>
      <c r="E443" s="879"/>
      <c r="F443" s="879"/>
      <c r="G443" s="879"/>
      <c r="H443" s="879"/>
      <c r="I443" s="879"/>
      <c r="J443" s="879"/>
      <c r="K443" s="879"/>
      <c r="L443" s="879"/>
      <c r="M443" s="879"/>
      <c r="N443" s="879"/>
      <c r="O443" s="879"/>
      <c r="P443" s="879"/>
      <c r="Q443" s="879"/>
      <c r="R443" s="879"/>
      <c r="S443" s="879"/>
      <c r="T443" s="879"/>
      <c r="U443" s="879"/>
      <c r="V443" s="879"/>
      <c r="W443" s="879"/>
    </row>
    <row r="444" spans="1:23" ht="12.75" customHeight="1">
      <c r="A444" s="879"/>
      <c r="B444" s="879"/>
      <c r="C444" s="879"/>
      <c r="D444" s="879"/>
      <c r="E444" s="879"/>
      <c r="F444" s="879"/>
      <c r="G444" s="879"/>
      <c r="H444" s="879"/>
      <c r="I444" s="879"/>
      <c r="J444" s="879"/>
      <c r="K444" s="879"/>
      <c r="L444" s="879"/>
      <c r="M444" s="879"/>
      <c r="N444" s="879"/>
      <c r="O444" s="879"/>
      <c r="P444" s="879"/>
      <c r="Q444" s="879"/>
      <c r="R444" s="879"/>
      <c r="S444" s="879"/>
      <c r="T444" s="879"/>
      <c r="U444" s="879"/>
      <c r="V444" s="879"/>
      <c r="W444" s="879"/>
    </row>
    <row r="445" spans="1:23" ht="12.75" customHeight="1">
      <c r="A445" s="879"/>
      <c r="B445" s="879"/>
      <c r="C445" s="879"/>
      <c r="D445" s="879"/>
      <c r="E445" s="879"/>
      <c r="F445" s="879"/>
      <c r="G445" s="879"/>
      <c r="H445" s="879"/>
      <c r="I445" s="879"/>
      <c r="J445" s="879"/>
      <c r="K445" s="879"/>
      <c r="L445" s="879"/>
      <c r="M445" s="879"/>
      <c r="N445" s="879"/>
      <c r="O445" s="879"/>
      <c r="P445" s="879"/>
      <c r="Q445" s="879"/>
      <c r="R445" s="879"/>
      <c r="S445" s="879"/>
      <c r="T445" s="879"/>
      <c r="U445" s="879"/>
      <c r="V445" s="879"/>
      <c r="W445" s="879"/>
    </row>
    <row r="446" spans="1:23" ht="12.75" customHeight="1">
      <c r="A446" s="879"/>
      <c r="B446" s="879"/>
      <c r="C446" s="879"/>
      <c r="D446" s="879"/>
      <c r="E446" s="879"/>
      <c r="F446" s="879"/>
      <c r="G446" s="879"/>
      <c r="H446" s="879"/>
      <c r="I446" s="879"/>
      <c r="J446" s="879"/>
      <c r="K446" s="879"/>
      <c r="L446" s="879"/>
      <c r="M446" s="879"/>
      <c r="N446" s="879"/>
      <c r="O446" s="879"/>
      <c r="P446" s="879"/>
      <c r="Q446" s="879"/>
      <c r="R446" s="879"/>
      <c r="S446" s="879"/>
      <c r="T446" s="879"/>
      <c r="U446" s="879"/>
      <c r="V446" s="879"/>
      <c r="W446" s="879"/>
    </row>
    <row r="447" spans="1:23" ht="12.75" customHeight="1">
      <c r="A447" s="879"/>
      <c r="B447" s="879"/>
      <c r="C447" s="879"/>
      <c r="D447" s="879"/>
      <c r="E447" s="879"/>
      <c r="F447" s="879"/>
      <c r="G447" s="879"/>
      <c r="H447" s="879"/>
      <c r="I447" s="879"/>
      <c r="J447" s="879"/>
      <c r="K447" s="879"/>
      <c r="L447" s="879"/>
      <c r="M447" s="879"/>
      <c r="N447" s="879"/>
      <c r="O447" s="879"/>
      <c r="P447" s="879"/>
      <c r="Q447" s="879"/>
      <c r="R447" s="879"/>
      <c r="S447" s="879"/>
      <c r="T447" s="879"/>
      <c r="U447" s="879"/>
      <c r="V447" s="879"/>
      <c r="W447" s="879"/>
    </row>
    <row r="448" spans="1:23" ht="12.75" customHeight="1">
      <c r="A448" s="879"/>
      <c r="B448" s="879"/>
      <c r="C448" s="879"/>
      <c r="D448" s="879"/>
      <c r="E448" s="879"/>
      <c r="F448" s="879"/>
      <c r="G448" s="879"/>
      <c r="H448" s="879"/>
      <c r="I448" s="879"/>
      <c r="J448" s="879"/>
      <c r="K448" s="879"/>
      <c r="L448" s="879"/>
      <c r="M448" s="879"/>
      <c r="N448" s="879"/>
      <c r="O448" s="879"/>
      <c r="P448" s="879"/>
      <c r="Q448" s="879"/>
      <c r="R448" s="879"/>
      <c r="S448" s="879"/>
      <c r="T448" s="879"/>
      <c r="U448" s="879"/>
      <c r="V448" s="879"/>
      <c r="W448" s="879"/>
    </row>
    <row r="449" spans="1:23" ht="12.75" customHeight="1">
      <c r="A449" s="879"/>
      <c r="B449" s="879"/>
      <c r="C449" s="879"/>
      <c r="D449" s="879"/>
      <c r="E449" s="879"/>
      <c r="F449" s="879"/>
      <c r="G449" s="879"/>
      <c r="H449" s="879"/>
      <c r="I449" s="879"/>
      <c r="J449" s="879"/>
      <c r="K449" s="879"/>
      <c r="L449" s="879"/>
      <c r="M449" s="879"/>
      <c r="N449" s="879"/>
      <c r="O449" s="879"/>
      <c r="P449" s="879"/>
      <c r="Q449" s="879"/>
      <c r="R449" s="879"/>
      <c r="S449" s="879"/>
      <c r="T449" s="879"/>
      <c r="U449" s="879"/>
      <c r="V449" s="879"/>
      <c r="W449" s="879"/>
    </row>
    <row r="450" spans="1:23" ht="12.75" customHeight="1">
      <c r="A450" s="879"/>
      <c r="B450" s="879"/>
      <c r="C450" s="879"/>
      <c r="D450" s="879"/>
      <c r="E450" s="879"/>
      <c r="F450" s="879"/>
      <c r="G450" s="879"/>
      <c r="H450" s="879"/>
      <c r="I450" s="879"/>
      <c r="J450" s="879"/>
      <c r="K450" s="879"/>
      <c r="L450" s="879"/>
      <c r="M450" s="879"/>
      <c r="N450" s="879"/>
      <c r="O450" s="879"/>
      <c r="P450" s="879"/>
      <c r="Q450" s="879"/>
      <c r="R450" s="879"/>
      <c r="S450" s="879"/>
      <c r="T450" s="879"/>
      <c r="U450" s="879"/>
      <c r="V450" s="879"/>
      <c r="W450" s="879"/>
    </row>
    <row r="451" spans="1:23" ht="12.75" customHeight="1">
      <c r="A451" s="879"/>
      <c r="B451" s="879"/>
      <c r="C451" s="879"/>
      <c r="D451" s="879"/>
      <c r="E451" s="879"/>
      <c r="F451" s="879"/>
      <c r="G451" s="879"/>
      <c r="H451" s="879"/>
      <c r="I451" s="879"/>
      <c r="J451" s="879"/>
      <c r="K451" s="879"/>
      <c r="L451" s="879"/>
      <c r="M451" s="879"/>
      <c r="N451" s="879"/>
      <c r="O451" s="879"/>
      <c r="P451" s="879"/>
      <c r="Q451" s="879"/>
      <c r="R451" s="879"/>
      <c r="S451" s="879"/>
      <c r="T451" s="879"/>
      <c r="U451" s="879"/>
      <c r="V451" s="879"/>
      <c r="W451" s="879"/>
    </row>
    <row r="452" spans="1:23" ht="12.75" customHeight="1">
      <c r="A452" s="879"/>
      <c r="B452" s="879"/>
      <c r="C452" s="879"/>
      <c r="D452" s="879"/>
      <c r="E452" s="879"/>
      <c r="F452" s="879"/>
      <c r="G452" s="879"/>
      <c r="H452" s="879"/>
      <c r="I452" s="879"/>
      <c r="J452" s="879"/>
      <c r="K452" s="879"/>
      <c r="L452" s="879"/>
      <c r="M452" s="879"/>
      <c r="N452" s="879"/>
      <c r="O452" s="879"/>
      <c r="P452" s="879"/>
      <c r="Q452" s="879"/>
      <c r="R452" s="879"/>
      <c r="S452" s="879"/>
      <c r="T452" s="879"/>
      <c r="U452" s="879"/>
      <c r="V452" s="879"/>
      <c r="W452" s="879"/>
    </row>
    <row r="453" spans="1:23" ht="12.75" customHeight="1">
      <c r="A453" s="879"/>
      <c r="B453" s="879"/>
      <c r="C453" s="879"/>
      <c r="D453" s="879"/>
      <c r="E453" s="879"/>
      <c r="F453" s="879"/>
      <c r="G453" s="879"/>
      <c r="H453" s="879"/>
      <c r="I453" s="879"/>
      <c r="J453" s="879"/>
      <c r="K453" s="879"/>
      <c r="L453" s="879"/>
      <c r="M453" s="879"/>
      <c r="N453" s="879"/>
      <c r="O453" s="879"/>
      <c r="P453" s="879"/>
      <c r="Q453" s="879"/>
      <c r="R453" s="879"/>
      <c r="S453" s="879"/>
      <c r="T453" s="879"/>
      <c r="U453" s="879"/>
      <c r="V453" s="879"/>
      <c r="W453" s="879"/>
    </row>
    <row r="454" spans="1:23" ht="12.75" customHeight="1">
      <c r="A454" s="879"/>
      <c r="B454" s="879"/>
      <c r="C454" s="879"/>
      <c r="D454" s="879"/>
      <c r="E454" s="879"/>
      <c r="F454" s="879"/>
      <c r="G454" s="879"/>
      <c r="H454" s="879"/>
      <c r="I454" s="879"/>
      <c r="J454" s="879"/>
      <c r="K454" s="879"/>
      <c r="L454" s="879"/>
      <c r="M454" s="879"/>
      <c r="N454" s="879"/>
      <c r="O454" s="879"/>
      <c r="P454" s="879"/>
      <c r="Q454" s="879"/>
      <c r="R454" s="879"/>
      <c r="S454" s="879"/>
      <c r="T454" s="879"/>
      <c r="U454" s="879"/>
      <c r="V454" s="879"/>
      <c r="W454" s="879"/>
    </row>
    <row r="455" spans="1:23" ht="12.75" customHeight="1">
      <c r="A455" s="879"/>
      <c r="B455" s="879"/>
      <c r="C455" s="879"/>
      <c r="D455" s="879"/>
      <c r="E455" s="879"/>
      <c r="F455" s="879"/>
      <c r="G455" s="879"/>
      <c r="H455" s="879"/>
      <c r="I455" s="879"/>
      <c r="J455" s="879"/>
      <c r="K455" s="879"/>
      <c r="L455" s="879"/>
      <c r="M455" s="879"/>
      <c r="N455" s="879"/>
      <c r="O455" s="879"/>
      <c r="P455" s="879"/>
      <c r="Q455" s="879"/>
      <c r="R455" s="879"/>
      <c r="S455" s="879"/>
      <c r="T455" s="879"/>
      <c r="U455" s="879"/>
      <c r="V455" s="879"/>
      <c r="W455" s="879"/>
    </row>
    <row r="456" spans="1:23" ht="12.75" customHeight="1">
      <c r="A456" s="879"/>
      <c r="B456" s="879"/>
      <c r="C456" s="879"/>
      <c r="D456" s="879"/>
      <c r="E456" s="879"/>
      <c r="F456" s="879"/>
      <c r="G456" s="879"/>
      <c r="H456" s="879"/>
      <c r="I456" s="879"/>
      <c r="J456" s="879"/>
      <c r="K456" s="879"/>
      <c r="L456" s="879"/>
      <c r="M456" s="879"/>
      <c r="N456" s="879"/>
      <c r="O456" s="879"/>
      <c r="P456" s="879"/>
      <c r="Q456" s="879"/>
      <c r="R456" s="879"/>
      <c r="S456" s="879"/>
      <c r="T456" s="879"/>
      <c r="U456" s="879"/>
      <c r="V456" s="879"/>
      <c r="W456" s="879"/>
    </row>
    <row r="457" spans="1:23" ht="12.75" customHeight="1">
      <c r="A457" s="879"/>
      <c r="B457" s="879"/>
      <c r="C457" s="879"/>
      <c r="D457" s="879"/>
      <c r="E457" s="879"/>
      <c r="F457" s="879"/>
      <c r="G457" s="879"/>
      <c r="H457" s="879"/>
      <c r="I457" s="879"/>
      <c r="J457" s="879"/>
      <c r="K457" s="879"/>
      <c r="L457" s="879"/>
      <c r="M457" s="879"/>
      <c r="N457" s="879"/>
      <c r="O457" s="879"/>
      <c r="P457" s="879"/>
      <c r="Q457" s="879"/>
      <c r="R457" s="879"/>
      <c r="S457" s="879"/>
      <c r="T457" s="879"/>
      <c r="U457" s="879"/>
      <c r="V457" s="879"/>
      <c r="W457" s="879"/>
    </row>
    <row r="458" spans="1:23" ht="12.75" customHeight="1">
      <c r="A458" s="879"/>
      <c r="B458" s="879"/>
      <c r="C458" s="879"/>
      <c r="D458" s="879"/>
      <c r="E458" s="879"/>
      <c r="F458" s="879"/>
      <c r="G458" s="879"/>
      <c r="H458" s="879"/>
      <c r="I458" s="879"/>
      <c r="J458" s="879"/>
      <c r="K458" s="879"/>
      <c r="L458" s="879"/>
      <c r="M458" s="879"/>
      <c r="N458" s="879"/>
      <c r="O458" s="879"/>
      <c r="P458" s="879"/>
      <c r="Q458" s="879"/>
      <c r="R458" s="879"/>
      <c r="S458" s="879"/>
      <c r="T458" s="879"/>
      <c r="U458" s="879"/>
      <c r="V458" s="879"/>
      <c r="W458" s="879"/>
    </row>
    <row r="459" spans="1:23" ht="12.75" customHeight="1">
      <c r="A459" s="879"/>
      <c r="B459" s="879"/>
      <c r="C459" s="879"/>
      <c r="D459" s="879"/>
      <c r="E459" s="879"/>
      <c r="F459" s="879"/>
      <c r="G459" s="879"/>
      <c r="H459" s="879"/>
      <c r="I459" s="879"/>
      <c r="J459" s="879"/>
      <c r="K459" s="879"/>
      <c r="L459" s="879"/>
      <c r="M459" s="879"/>
      <c r="N459" s="879"/>
      <c r="O459" s="879"/>
      <c r="P459" s="879"/>
      <c r="Q459" s="879"/>
      <c r="R459" s="879"/>
      <c r="S459" s="879"/>
      <c r="T459" s="879"/>
      <c r="U459" s="879"/>
      <c r="V459" s="879"/>
      <c r="W459" s="879"/>
    </row>
    <row r="460" spans="1:23" ht="12.75" customHeight="1">
      <c r="A460" s="879"/>
      <c r="B460" s="879"/>
      <c r="C460" s="879"/>
      <c r="D460" s="879"/>
      <c r="E460" s="879"/>
      <c r="F460" s="879"/>
      <c r="G460" s="879"/>
      <c r="H460" s="879"/>
      <c r="I460" s="879"/>
      <c r="J460" s="879"/>
      <c r="K460" s="879"/>
      <c r="L460" s="879"/>
      <c r="M460" s="879"/>
      <c r="N460" s="879"/>
      <c r="O460" s="879"/>
      <c r="P460" s="879"/>
      <c r="Q460" s="879"/>
      <c r="R460" s="879"/>
      <c r="S460" s="879"/>
      <c r="T460" s="879"/>
      <c r="U460" s="879"/>
      <c r="V460" s="879"/>
      <c r="W460" s="879"/>
    </row>
    <row r="461" spans="1:23" ht="12.75" customHeight="1">
      <c r="A461" s="879"/>
      <c r="B461" s="879"/>
      <c r="C461" s="879"/>
      <c r="D461" s="879"/>
      <c r="E461" s="879"/>
      <c r="F461" s="879"/>
      <c r="G461" s="879"/>
      <c r="H461" s="879"/>
      <c r="I461" s="879"/>
      <c r="J461" s="879"/>
      <c r="K461" s="879"/>
      <c r="L461" s="879"/>
      <c r="M461" s="879"/>
      <c r="N461" s="879"/>
      <c r="O461" s="879"/>
      <c r="P461" s="879"/>
      <c r="Q461" s="879"/>
      <c r="R461" s="879"/>
      <c r="S461" s="879"/>
      <c r="T461" s="879"/>
      <c r="U461" s="879"/>
      <c r="V461" s="879"/>
      <c r="W461" s="879"/>
    </row>
    <row r="462" spans="1:23" ht="12.75" customHeight="1">
      <c r="A462" s="879"/>
      <c r="B462" s="879"/>
      <c r="C462" s="879"/>
      <c r="D462" s="879"/>
      <c r="E462" s="879"/>
      <c r="F462" s="879"/>
      <c r="G462" s="879"/>
      <c r="H462" s="879"/>
      <c r="I462" s="879"/>
      <c r="J462" s="879"/>
      <c r="K462" s="879"/>
      <c r="L462" s="879"/>
      <c r="M462" s="879"/>
      <c r="N462" s="879"/>
      <c r="O462" s="879"/>
      <c r="P462" s="879"/>
      <c r="Q462" s="879"/>
      <c r="R462" s="879"/>
      <c r="S462" s="879"/>
      <c r="T462" s="879"/>
      <c r="U462" s="879"/>
      <c r="V462" s="879"/>
      <c r="W462" s="879"/>
    </row>
    <row r="463" spans="1:23" ht="12.75" customHeight="1">
      <c r="A463" s="879"/>
      <c r="B463" s="879"/>
      <c r="C463" s="879"/>
      <c r="D463" s="879"/>
      <c r="E463" s="879"/>
      <c r="F463" s="879"/>
      <c r="G463" s="879"/>
      <c r="H463" s="879"/>
      <c r="I463" s="879"/>
      <c r="J463" s="879"/>
      <c r="K463" s="879"/>
      <c r="L463" s="879"/>
      <c r="M463" s="879"/>
      <c r="N463" s="879"/>
      <c r="O463" s="879"/>
      <c r="P463" s="879"/>
      <c r="Q463" s="879"/>
      <c r="R463" s="879"/>
      <c r="S463" s="879"/>
      <c r="T463" s="879"/>
      <c r="U463" s="879"/>
      <c r="V463" s="879"/>
      <c r="W463" s="879"/>
    </row>
    <row r="464" spans="1:23" ht="12.75" customHeight="1">
      <c r="A464" s="879"/>
      <c r="B464" s="879"/>
      <c r="C464" s="879"/>
      <c r="D464" s="879"/>
      <c r="E464" s="879"/>
      <c r="F464" s="879"/>
      <c r="G464" s="879"/>
      <c r="H464" s="879"/>
      <c r="I464" s="879"/>
      <c r="J464" s="879"/>
      <c r="K464" s="879"/>
      <c r="L464" s="879"/>
      <c r="M464" s="879"/>
      <c r="N464" s="879"/>
      <c r="O464" s="879"/>
      <c r="P464" s="879"/>
      <c r="Q464" s="879"/>
      <c r="R464" s="879"/>
      <c r="S464" s="879"/>
      <c r="T464" s="879"/>
      <c r="U464" s="879"/>
      <c r="V464" s="879"/>
      <c r="W464" s="879"/>
    </row>
    <row r="465" spans="1:23" ht="12.75" customHeight="1">
      <c r="A465" s="879"/>
      <c r="B465" s="879"/>
      <c r="C465" s="879"/>
      <c r="D465" s="879"/>
      <c r="E465" s="879"/>
      <c r="F465" s="879"/>
      <c r="G465" s="879"/>
      <c r="H465" s="879"/>
      <c r="I465" s="879"/>
      <c r="J465" s="879"/>
      <c r="K465" s="879"/>
      <c r="L465" s="879"/>
      <c r="M465" s="879"/>
      <c r="N465" s="879"/>
      <c r="O465" s="879"/>
      <c r="P465" s="879"/>
      <c r="Q465" s="879"/>
      <c r="R465" s="879"/>
      <c r="S465" s="879"/>
      <c r="T465" s="879"/>
      <c r="U465" s="879"/>
      <c r="V465" s="879"/>
      <c r="W465" s="879"/>
    </row>
    <row r="466" spans="1:23" ht="12.75" customHeight="1">
      <c r="A466" s="879"/>
      <c r="B466" s="879"/>
      <c r="C466" s="879"/>
      <c r="D466" s="879"/>
      <c r="E466" s="879"/>
      <c r="F466" s="879"/>
      <c r="G466" s="879"/>
      <c r="H466" s="879"/>
      <c r="I466" s="879"/>
      <c r="J466" s="879"/>
      <c r="K466" s="879"/>
      <c r="L466" s="879"/>
      <c r="M466" s="879"/>
      <c r="N466" s="879"/>
      <c r="O466" s="879"/>
      <c r="P466" s="879"/>
      <c r="Q466" s="879"/>
      <c r="R466" s="879"/>
      <c r="S466" s="879"/>
      <c r="T466" s="879"/>
      <c r="U466" s="879"/>
      <c r="V466" s="879"/>
      <c r="W466" s="879"/>
    </row>
    <row r="467" spans="1:23" ht="12.75" customHeight="1">
      <c r="A467" s="879"/>
      <c r="B467" s="879"/>
      <c r="C467" s="879"/>
      <c r="D467" s="879"/>
      <c r="E467" s="879"/>
      <c r="F467" s="879"/>
      <c r="G467" s="879"/>
      <c r="H467" s="879"/>
      <c r="I467" s="879"/>
      <c r="J467" s="879"/>
      <c r="K467" s="879"/>
      <c r="L467" s="879"/>
      <c r="M467" s="879"/>
      <c r="N467" s="879"/>
      <c r="O467" s="879"/>
      <c r="P467" s="879"/>
      <c r="Q467" s="879"/>
      <c r="R467" s="879"/>
      <c r="S467" s="879"/>
      <c r="T467" s="879"/>
      <c r="U467" s="879"/>
      <c r="V467" s="879"/>
      <c r="W467" s="879"/>
    </row>
    <row r="468" spans="1:23" ht="12.75" customHeight="1">
      <c r="A468" s="879"/>
      <c r="B468" s="879"/>
      <c r="C468" s="879"/>
      <c r="D468" s="879"/>
      <c r="E468" s="879"/>
      <c r="F468" s="879"/>
      <c r="G468" s="879"/>
      <c r="H468" s="879"/>
      <c r="I468" s="879"/>
      <c r="J468" s="879"/>
      <c r="K468" s="879"/>
      <c r="L468" s="879"/>
      <c r="M468" s="879"/>
      <c r="N468" s="879"/>
      <c r="O468" s="879"/>
      <c r="P468" s="879"/>
      <c r="Q468" s="879"/>
      <c r="R468" s="879"/>
      <c r="S468" s="879"/>
      <c r="T468" s="879"/>
      <c r="U468" s="879"/>
      <c r="V468" s="879"/>
      <c r="W468" s="879"/>
    </row>
    <row r="469" spans="1:23" ht="12.75" customHeight="1">
      <c r="A469" s="879"/>
      <c r="B469" s="879"/>
      <c r="C469" s="879"/>
      <c r="D469" s="879"/>
      <c r="E469" s="879"/>
      <c r="F469" s="879"/>
      <c r="G469" s="879"/>
      <c r="H469" s="879"/>
      <c r="I469" s="879"/>
      <c r="J469" s="879"/>
      <c r="K469" s="879"/>
      <c r="L469" s="879"/>
      <c r="M469" s="879"/>
      <c r="N469" s="879"/>
      <c r="O469" s="879"/>
      <c r="P469" s="879"/>
      <c r="Q469" s="879"/>
      <c r="R469" s="879"/>
      <c r="S469" s="879"/>
      <c r="T469" s="879"/>
      <c r="U469" s="879"/>
      <c r="V469" s="879"/>
      <c r="W469" s="879"/>
    </row>
    <row r="470" spans="1:23" ht="12.75" customHeight="1">
      <c r="A470" s="879"/>
      <c r="B470" s="879"/>
      <c r="C470" s="879"/>
      <c r="D470" s="879"/>
      <c r="E470" s="879"/>
      <c r="F470" s="879"/>
      <c r="G470" s="879"/>
      <c r="H470" s="879"/>
      <c r="I470" s="879"/>
      <c r="J470" s="879"/>
      <c r="K470" s="879"/>
      <c r="L470" s="879"/>
      <c r="M470" s="879"/>
      <c r="N470" s="879"/>
      <c r="O470" s="879"/>
      <c r="P470" s="879"/>
      <c r="Q470" s="879"/>
      <c r="R470" s="879"/>
      <c r="S470" s="879"/>
      <c r="T470" s="879"/>
      <c r="U470" s="879"/>
      <c r="V470" s="879"/>
      <c r="W470" s="879"/>
    </row>
    <row r="471" spans="1:23" ht="12.75" customHeight="1">
      <c r="A471" s="879"/>
      <c r="B471" s="879"/>
      <c r="C471" s="879"/>
      <c r="D471" s="879"/>
      <c r="E471" s="879"/>
      <c r="F471" s="879"/>
      <c r="G471" s="879"/>
      <c r="H471" s="879"/>
      <c r="I471" s="879"/>
      <c r="J471" s="879"/>
      <c r="K471" s="879"/>
      <c r="L471" s="879"/>
      <c r="M471" s="879"/>
      <c r="N471" s="879"/>
      <c r="O471" s="879"/>
      <c r="P471" s="879"/>
      <c r="Q471" s="879"/>
      <c r="R471" s="879"/>
      <c r="S471" s="879"/>
      <c r="T471" s="879"/>
      <c r="U471" s="879"/>
      <c r="V471" s="879"/>
      <c r="W471" s="879"/>
    </row>
    <row r="472" spans="1:23" ht="12.75" customHeight="1">
      <c r="A472" s="879"/>
      <c r="B472" s="879"/>
      <c r="C472" s="879"/>
      <c r="D472" s="879"/>
      <c r="E472" s="879"/>
      <c r="F472" s="879"/>
      <c r="G472" s="879"/>
      <c r="H472" s="879"/>
      <c r="I472" s="879"/>
      <c r="J472" s="879"/>
      <c r="K472" s="879"/>
      <c r="L472" s="879"/>
      <c r="M472" s="879"/>
      <c r="N472" s="879"/>
      <c r="O472" s="879"/>
      <c r="P472" s="879"/>
      <c r="Q472" s="879"/>
      <c r="R472" s="879"/>
      <c r="S472" s="879"/>
      <c r="T472" s="879"/>
      <c r="U472" s="879"/>
      <c r="V472" s="879"/>
      <c r="W472" s="879"/>
    </row>
    <row r="473" spans="1:23" ht="12.75" customHeight="1">
      <c r="A473" s="879"/>
      <c r="B473" s="879"/>
      <c r="C473" s="879"/>
      <c r="D473" s="879"/>
      <c r="E473" s="879"/>
      <c r="F473" s="879"/>
      <c r="G473" s="879"/>
      <c r="H473" s="879"/>
      <c r="I473" s="879"/>
      <c r="J473" s="879"/>
      <c r="K473" s="879"/>
      <c r="L473" s="879"/>
      <c r="M473" s="879"/>
      <c r="N473" s="879"/>
      <c r="O473" s="879"/>
      <c r="P473" s="879"/>
      <c r="Q473" s="879"/>
      <c r="R473" s="879"/>
      <c r="S473" s="879"/>
      <c r="T473" s="879"/>
      <c r="U473" s="879"/>
      <c r="V473" s="879"/>
      <c r="W473" s="879"/>
    </row>
    <row r="474" spans="1:23" ht="12.75" customHeight="1">
      <c r="A474" s="879"/>
      <c r="B474" s="879"/>
      <c r="C474" s="879"/>
      <c r="D474" s="879"/>
      <c r="E474" s="879"/>
      <c r="F474" s="879"/>
      <c r="G474" s="879"/>
      <c r="H474" s="879"/>
      <c r="I474" s="879"/>
      <c r="J474" s="879"/>
      <c r="K474" s="879"/>
      <c r="L474" s="879"/>
      <c r="M474" s="879"/>
      <c r="N474" s="879"/>
      <c r="O474" s="879"/>
      <c r="P474" s="879"/>
      <c r="Q474" s="879"/>
      <c r="R474" s="879"/>
      <c r="S474" s="879"/>
      <c r="T474" s="879"/>
      <c r="U474" s="879"/>
      <c r="V474" s="879"/>
      <c r="W474" s="879"/>
    </row>
    <row r="475" spans="1:23" ht="12.75" customHeight="1">
      <c r="A475" s="879"/>
      <c r="B475" s="879"/>
      <c r="C475" s="879"/>
      <c r="D475" s="879"/>
      <c r="E475" s="879"/>
      <c r="F475" s="879"/>
      <c r="G475" s="879"/>
      <c r="H475" s="879"/>
      <c r="I475" s="879"/>
      <c r="J475" s="879"/>
      <c r="K475" s="879"/>
      <c r="L475" s="879"/>
      <c r="M475" s="879"/>
      <c r="N475" s="879"/>
      <c r="O475" s="879"/>
      <c r="P475" s="879"/>
      <c r="Q475" s="879"/>
      <c r="R475" s="879"/>
      <c r="S475" s="879"/>
      <c r="T475" s="879"/>
      <c r="U475" s="879"/>
      <c r="V475" s="879"/>
      <c r="W475" s="879"/>
    </row>
    <row r="476" spans="1:23" ht="12.75" customHeight="1">
      <c r="A476" s="879"/>
      <c r="B476" s="879"/>
      <c r="C476" s="879"/>
      <c r="D476" s="879"/>
      <c r="E476" s="879"/>
      <c r="F476" s="879"/>
      <c r="G476" s="879"/>
      <c r="H476" s="879"/>
      <c r="I476" s="879"/>
      <c r="J476" s="879"/>
      <c r="K476" s="879"/>
      <c r="L476" s="879"/>
      <c r="M476" s="879"/>
      <c r="N476" s="879"/>
      <c r="O476" s="879"/>
      <c r="P476" s="879"/>
      <c r="Q476" s="879"/>
      <c r="R476" s="879"/>
      <c r="S476" s="879"/>
      <c r="T476" s="879"/>
      <c r="U476" s="879"/>
      <c r="V476" s="879"/>
      <c r="W476" s="879"/>
    </row>
    <row r="477" spans="1:23" ht="12.75" customHeight="1">
      <c r="A477" s="879"/>
      <c r="B477" s="879"/>
      <c r="C477" s="879"/>
      <c r="D477" s="879"/>
      <c r="E477" s="879"/>
      <c r="F477" s="879"/>
      <c r="G477" s="879"/>
      <c r="H477" s="879"/>
      <c r="I477" s="879"/>
      <c r="J477" s="879"/>
      <c r="K477" s="879"/>
      <c r="L477" s="879"/>
      <c r="M477" s="879"/>
      <c r="N477" s="879"/>
      <c r="O477" s="879"/>
      <c r="P477" s="879"/>
      <c r="Q477" s="879"/>
      <c r="R477" s="879"/>
      <c r="S477" s="879"/>
      <c r="T477" s="879"/>
      <c r="U477" s="879"/>
      <c r="V477" s="879"/>
      <c r="W477" s="879"/>
    </row>
    <row r="478" spans="1:23" ht="12.75" customHeight="1">
      <c r="A478" s="879"/>
      <c r="B478" s="879"/>
      <c r="C478" s="879"/>
      <c r="D478" s="879"/>
      <c r="E478" s="879"/>
      <c r="F478" s="879"/>
      <c r="G478" s="879"/>
      <c r="H478" s="879"/>
      <c r="I478" s="879"/>
      <c r="J478" s="879"/>
      <c r="K478" s="879"/>
      <c r="L478" s="879"/>
      <c r="M478" s="879"/>
      <c r="N478" s="879"/>
      <c r="O478" s="879"/>
      <c r="P478" s="879"/>
      <c r="Q478" s="879"/>
      <c r="R478" s="879"/>
      <c r="S478" s="879"/>
      <c r="T478" s="879"/>
      <c r="U478" s="879"/>
      <c r="V478" s="879"/>
      <c r="W478" s="879"/>
    </row>
    <row r="479" spans="1:23" ht="12.75" customHeight="1">
      <c r="A479" s="879"/>
      <c r="B479" s="879"/>
      <c r="C479" s="879"/>
      <c r="D479" s="879"/>
      <c r="E479" s="879"/>
      <c r="F479" s="879"/>
      <c r="G479" s="879"/>
      <c r="H479" s="879"/>
      <c r="I479" s="879"/>
      <c r="J479" s="879"/>
      <c r="K479" s="879"/>
      <c r="L479" s="879"/>
      <c r="M479" s="879"/>
      <c r="N479" s="879"/>
      <c r="O479" s="879"/>
      <c r="P479" s="879"/>
      <c r="Q479" s="879"/>
      <c r="R479" s="879"/>
      <c r="S479" s="879"/>
      <c r="T479" s="879"/>
      <c r="U479" s="879"/>
      <c r="V479" s="879"/>
      <c r="W479" s="879"/>
    </row>
    <row r="480" spans="1:23" ht="12.75" customHeight="1">
      <c r="A480" s="879"/>
      <c r="B480" s="879"/>
      <c r="C480" s="879"/>
      <c r="D480" s="879"/>
      <c r="E480" s="879"/>
      <c r="F480" s="879"/>
      <c r="G480" s="879"/>
      <c r="H480" s="879"/>
      <c r="I480" s="879"/>
      <c r="J480" s="879"/>
      <c r="K480" s="879"/>
      <c r="L480" s="879"/>
      <c r="M480" s="879"/>
      <c r="N480" s="879"/>
      <c r="O480" s="879"/>
      <c r="P480" s="879"/>
      <c r="Q480" s="879"/>
      <c r="R480" s="879"/>
      <c r="S480" s="879"/>
      <c r="T480" s="879"/>
      <c r="U480" s="879"/>
      <c r="V480" s="879"/>
      <c r="W480" s="879"/>
    </row>
    <row r="481" spans="1:23" ht="12.75" customHeight="1">
      <c r="A481" s="879"/>
      <c r="B481" s="879"/>
      <c r="C481" s="879"/>
      <c r="D481" s="879"/>
      <c r="E481" s="879"/>
      <c r="F481" s="879"/>
      <c r="G481" s="879"/>
      <c r="H481" s="879"/>
      <c r="I481" s="879"/>
      <c r="J481" s="879"/>
      <c r="K481" s="879"/>
      <c r="L481" s="879"/>
      <c r="M481" s="879"/>
      <c r="N481" s="879"/>
      <c r="O481" s="879"/>
      <c r="P481" s="879"/>
      <c r="Q481" s="879"/>
      <c r="R481" s="879"/>
      <c r="S481" s="879"/>
      <c r="T481" s="879"/>
      <c r="U481" s="879"/>
      <c r="V481" s="879"/>
      <c r="W481" s="879"/>
    </row>
    <row r="482" spans="1:23" ht="12.75" customHeight="1">
      <c r="A482" s="879"/>
      <c r="B482" s="879"/>
      <c r="C482" s="879"/>
      <c r="D482" s="879"/>
      <c r="E482" s="879"/>
      <c r="F482" s="879"/>
      <c r="G482" s="879"/>
      <c r="H482" s="879"/>
      <c r="I482" s="879"/>
      <c r="J482" s="879"/>
      <c r="K482" s="879"/>
      <c r="L482" s="879"/>
      <c r="M482" s="879"/>
      <c r="N482" s="879"/>
      <c r="O482" s="879"/>
      <c r="P482" s="879"/>
      <c r="Q482" s="879"/>
      <c r="R482" s="879"/>
      <c r="S482" s="879"/>
      <c r="T482" s="879"/>
      <c r="U482" s="879"/>
      <c r="V482" s="879"/>
      <c r="W482" s="879"/>
    </row>
    <row r="483" spans="1:23" ht="12.75" customHeight="1">
      <c r="A483" s="879"/>
      <c r="B483" s="879"/>
      <c r="C483" s="879"/>
      <c r="D483" s="879"/>
      <c r="E483" s="879"/>
      <c r="F483" s="879"/>
      <c r="G483" s="879"/>
      <c r="H483" s="879"/>
      <c r="I483" s="879"/>
      <c r="J483" s="879"/>
      <c r="K483" s="879"/>
      <c r="L483" s="879"/>
      <c r="M483" s="879"/>
      <c r="N483" s="879"/>
      <c r="O483" s="879"/>
      <c r="P483" s="879"/>
      <c r="Q483" s="879"/>
      <c r="R483" s="879"/>
      <c r="S483" s="879"/>
      <c r="T483" s="879"/>
      <c r="U483" s="879"/>
      <c r="V483" s="879"/>
      <c r="W483" s="879"/>
    </row>
    <row r="484" spans="1:23" ht="12.75" customHeight="1">
      <c r="A484" s="879"/>
      <c r="B484" s="879"/>
      <c r="C484" s="879"/>
      <c r="D484" s="879"/>
      <c r="E484" s="879"/>
      <c r="F484" s="879"/>
      <c r="G484" s="879"/>
      <c r="H484" s="879"/>
      <c r="I484" s="879"/>
      <c r="J484" s="879"/>
      <c r="K484" s="879"/>
      <c r="L484" s="879"/>
      <c r="M484" s="879"/>
      <c r="N484" s="879"/>
      <c r="O484" s="879"/>
      <c r="P484" s="879"/>
      <c r="Q484" s="879"/>
      <c r="R484" s="879"/>
      <c r="S484" s="879"/>
      <c r="T484" s="879"/>
      <c r="U484" s="879"/>
      <c r="V484" s="879"/>
      <c r="W484" s="879"/>
    </row>
    <row r="485" spans="1:23" ht="12.75" customHeight="1">
      <c r="A485" s="879"/>
      <c r="B485" s="879"/>
      <c r="C485" s="879"/>
      <c r="D485" s="879"/>
      <c r="E485" s="879"/>
      <c r="F485" s="879"/>
      <c r="G485" s="879"/>
      <c r="H485" s="879"/>
      <c r="I485" s="879"/>
      <c r="J485" s="879"/>
      <c r="K485" s="879"/>
      <c r="L485" s="879"/>
      <c r="M485" s="879"/>
      <c r="N485" s="879"/>
      <c r="O485" s="879"/>
      <c r="P485" s="879"/>
      <c r="Q485" s="879"/>
      <c r="R485" s="879"/>
      <c r="S485" s="879"/>
      <c r="T485" s="879"/>
      <c r="U485" s="879"/>
      <c r="V485" s="879"/>
      <c r="W485" s="879"/>
    </row>
    <row r="486" spans="1:23" ht="12.75" customHeight="1">
      <c r="A486" s="879"/>
      <c r="B486" s="879"/>
      <c r="C486" s="879"/>
      <c r="D486" s="879"/>
      <c r="E486" s="879"/>
      <c r="F486" s="879"/>
      <c r="G486" s="879"/>
      <c r="H486" s="879"/>
      <c r="I486" s="879"/>
      <c r="J486" s="879"/>
      <c r="K486" s="879"/>
      <c r="L486" s="879"/>
      <c r="M486" s="879"/>
      <c r="N486" s="879"/>
      <c r="O486" s="879"/>
      <c r="P486" s="879"/>
      <c r="Q486" s="879"/>
      <c r="R486" s="879"/>
      <c r="S486" s="879"/>
      <c r="T486" s="879"/>
      <c r="U486" s="879"/>
      <c r="V486" s="879"/>
      <c r="W486" s="879"/>
    </row>
    <row r="487" spans="1:23" ht="12.75" customHeight="1">
      <c r="A487" s="879"/>
      <c r="B487" s="879"/>
      <c r="C487" s="879"/>
      <c r="D487" s="879"/>
      <c r="E487" s="879"/>
      <c r="F487" s="879"/>
      <c r="G487" s="879"/>
      <c r="H487" s="879"/>
      <c r="I487" s="879"/>
      <c r="J487" s="879"/>
      <c r="K487" s="879"/>
      <c r="L487" s="879"/>
      <c r="M487" s="879"/>
      <c r="N487" s="879"/>
      <c r="O487" s="879"/>
      <c r="P487" s="879"/>
      <c r="Q487" s="879"/>
      <c r="R487" s="879"/>
      <c r="S487" s="879"/>
      <c r="T487" s="879"/>
      <c r="U487" s="879"/>
      <c r="V487" s="879"/>
      <c r="W487" s="879"/>
    </row>
    <row r="488" spans="1:23" ht="12.75" customHeight="1">
      <c r="A488" s="879"/>
      <c r="B488" s="879"/>
      <c r="C488" s="879"/>
      <c r="D488" s="879"/>
      <c r="E488" s="879"/>
      <c r="F488" s="879"/>
      <c r="G488" s="879"/>
      <c r="H488" s="879"/>
      <c r="I488" s="879"/>
      <c r="J488" s="879"/>
      <c r="K488" s="879"/>
      <c r="L488" s="879"/>
      <c r="M488" s="879"/>
      <c r="N488" s="879"/>
      <c r="O488" s="879"/>
      <c r="P488" s="879"/>
      <c r="Q488" s="879"/>
      <c r="R488" s="879"/>
      <c r="S488" s="879"/>
      <c r="T488" s="879"/>
      <c r="U488" s="879"/>
      <c r="V488" s="879"/>
      <c r="W488" s="879"/>
    </row>
    <row r="489" spans="1:23" ht="12.75" customHeight="1">
      <c r="A489" s="879"/>
      <c r="B489" s="879"/>
      <c r="C489" s="879"/>
      <c r="D489" s="879"/>
      <c r="E489" s="879"/>
      <c r="F489" s="879"/>
      <c r="G489" s="879"/>
      <c r="H489" s="879"/>
      <c r="I489" s="879"/>
      <c r="J489" s="879"/>
      <c r="K489" s="879"/>
      <c r="L489" s="879"/>
      <c r="M489" s="879"/>
      <c r="N489" s="879"/>
      <c r="O489" s="879"/>
      <c r="P489" s="879"/>
      <c r="Q489" s="879"/>
      <c r="R489" s="879"/>
      <c r="S489" s="879"/>
      <c r="T489" s="879"/>
      <c r="U489" s="879"/>
      <c r="V489" s="879"/>
      <c r="W489" s="879"/>
    </row>
    <row r="490" spans="1:23" ht="12.75" customHeight="1">
      <c r="A490" s="879"/>
      <c r="B490" s="879"/>
      <c r="C490" s="879"/>
      <c r="D490" s="879"/>
      <c r="E490" s="879"/>
      <c r="F490" s="879"/>
      <c r="G490" s="879"/>
      <c r="H490" s="879"/>
      <c r="I490" s="879"/>
      <c r="J490" s="879"/>
      <c r="K490" s="879"/>
      <c r="L490" s="879"/>
      <c r="M490" s="879"/>
      <c r="N490" s="879"/>
      <c r="O490" s="879"/>
      <c r="P490" s="879"/>
      <c r="Q490" s="879"/>
      <c r="R490" s="879"/>
      <c r="S490" s="879"/>
      <c r="T490" s="879"/>
      <c r="U490" s="879"/>
      <c r="V490" s="879"/>
      <c r="W490" s="879"/>
    </row>
    <row r="491" spans="1:23" ht="12.75" customHeight="1">
      <c r="A491" s="879"/>
      <c r="B491" s="879"/>
      <c r="C491" s="879"/>
      <c r="D491" s="879"/>
      <c r="E491" s="879"/>
      <c r="F491" s="879"/>
      <c r="G491" s="879"/>
      <c r="H491" s="879"/>
      <c r="I491" s="879"/>
      <c r="J491" s="879"/>
      <c r="K491" s="879"/>
      <c r="L491" s="879"/>
      <c r="M491" s="879"/>
      <c r="N491" s="879"/>
      <c r="O491" s="879"/>
      <c r="P491" s="879"/>
      <c r="Q491" s="879"/>
      <c r="R491" s="879"/>
      <c r="S491" s="879"/>
      <c r="T491" s="879"/>
      <c r="U491" s="879"/>
      <c r="V491" s="879"/>
      <c r="W491" s="879"/>
    </row>
    <row r="492" spans="1:23" ht="12.75" customHeight="1">
      <c r="A492" s="879"/>
      <c r="B492" s="879"/>
      <c r="C492" s="879"/>
      <c r="D492" s="879"/>
      <c r="E492" s="879"/>
      <c r="F492" s="879"/>
      <c r="G492" s="879"/>
      <c r="H492" s="879"/>
      <c r="I492" s="879"/>
      <c r="J492" s="879"/>
      <c r="K492" s="879"/>
      <c r="L492" s="879"/>
      <c r="M492" s="879"/>
      <c r="N492" s="879"/>
      <c r="O492" s="879"/>
      <c r="P492" s="879"/>
      <c r="Q492" s="879"/>
      <c r="R492" s="879"/>
      <c r="S492" s="879"/>
      <c r="T492" s="879"/>
      <c r="U492" s="879"/>
      <c r="V492" s="879"/>
      <c r="W492" s="879"/>
    </row>
    <row r="493" spans="1:23" ht="12.75" customHeight="1">
      <c r="A493" s="879"/>
      <c r="B493" s="879"/>
      <c r="C493" s="879"/>
      <c r="D493" s="879"/>
      <c r="E493" s="879"/>
      <c r="F493" s="879"/>
      <c r="G493" s="879"/>
      <c r="H493" s="879"/>
      <c r="I493" s="879"/>
      <c r="J493" s="879"/>
      <c r="K493" s="879"/>
      <c r="L493" s="879"/>
      <c r="M493" s="879"/>
      <c r="N493" s="879"/>
      <c r="O493" s="879"/>
      <c r="P493" s="879"/>
      <c r="Q493" s="879"/>
      <c r="R493" s="879"/>
      <c r="S493" s="879"/>
      <c r="T493" s="879"/>
      <c r="U493" s="879"/>
      <c r="V493" s="879"/>
      <c r="W493" s="879"/>
    </row>
    <row r="494" spans="1:23" ht="12.75" customHeight="1">
      <c r="A494" s="879"/>
      <c r="B494" s="879"/>
      <c r="C494" s="879"/>
      <c r="D494" s="879"/>
      <c r="E494" s="879"/>
      <c r="F494" s="879"/>
      <c r="G494" s="879"/>
      <c r="H494" s="879"/>
      <c r="I494" s="879"/>
      <c r="J494" s="879"/>
      <c r="K494" s="879"/>
      <c r="L494" s="879"/>
      <c r="M494" s="879"/>
      <c r="N494" s="879"/>
      <c r="O494" s="879"/>
      <c r="P494" s="879"/>
      <c r="Q494" s="879"/>
      <c r="R494" s="879"/>
      <c r="S494" s="879"/>
      <c r="T494" s="879"/>
      <c r="U494" s="879"/>
      <c r="V494" s="879"/>
      <c r="W494" s="879"/>
    </row>
    <row r="495" spans="1:23" ht="12.75" customHeight="1">
      <c r="A495" s="879"/>
      <c r="B495" s="879"/>
      <c r="C495" s="879"/>
      <c r="D495" s="879"/>
      <c r="E495" s="879"/>
      <c r="F495" s="879"/>
      <c r="G495" s="879"/>
      <c r="H495" s="879"/>
      <c r="I495" s="879"/>
      <c r="J495" s="879"/>
      <c r="K495" s="879"/>
      <c r="L495" s="879"/>
      <c r="M495" s="879"/>
      <c r="N495" s="879"/>
      <c r="O495" s="879"/>
      <c r="P495" s="879"/>
      <c r="Q495" s="879"/>
      <c r="R495" s="879"/>
      <c r="S495" s="879"/>
      <c r="T495" s="879"/>
      <c r="U495" s="879"/>
      <c r="V495" s="879"/>
      <c r="W495" s="879"/>
    </row>
    <row r="496" spans="1:23" ht="12.75" customHeight="1">
      <c r="A496" s="879"/>
      <c r="B496" s="879"/>
      <c r="C496" s="879"/>
      <c r="D496" s="879"/>
      <c r="E496" s="879"/>
      <c r="F496" s="879"/>
      <c r="G496" s="879"/>
      <c r="H496" s="879"/>
      <c r="I496" s="879"/>
      <c r="J496" s="879"/>
      <c r="K496" s="879"/>
      <c r="L496" s="879"/>
      <c r="M496" s="879"/>
      <c r="N496" s="879"/>
      <c r="O496" s="879"/>
      <c r="P496" s="879"/>
      <c r="Q496" s="879"/>
      <c r="R496" s="879"/>
      <c r="S496" s="879"/>
      <c r="T496" s="879"/>
      <c r="U496" s="879"/>
      <c r="V496" s="879"/>
      <c r="W496" s="879"/>
    </row>
    <row r="497" spans="1:23" ht="12.75" customHeight="1">
      <c r="A497" s="879"/>
      <c r="B497" s="879"/>
      <c r="C497" s="879"/>
      <c r="D497" s="879"/>
      <c r="E497" s="879"/>
      <c r="F497" s="879"/>
      <c r="G497" s="879"/>
      <c r="H497" s="879"/>
      <c r="I497" s="879"/>
      <c r="J497" s="879"/>
      <c r="K497" s="879"/>
      <c r="L497" s="879"/>
      <c r="M497" s="879"/>
      <c r="N497" s="879"/>
      <c r="O497" s="879"/>
      <c r="P497" s="879"/>
      <c r="Q497" s="879"/>
      <c r="R497" s="879"/>
      <c r="S497" s="879"/>
      <c r="T497" s="879"/>
      <c r="U497" s="879"/>
      <c r="V497" s="879"/>
      <c r="W497" s="879"/>
    </row>
    <row r="498" spans="1:23" ht="12.75" customHeight="1">
      <c r="A498" s="879"/>
      <c r="B498" s="879"/>
      <c r="C498" s="879"/>
      <c r="D498" s="879"/>
      <c r="E498" s="879"/>
      <c r="F498" s="879"/>
      <c r="G498" s="879"/>
      <c r="H498" s="879"/>
      <c r="I498" s="879"/>
      <c r="J498" s="879"/>
      <c r="K498" s="879"/>
      <c r="L498" s="879"/>
      <c r="M498" s="879"/>
      <c r="N498" s="879"/>
      <c r="O498" s="879"/>
      <c r="P498" s="879"/>
      <c r="Q498" s="879"/>
      <c r="R498" s="879"/>
      <c r="S498" s="879"/>
      <c r="T498" s="879"/>
      <c r="U498" s="879"/>
      <c r="V498" s="879"/>
      <c r="W498" s="879"/>
    </row>
    <row r="499" spans="1:23" ht="12.75" customHeight="1">
      <c r="A499" s="879"/>
      <c r="B499" s="879"/>
      <c r="C499" s="879"/>
      <c r="D499" s="879"/>
      <c r="E499" s="879"/>
      <c r="F499" s="879"/>
      <c r="G499" s="879"/>
      <c r="H499" s="879"/>
      <c r="I499" s="879"/>
      <c r="J499" s="879"/>
      <c r="K499" s="879"/>
      <c r="L499" s="879"/>
      <c r="M499" s="879"/>
      <c r="N499" s="879"/>
      <c r="O499" s="879"/>
      <c r="P499" s="879"/>
      <c r="Q499" s="879"/>
      <c r="R499" s="879"/>
      <c r="S499" s="879"/>
      <c r="T499" s="879"/>
      <c r="U499" s="879"/>
      <c r="V499" s="879"/>
      <c r="W499" s="879"/>
    </row>
    <row r="500" spans="1:23" ht="12.75" customHeight="1">
      <c r="A500" s="879"/>
      <c r="B500" s="879"/>
      <c r="C500" s="879"/>
      <c r="D500" s="879"/>
      <c r="E500" s="879"/>
      <c r="F500" s="879"/>
      <c r="G500" s="879"/>
      <c r="H500" s="879"/>
      <c r="I500" s="879"/>
      <c r="J500" s="879"/>
      <c r="K500" s="879"/>
      <c r="L500" s="879"/>
      <c r="M500" s="879"/>
      <c r="N500" s="879"/>
      <c r="O500" s="879"/>
      <c r="P500" s="879"/>
      <c r="Q500" s="879"/>
      <c r="R500" s="879"/>
      <c r="S500" s="879"/>
      <c r="T500" s="879"/>
      <c r="U500" s="879"/>
      <c r="V500" s="879"/>
      <c r="W500" s="879"/>
    </row>
    <row r="501" spans="1:23" ht="12.75" customHeight="1">
      <c r="A501" s="879"/>
      <c r="B501" s="879"/>
      <c r="C501" s="879"/>
      <c r="D501" s="879"/>
      <c r="E501" s="879"/>
      <c r="F501" s="879"/>
      <c r="G501" s="879"/>
      <c r="H501" s="879"/>
      <c r="I501" s="879"/>
      <c r="J501" s="879"/>
      <c r="K501" s="879"/>
      <c r="L501" s="879"/>
      <c r="M501" s="879"/>
      <c r="N501" s="879"/>
      <c r="O501" s="879"/>
      <c r="P501" s="879"/>
      <c r="Q501" s="879"/>
      <c r="R501" s="879"/>
      <c r="S501" s="879"/>
      <c r="T501" s="879"/>
      <c r="U501" s="879"/>
      <c r="V501" s="879"/>
      <c r="W501" s="879"/>
    </row>
    <row r="502" spans="1:23" ht="12.75" customHeight="1">
      <c r="A502" s="879"/>
      <c r="B502" s="879"/>
      <c r="C502" s="879"/>
      <c r="D502" s="879"/>
      <c r="E502" s="879"/>
      <c r="F502" s="879"/>
      <c r="G502" s="879"/>
      <c r="H502" s="879"/>
      <c r="I502" s="879"/>
      <c r="J502" s="879"/>
      <c r="K502" s="879"/>
      <c r="L502" s="879"/>
      <c r="M502" s="879"/>
      <c r="N502" s="879"/>
      <c r="O502" s="879"/>
      <c r="P502" s="879"/>
      <c r="Q502" s="879"/>
      <c r="R502" s="879"/>
      <c r="S502" s="879"/>
      <c r="T502" s="879"/>
      <c r="U502" s="879"/>
      <c r="V502" s="879"/>
      <c r="W502" s="879"/>
    </row>
    <row r="503" spans="1:23" ht="12.75" customHeight="1">
      <c r="A503" s="879"/>
      <c r="B503" s="879"/>
      <c r="C503" s="879"/>
      <c r="D503" s="879"/>
      <c r="E503" s="879"/>
      <c r="F503" s="879"/>
      <c r="G503" s="879"/>
      <c r="H503" s="879"/>
      <c r="I503" s="879"/>
      <c r="J503" s="879"/>
      <c r="K503" s="879"/>
      <c r="L503" s="879"/>
      <c r="M503" s="879"/>
      <c r="N503" s="879"/>
      <c r="O503" s="879"/>
      <c r="P503" s="879"/>
      <c r="Q503" s="879"/>
      <c r="R503" s="879"/>
      <c r="S503" s="879"/>
      <c r="T503" s="879"/>
      <c r="U503" s="879"/>
      <c r="V503" s="879"/>
      <c r="W503" s="879"/>
    </row>
    <row r="504" spans="1:23" ht="12.75" customHeight="1">
      <c r="A504" s="879"/>
      <c r="B504" s="879"/>
      <c r="C504" s="879"/>
      <c r="D504" s="879"/>
      <c r="E504" s="879"/>
      <c r="F504" s="879"/>
      <c r="G504" s="879"/>
      <c r="H504" s="879"/>
      <c r="I504" s="879"/>
      <c r="J504" s="879"/>
      <c r="K504" s="879"/>
      <c r="L504" s="879"/>
      <c r="M504" s="879"/>
      <c r="N504" s="879"/>
      <c r="O504" s="879"/>
      <c r="P504" s="879"/>
      <c r="Q504" s="879"/>
      <c r="R504" s="879"/>
      <c r="S504" s="879"/>
      <c r="T504" s="879"/>
      <c r="U504" s="879"/>
      <c r="V504" s="879"/>
      <c r="W504" s="879"/>
    </row>
    <row r="505" spans="1:23" ht="12.75" customHeight="1">
      <c r="A505" s="879"/>
      <c r="B505" s="879"/>
      <c r="C505" s="879"/>
      <c r="D505" s="879"/>
      <c r="E505" s="879"/>
      <c r="F505" s="879"/>
      <c r="G505" s="879"/>
      <c r="H505" s="879"/>
      <c r="I505" s="879"/>
      <c r="J505" s="879"/>
      <c r="K505" s="879"/>
      <c r="L505" s="879"/>
      <c r="M505" s="879"/>
      <c r="N505" s="879"/>
      <c r="O505" s="879"/>
      <c r="P505" s="879"/>
      <c r="Q505" s="879"/>
      <c r="R505" s="879"/>
      <c r="S505" s="879"/>
      <c r="T505" s="879"/>
      <c r="U505" s="879"/>
      <c r="V505" s="879"/>
      <c r="W505" s="879"/>
    </row>
    <row r="506" spans="1:23" ht="12.75" customHeight="1">
      <c r="A506" s="879"/>
      <c r="B506" s="879"/>
      <c r="C506" s="879"/>
      <c r="D506" s="879"/>
      <c r="E506" s="879"/>
      <c r="F506" s="879"/>
      <c r="G506" s="879"/>
      <c r="H506" s="879"/>
      <c r="I506" s="879"/>
      <c r="J506" s="879"/>
      <c r="K506" s="879"/>
      <c r="L506" s="879"/>
      <c r="M506" s="879"/>
      <c r="N506" s="879"/>
      <c r="O506" s="879"/>
      <c r="P506" s="879"/>
      <c r="Q506" s="879"/>
      <c r="R506" s="879"/>
      <c r="S506" s="879"/>
      <c r="T506" s="879"/>
      <c r="U506" s="879"/>
      <c r="V506" s="879"/>
      <c r="W506" s="879"/>
    </row>
    <row r="507" spans="1:23" ht="12.75" customHeight="1">
      <c r="A507" s="879"/>
      <c r="B507" s="879"/>
      <c r="C507" s="879"/>
      <c r="D507" s="879"/>
      <c r="E507" s="879"/>
      <c r="F507" s="879"/>
      <c r="G507" s="879"/>
      <c r="H507" s="879"/>
      <c r="I507" s="879"/>
      <c r="J507" s="879"/>
      <c r="K507" s="879"/>
      <c r="L507" s="879"/>
      <c r="M507" s="879"/>
      <c r="N507" s="879"/>
      <c r="O507" s="879"/>
      <c r="P507" s="879"/>
      <c r="Q507" s="879"/>
      <c r="R507" s="879"/>
      <c r="S507" s="879"/>
      <c r="T507" s="879"/>
      <c r="U507" s="879"/>
      <c r="V507" s="879"/>
      <c r="W507" s="879"/>
    </row>
    <row r="508" spans="1:23" ht="12.75" customHeight="1">
      <c r="A508" s="879"/>
      <c r="B508" s="879"/>
      <c r="C508" s="879"/>
      <c r="D508" s="879"/>
      <c r="E508" s="879"/>
      <c r="F508" s="879"/>
      <c r="G508" s="879"/>
      <c r="H508" s="879"/>
      <c r="I508" s="879"/>
      <c r="J508" s="879"/>
      <c r="K508" s="879"/>
      <c r="L508" s="879"/>
      <c r="M508" s="879"/>
      <c r="N508" s="879"/>
      <c r="O508" s="879"/>
      <c r="P508" s="879"/>
      <c r="Q508" s="879"/>
      <c r="R508" s="879"/>
      <c r="S508" s="879"/>
      <c r="T508" s="879"/>
      <c r="U508" s="879"/>
      <c r="V508" s="879"/>
      <c r="W508" s="879"/>
    </row>
    <row r="509" spans="1:23" ht="12.75" customHeight="1">
      <c r="A509" s="879"/>
      <c r="B509" s="879"/>
      <c r="C509" s="879"/>
      <c r="D509" s="879"/>
      <c r="E509" s="879"/>
      <c r="F509" s="879"/>
      <c r="G509" s="879"/>
      <c r="H509" s="879"/>
      <c r="I509" s="879"/>
      <c r="J509" s="879"/>
      <c r="K509" s="879"/>
      <c r="L509" s="879"/>
      <c r="M509" s="879"/>
      <c r="N509" s="879"/>
      <c r="O509" s="879"/>
      <c r="P509" s="879"/>
      <c r="Q509" s="879"/>
      <c r="R509" s="879"/>
      <c r="S509" s="879"/>
      <c r="T509" s="879"/>
      <c r="U509" s="879"/>
      <c r="V509" s="879"/>
      <c r="W509" s="879"/>
    </row>
    <row r="510" spans="1:23" ht="12.75" customHeight="1">
      <c r="A510" s="879"/>
      <c r="B510" s="879"/>
      <c r="C510" s="879"/>
      <c r="D510" s="879"/>
      <c r="E510" s="879"/>
      <c r="F510" s="879"/>
      <c r="G510" s="879"/>
      <c r="H510" s="879"/>
      <c r="I510" s="879"/>
      <c r="J510" s="879"/>
      <c r="K510" s="879"/>
      <c r="L510" s="879"/>
      <c r="M510" s="879"/>
      <c r="N510" s="879"/>
      <c r="O510" s="879"/>
      <c r="P510" s="879"/>
      <c r="Q510" s="879"/>
      <c r="R510" s="879"/>
      <c r="S510" s="879"/>
      <c r="T510" s="879"/>
      <c r="U510" s="879"/>
      <c r="V510" s="879"/>
      <c r="W510" s="879"/>
    </row>
    <row r="511" spans="1:23" ht="12.75" customHeight="1">
      <c r="A511" s="879"/>
      <c r="B511" s="879"/>
      <c r="C511" s="879"/>
      <c r="D511" s="879"/>
      <c r="E511" s="879"/>
      <c r="F511" s="879"/>
      <c r="G511" s="879"/>
      <c r="H511" s="879"/>
      <c r="I511" s="879"/>
      <c r="J511" s="879"/>
      <c r="K511" s="879"/>
      <c r="L511" s="879"/>
      <c r="M511" s="879"/>
      <c r="N511" s="879"/>
      <c r="O511" s="879"/>
      <c r="P511" s="879"/>
      <c r="Q511" s="879"/>
      <c r="R511" s="879"/>
      <c r="S511" s="879"/>
      <c r="T511" s="879"/>
      <c r="U511" s="879"/>
      <c r="V511" s="879"/>
      <c r="W511" s="879"/>
    </row>
    <row r="512" spans="1:23" ht="12.75" customHeight="1">
      <c r="A512" s="879"/>
      <c r="B512" s="879"/>
      <c r="C512" s="879"/>
      <c r="D512" s="879"/>
      <c r="E512" s="879"/>
      <c r="F512" s="879"/>
      <c r="G512" s="879"/>
      <c r="H512" s="879"/>
      <c r="I512" s="879"/>
      <c r="J512" s="879"/>
      <c r="K512" s="879"/>
      <c r="L512" s="879"/>
      <c r="M512" s="879"/>
      <c r="N512" s="879"/>
      <c r="O512" s="879"/>
      <c r="P512" s="879"/>
      <c r="Q512" s="879"/>
      <c r="R512" s="879"/>
      <c r="S512" s="879"/>
      <c r="T512" s="879"/>
      <c r="U512" s="879"/>
      <c r="V512" s="879"/>
      <c r="W512" s="879"/>
    </row>
    <row r="513" spans="1:23" ht="12.75" customHeight="1">
      <c r="A513" s="879"/>
      <c r="B513" s="879"/>
      <c r="C513" s="879"/>
      <c r="D513" s="879"/>
      <c r="E513" s="879"/>
      <c r="F513" s="879"/>
      <c r="G513" s="879"/>
      <c r="H513" s="879"/>
      <c r="I513" s="879"/>
      <c r="J513" s="879"/>
      <c r="K513" s="879"/>
      <c r="L513" s="879"/>
      <c r="M513" s="879"/>
      <c r="N513" s="879"/>
      <c r="O513" s="879"/>
      <c r="P513" s="879"/>
      <c r="Q513" s="879"/>
      <c r="R513" s="879"/>
      <c r="S513" s="879"/>
      <c r="T513" s="879"/>
      <c r="U513" s="879"/>
      <c r="V513" s="879"/>
      <c r="W513" s="879"/>
    </row>
    <row r="514" spans="1:23" ht="12.75" customHeight="1">
      <c r="A514" s="879"/>
      <c r="B514" s="879"/>
      <c r="C514" s="879"/>
      <c r="D514" s="879"/>
      <c r="E514" s="879"/>
      <c r="F514" s="879"/>
      <c r="G514" s="879"/>
      <c r="H514" s="879"/>
      <c r="I514" s="879"/>
      <c r="J514" s="879"/>
      <c r="K514" s="879"/>
      <c r="L514" s="879"/>
      <c r="M514" s="879"/>
      <c r="N514" s="879"/>
      <c r="O514" s="879"/>
      <c r="P514" s="879"/>
      <c r="Q514" s="879"/>
      <c r="R514" s="879"/>
      <c r="S514" s="879"/>
      <c r="T514" s="879"/>
      <c r="U514" s="879"/>
      <c r="V514" s="879"/>
      <c r="W514" s="879"/>
    </row>
    <row r="515" spans="1:23" ht="12.75" customHeight="1">
      <c r="A515" s="879"/>
      <c r="B515" s="879"/>
      <c r="C515" s="879"/>
      <c r="D515" s="879"/>
      <c r="E515" s="879"/>
      <c r="F515" s="879"/>
      <c r="G515" s="879"/>
      <c r="H515" s="879"/>
      <c r="I515" s="879"/>
      <c r="J515" s="879"/>
      <c r="K515" s="879"/>
      <c r="L515" s="879"/>
      <c r="M515" s="879"/>
      <c r="N515" s="879"/>
      <c r="O515" s="879"/>
      <c r="P515" s="879"/>
      <c r="Q515" s="879"/>
      <c r="R515" s="879"/>
      <c r="S515" s="879"/>
      <c r="T515" s="879"/>
      <c r="U515" s="879"/>
      <c r="V515" s="879"/>
      <c r="W515" s="879"/>
    </row>
    <row r="516" spans="1:23" ht="12.75" customHeight="1">
      <c r="A516" s="879"/>
      <c r="B516" s="879"/>
      <c r="C516" s="879"/>
      <c r="D516" s="879"/>
      <c r="E516" s="879"/>
      <c r="F516" s="879"/>
      <c r="G516" s="879"/>
      <c r="H516" s="879"/>
      <c r="I516" s="879"/>
      <c r="J516" s="879"/>
      <c r="K516" s="879"/>
      <c r="L516" s="879"/>
      <c r="M516" s="879"/>
      <c r="N516" s="879"/>
      <c r="O516" s="879"/>
      <c r="P516" s="879"/>
      <c r="Q516" s="879"/>
      <c r="R516" s="879"/>
      <c r="S516" s="879"/>
      <c r="T516" s="879"/>
      <c r="U516" s="879"/>
      <c r="V516" s="879"/>
      <c r="W516" s="879"/>
    </row>
    <row r="517" spans="1:23" ht="12.75" customHeight="1">
      <c r="A517" s="879"/>
      <c r="B517" s="879"/>
      <c r="C517" s="879"/>
      <c r="D517" s="879"/>
      <c r="E517" s="879"/>
      <c r="F517" s="879"/>
      <c r="G517" s="879"/>
      <c r="H517" s="879"/>
      <c r="I517" s="879"/>
      <c r="J517" s="879"/>
      <c r="K517" s="879"/>
      <c r="L517" s="879"/>
      <c r="M517" s="879"/>
      <c r="N517" s="879"/>
      <c r="O517" s="879"/>
      <c r="P517" s="879"/>
      <c r="Q517" s="879"/>
      <c r="R517" s="879"/>
      <c r="S517" s="879"/>
      <c r="T517" s="879"/>
      <c r="U517" s="879"/>
      <c r="V517" s="879"/>
      <c r="W517" s="879"/>
    </row>
    <row r="518" spans="1:23" ht="12.75" customHeight="1">
      <c r="A518" s="879"/>
      <c r="B518" s="879"/>
      <c r="C518" s="879"/>
      <c r="D518" s="879"/>
      <c r="E518" s="879"/>
      <c r="F518" s="879"/>
      <c r="G518" s="879"/>
      <c r="H518" s="879"/>
      <c r="I518" s="879"/>
      <c r="J518" s="879"/>
      <c r="K518" s="879"/>
      <c r="L518" s="879"/>
      <c r="M518" s="879"/>
      <c r="N518" s="879"/>
      <c r="O518" s="879"/>
      <c r="P518" s="879"/>
      <c r="Q518" s="879"/>
      <c r="R518" s="879"/>
      <c r="S518" s="879"/>
      <c r="T518" s="879"/>
      <c r="U518" s="879"/>
      <c r="V518" s="879"/>
      <c r="W518" s="879"/>
    </row>
    <row r="519" spans="1:23" ht="12.75" customHeight="1">
      <c r="A519" s="879"/>
      <c r="B519" s="879"/>
      <c r="C519" s="879"/>
      <c r="D519" s="879"/>
      <c r="E519" s="879"/>
      <c r="F519" s="879"/>
      <c r="G519" s="879"/>
      <c r="H519" s="879"/>
      <c r="I519" s="879"/>
      <c r="J519" s="879"/>
      <c r="K519" s="879"/>
      <c r="L519" s="879"/>
      <c r="M519" s="879"/>
      <c r="N519" s="879"/>
      <c r="O519" s="879"/>
      <c r="P519" s="879"/>
      <c r="Q519" s="879"/>
      <c r="R519" s="879"/>
      <c r="S519" s="879"/>
      <c r="T519" s="879"/>
      <c r="U519" s="879"/>
      <c r="V519" s="879"/>
      <c r="W519" s="879"/>
    </row>
    <row r="520" spans="1:23" ht="12.75" customHeight="1">
      <c r="A520" s="879"/>
      <c r="B520" s="879"/>
      <c r="C520" s="879"/>
      <c r="D520" s="879"/>
      <c r="E520" s="879"/>
      <c r="F520" s="879"/>
      <c r="G520" s="879"/>
      <c r="H520" s="879"/>
      <c r="I520" s="879"/>
      <c r="J520" s="879"/>
      <c r="K520" s="879"/>
      <c r="L520" s="879"/>
      <c r="M520" s="879"/>
      <c r="N520" s="879"/>
      <c r="O520" s="879"/>
      <c r="P520" s="879"/>
      <c r="Q520" s="879"/>
      <c r="R520" s="879"/>
      <c r="S520" s="879"/>
      <c r="T520" s="879"/>
      <c r="U520" s="879"/>
      <c r="V520" s="879"/>
      <c r="W520" s="879"/>
    </row>
    <row r="521" spans="1:23" ht="12.75" customHeight="1">
      <c r="A521" s="879"/>
      <c r="B521" s="879"/>
      <c r="C521" s="879"/>
      <c r="D521" s="879"/>
      <c r="E521" s="879"/>
      <c r="F521" s="879"/>
      <c r="G521" s="879"/>
      <c r="H521" s="879"/>
      <c r="I521" s="879"/>
      <c r="J521" s="879"/>
      <c r="K521" s="879"/>
      <c r="L521" s="879"/>
      <c r="M521" s="879"/>
      <c r="N521" s="879"/>
      <c r="O521" s="879"/>
      <c r="P521" s="879"/>
      <c r="Q521" s="879"/>
      <c r="R521" s="879"/>
      <c r="S521" s="879"/>
      <c r="T521" s="879"/>
      <c r="U521" s="879"/>
      <c r="V521" s="879"/>
      <c r="W521" s="879"/>
    </row>
    <row r="522" spans="1:23" ht="12.75" customHeight="1">
      <c r="A522" s="879"/>
      <c r="B522" s="879"/>
      <c r="C522" s="879"/>
      <c r="D522" s="879"/>
      <c r="E522" s="879"/>
      <c r="F522" s="879"/>
      <c r="G522" s="879"/>
      <c r="H522" s="879"/>
      <c r="I522" s="879"/>
      <c r="J522" s="879"/>
      <c r="K522" s="879"/>
      <c r="L522" s="879"/>
      <c r="M522" s="879"/>
      <c r="N522" s="879"/>
      <c r="O522" s="879"/>
      <c r="P522" s="879"/>
      <c r="Q522" s="879"/>
      <c r="R522" s="879"/>
      <c r="S522" s="879"/>
      <c r="T522" s="879"/>
      <c r="U522" s="879"/>
      <c r="V522" s="879"/>
      <c r="W522" s="879"/>
    </row>
    <row r="523" spans="1:23" ht="12.75" customHeight="1">
      <c r="A523" s="879"/>
      <c r="B523" s="879"/>
      <c r="C523" s="879"/>
      <c r="D523" s="879"/>
      <c r="E523" s="879"/>
      <c r="F523" s="879"/>
      <c r="G523" s="879"/>
      <c r="H523" s="879"/>
      <c r="I523" s="879"/>
      <c r="J523" s="879"/>
      <c r="K523" s="879"/>
      <c r="L523" s="879"/>
      <c r="M523" s="879"/>
      <c r="N523" s="879"/>
      <c r="O523" s="879"/>
      <c r="P523" s="879"/>
      <c r="Q523" s="879"/>
      <c r="R523" s="879"/>
      <c r="S523" s="879"/>
      <c r="T523" s="879"/>
      <c r="U523" s="879"/>
      <c r="V523" s="879"/>
      <c r="W523" s="879"/>
    </row>
    <row r="524" spans="1:23" ht="12.75" customHeight="1">
      <c r="A524" s="879"/>
      <c r="B524" s="879"/>
      <c r="C524" s="879"/>
      <c r="D524" s="879"/>
      <c r="E524" s="879"/>
      <c r="F524" s="879"/>
      <c r="G524" s="879"/>
      <c r="H524" s="879"/>
      <c r="I524" s="879"/>
      <c r="J524" s="879"/>
      <c r="K524" s="879"/>
      <c r="L524" s="879"/>
      <c r="M524" s="879"/>
      <c r="N524" s="879"/>
      <c r="O524" s="879"/>
      <c r="P524" s="879"/>
      <c r="Q524" s="879"/>
      <c r="R524" s="879"/>
      <c r="S524" s="879"/>
      <c r="T524" s="879"/>
      <c r="U524" s="879"/>
      <c r="V524" s="879"/>
      <c r="W524" s="879"/>
    </row>
    <row r="525" spans="1:23" ht="12.75" customHeight="1">
      <c r="A525" s="879"/>
      <c r="B525" s="879"/>
      <c r="C525" s="879"/>
      <c r="D525" s="879"/>
      <c r="E525" s="879"/>
      <c r="F525" s="879"/>
      <c r="G525" s="879"/>
      <c r="H525" s="879"/>
      <c r="I525" s="879"/>
      <c r="J525" s="879"/>
      <c r="K525" s="879"/>
      <c r="L525" s="879"/>
      <c r="M525" s="879"/>
      <c r="N525" s="879"/>
      <c r="O525" s="879"/>
      <c r="P525" s="879"/>
      <c r="Q525" s="879"/>
      <c r="R525" s="879"/>
      <c r="S525" s="879"/>
      <c r="T525" s="879"/>
      <c r="U525" s="879"/>
      <c r="V525" s="879"/>
      <c r="W525" s="879"/>
    </row>
    <row r="526" spans="1:23" ht="12.75" customHeight="1">
      <c r="A526" s="879"/>
      <c r="B526" s="879"/>
      <c r="C526" s="879"/>
      <c r="D526" s="879"/>
      <c r="E526" s="879"/>
      <c r="F526" s="879"/>
      <c r="G526" s="879"/>
      <c r="H526" s="879"/>
      <c r="I526" s="879"/>
      <c r="J526" s="879"/>
      <c r="K526" s="879"/>
      <c r="L526" s="879"/>
      <c r="M526" s="879"/>
      <c r="N526" s="879"/>
      <c r="O526" s="879"/>
      <c r="P526" s="879"/>
      <c r="Q526" s="879"/>
      <c r="R526" s="879"/>
      <c r="S526" s="879"/>
      <c r="T526" s="879"/>
      <c r="U526" s="879"/>
      <c r="V526" s="879"/>
      <c r="W526" s="879"/>
    </row>
    <row r="527" spans="1:23" ht="12.75" customHeight="1">
      <c r="A527" s="879"/>
      <c r="B527" s="879"/>
      <c r="C527" s="879"/>
      <c r="D527" s="879"/>
      <c r="E527" s="879"/>
      <c r="F527" s="879"/>
      <c r="G527" s="879"/>
      <c r="H527" s="879"/>
      <c r="I527" s="879"/>
      <c r="J527" s="879"/>
      <c r="K527" s="879"/>
      <c r="L527" s="879"/>
      <c r="M527" s="879"/>
      <c r="N527" s="879"/>
      <c r="O527" s="879"/>
      <c r="P527" s="879"/>
      <c r="Q527" s="879"/>
      <c r="R527" s="879"/>
      <c r="S527" s="879"/>
      <c r="T527" s="879"/>
      <c r="U527" s="879"/>
      <c r="V527" s="879"/>
      <c r="W527" s="879"/>
    </row>
    <row r="528" spans="1:23" ht="12.75" customHeight="1">
      <c r="A528" s="879"/>
      <c r="B528" s="879"/>
      <c r="C528" s="879"/>
      <c r="D528" s="879"/>
      <c r="E528" s="879"/>
      <c r="F528" s="879"/>
      <c r="G528" s="879"/>
      <c r="H528" s="879"/>
      <c r="I528" s="879"/>
      <c r="J528" s="879"/>
      <c r="K528" s="879"/>
      <c r="L528" s="879"/>
      <c r="M528" s="879"/>
      <c r="N528" s="879"/>
      <c r="O528" s="879"/>
      <c r="P528" s="879"/>
      <c r="Q528" s="879"/>
      <c r="R528" s="879"/>
      <c r="S528" s="879"/>
      <c r="T528" s="879"/>
      <c r="U528" s="879"/>
      <c r="V528" s="879"/>
      <c r="W528" s="879"/>
    </row>
    <row r="529" spans="1:23" ht="12.75" customHeight="1">
      <c r="A529" s="879"/>
      <c r="B529" s="879"/>
      <c r="C529" s="879"/>
      <c r="D529" s="879"/>
      <c r="E529" s="879"/>
      <c r="F529" s="879"/>
      <c r="G529" s="879"/>
      <c r="H529" s="879"/>
      <c r="I529" s="879"/>
      <c r="J529" s="879"/>
      <c r="K529" s="879"/>
      <c r="L529" s="879"/>
      <c r="M529" s="879"/>
      <c r="N529" s="879"/>
      <c r="O529" s="879"/>
      <c r="P529" s="879"/>
      <c r="Q529" s="879"/>
      <c r="R529" s="879"/>
      <c r="S529" s="879"/>
      <c r="T529" s="879"/>
      <c r="U529" s="879"/>
      <c r="V529" s="879"/>
      <c r="W529" s="879"/>
    </row>
    <row r="530" spans="1:23" ht="12.75" customHeight="1">
      <c r="A530" s="879"/>
      <c r="B530" s="879"/>
      <c r="C530" s="879"/>
      <c r="D530" s="879"/>
      <c r="E530" s="879"/>
      <c r="F530" s="879"/>
      <c r="G530" s="879"/>
      <c r="H530" s="879"/>
      <c r="I530" s="879"/>
      <c r="J530" s="879"/>
      <c r="K530" s="879"/>
      <c r="L530" s="879"/>
      <c r="M530" s="879"/>
      <c r="N530" s="879"/>
      <c r="O530" s="879"/>
      <c r="P530" s="879"/>
      <c r="Q530" s="879"/>
      <c r="R530" s="879"/>
      <c r="S530" s="879"/>
      <c r="T530" s="879"/>
      <c r="U530" s="879"/>
      <c r="V530" s="879"/>
      <c r="W530" s="879"/>
    </row>
    <row r="531" spans="1:23" ht="12.75" customHeight="1">
      <c r="A531" s="879"/>
      <c r="B531" s="879"/>
      <c r="C531" s="879"/>
      <c r="D531" s="879"/>
      <c r="E531" s="879"/>
      <c r="F531" s="879"/>
      <c r="G531" s="879"/>
      <c r="H531" s="879"/>
      <c r="I531" s="879"/>
      <c r="J531" s="879"/>
      <c r="K531" s="879"/>
      <c r="L531" s="879"/>
      <c r="M531" s="879"/>
      <c r="N531" s="879"/>
      <c r="O531" s="879"/>
      <c r="P531" s="879"/>
      <c r="Q531" s="879"/>
      <c r="R531" s="879"/>
      <c r="S531" s="879"/>
      <c r="T531" s="879"/>
      <c r="U531" s="879"/>
      <c r="V531" s="879"/>
      <c r="W531" s="879"/>
    </row>
    <row r="532" spans="1:23" ht="12.75" customHeight="1">
      <c r="A532" s="879"/>
      <c r="B532" s="879"/>
      <c r="C532" s="879"/>
      <c r="D532" s="879"/>
      <c r="E532" s="879"/>
      <c r="F532" s="879"/>
      <c r="G532" s="879"/>
      <c r="H532" s="879"/>
      <c r="I532" s="879"/>
      <c r="J532" s="879"/>
      <c r="K532" s="879"/>
      <c r="L532" s="879"/>
      <c r="M532" s="879"/>
      <c r="N532" s="879"/>
      <c r="O532" s="879"/>
      <c r="P532" s="879"/>
      <c r="Q532" s="879"/>
      <c r="R532" s="879"/>
      <c r="S532" s="879"/>
      <c r="T532" s="879"/>
      <c r="U532" s="879"/>
      <c r="V532" s="879"/>
      <c r="W532" s="879"/>
    </row>
    <row r="533" spans="1:23" ht="12.75" customHeight="1">
      <c r="A533" s="879"/>
      <c r="B533" s="879"/>
      <c r="C533" s="879"/>
      <c r="D533" s="879"/>
      <c r="E533" s="879"/>
      <c r="F533" s="879"/>
      <c r="G533" s="879"/>
      <c r="H533" s="879"/>
      <c r="I533" s="879"/>
      <c r="J533" s="879"/>
      <c r="K533" s="879"/>
      <c r="L533" s="879"/>
      <c r="M533" s="879"/>
      <c r="N533" s="879"/>
      <c r="O533" s="879"/>
      <c r="P533" s="879"/>
      <c r="Q533" s="879"/>
      <c r="R533" s="879"/>
      <c r="S533" s="879"/>
      <c r="T533" s="879"/>
      <c r="U533" s="879"/>
      <c r="V533" s="879"/>
      <c r="W533" s="879"/>
    </row>
    <row r="534" spans="1:23" ht="12.75" customHeight="1">
      <c r="A534" s="879"/>
      <c r="B534" s="879"/>
      <c r="C534" s="879"/>
      <c r="D534" s="879"/>
      <c r="E534" s="879"/>
      <c r="F534" s="879"/>
      <c r="G534" s="879"/>
      <c r="H534" s="879"/>
      <c r="I534" s="879"/>
      <c r="J534" s="879"/>
      <c r="K534" s="879"/>
      <c r="L534" s="879"/>
      <c r="M534" s="879"/>
      <c r="N534" s="879"/>
      <c r="O534" s="879"/>
      <c r="P534" s="879"/>
      <c r="Q534" s="879"/>
      <c r="R534" s="879"/>
      <c r="S534" s="879"/>
      <c r="T534" s="879"/>
      <c r="U534" s="879"/>
      <c r="V534" s="879"/>
      <c r="W534" s="879"/>
    </row>
    <row r="535" spans="1:23" ht="12.75" customHeight="1">
      <c r="A535" s="879"/>
      <c r="B535" s="879"/>
      <c r="C535" s="879"/>
      <c r="D535" s="879"/>
      <c r="E535" s="879"/>
      <c r="F535" s="879"/>
      <c r="G535" s="879"/>
      <c r="H535" s="879"/>
      <c r="I535" s="879"/>
      <c r="J535" s="879"/>
      <c r="K535" s="879"/>
      <c r="L535" s="879"/>
      <c r="M535" s="879"/>
      <c r="N535" s="879"/>
      <c r="O535" s="879"/>
      <c r="P535" s="879"/>
      <c r="Q535" s="879"/>
      <c r="R535" s="879"/>
      <c r="S535" s="879"/>
      <c r="T535" s="879"/>
      <c r="U535" s="879"/>
      <c r="V535" s="879"/>
      <c r="W535" s="879"/>
    </row>
    <row r="536" spans="1:23" ht="12.75" customHeight="1">
      <c r="A536" s="879"/>
      <c r="B536" s="879"/>
      <c r="C536" s="879"/>
      <c r="D536" s="879"/>
      <c r="E536" s="879"/>
      <c r="F536" s="879"/>
      <c r="G536" s="879"/>
      <c r="H536" s="879"/>
      <c r="I536" s="879"/>
      <c r="J536" s="879"/>
      <c r="K536" s="879"/>
      <c r="L536" s="879"/>
      <c r="M536" s="879"/>
      <c r="N536" s="879"/>
      <c r="O536" s="879"/>
      <c r="P536" s="879"/>
      <c r="Q536" s="879"/>
      <c r="R536" s="879"/>
      <c r="S536" s="879"/>
      <c r="T536" s="879"/>
      <c r="U536" s="879"/>
      <c r="V536" s="879"/>
      <c r="W536" s="879"/>
    </row>
    <row r="537" spans="1:23" ht="12.75" customHeight="1">
      <c r="A537" s="879"/>
      <c r="B537" s="879"/>
      <c r="C537" s="879"/>
      <c r="D537" s="879"/>
      <c r="E537" s="879"/>
      <c r="F537" s="879"/>
      <c r="G537" s="879"/>
      <c r="H537" s="879"/>
      <c r="I537" s="879"/>
      <c r="J537" s="879"/>
      <c r="K537" s="879"/>
      <c r="L537" s="879"/>
      <c r="M537" s="879"/>
      <c r="N537" s="879"/>
      <c r="O537" s="879"/>
      <c r="P537" s="879"/>
      <c r="Q537" s="879"/>
      <c r="R537" s="879"/>
      <c r="S537" s="879"/>
      <c r="T537" s="879"/>
      <c r="U537" s="879"/>
      <c r="V537" s="879"/>
      <c r="W537" s="879"/>
    </row>
    <row r="538" spans="1:23" ht="12.75" customHeight="1">
      <c r="A538" s="879"/>
      <c r="B538" s="879"/>
      <c r="C538" s="879"/>
      <c r="D538" s="879"/>
      <c r="E538" s="879"/>
      <c r="F538" s="879"/>
      <c r="G538" s="879"/>
      <c r="H538" s="879"/>
      <c r="I538" s="879"/>
      <c r="J538" s="879"/>
      <c r="K538" s="879"/>
      <c r="L538" s="879"/>
      <c r="M538" s="879"/>
      <c r="N538" s="879"/>
      <c r="O538" s="879"/>
      <c r="P538" s="879"/>
      <c r="Q538" s="879"/>
      <c r="R538" s="879"/>
      <c r="S538" s="879"/>
      <c r="T538" s="879"/>
      <c r="U538" s="879"/>
      <c r="V538" s="879"/>
      <c r="W538" s="879"/>
    </row>
    <row r="539" spans="1:23" ht="12.75" customHeight="1">
      <c r="A539" s="879"/>
      <c r="B539" s="879"/>
      <c r="C539" s="879"/>
      <c r="D539" s="879"/>
      <c r="E539" s="879"/>
      <c r="F539" s="879"/>
      <c r="G539" s="879"/>
      <c r="H539" s="879"/>
      <c r="I539" s="879"/>
      <c r="J539" s="879"/>
      <c r="K539" s="879"/>
      <c r="L539" s="879"/>
      <c r="M539" s="879"/>
      <c r="N539" s="879"/>
      <c r="O539" s="879"/>
      <c r="P539" s="879"/>
      <c r="Q539" s="879"/>
      <c r="R539" s="879"/>
      <c r="S539" s="879"/>
      <c r="T539" s="879"/>
      <c r="U539" s="879"/>
      <c r="V539" s="879"/>
      <c r="W539" s="879"/>
    </row>
    <row r="540" spans="1:23" ht="12.75" customHeight="1">
      <c r="A540" s="879"/>
      <c r="B540" s="879"/>
      <c r="C540" s="879"/>
      <c r="D540" s="879"/>
      <c r="E540" s="879"/>
      <c r="F540" s="879"/>
      <c r="G540" s="879"/>
      <c r="H540" s="879"/>
      <c r="I540" s="879"/>
      <c r="J540" s="879"/>
      <c r="K540" s="879"/>
      <c r="L540" s="879"/>
      <c r="M540" s="879"/>
      <c r="N540" s="879"/>
      <c r="O540" s="879"/>
      <c r="P540" s="879"/>
      <c r="Q540" s="879"/>
      <c r="R540" s="879"/>
      <c r="S540" s="879"/>
      <c r="T540" s="879"/>
      <c r="U540" s="879"/>
      <c r="V540" s="879"/>
      <c r="W540" s="879"/>
    </row>
    <row r="541" spans="1:23" ht="12.75" customHeight="1">
      <c r="A541" s="879"/>
      <c r="B541" s="879"/>
      <c r="C541" s="879"/>
      <c r="D541" s="879"/>
      <c r="E541" s="879"/>
      <c r="F541" s="879"/>
      <c r="G541" s="879"/>
      <c r="H541" s="879"/>
      <c r="I541" s="879"/>
      <c r="J541" s="879"/>
      <c r="K541" s="879"/>
      <c r="L541" s="879"/>
      <c r="M541" s="879"/>
      <c r="N541" s="879"/>
      <c r="O541" s="879"/>
      <c r="P541" s="879"/>
      <c r="Q541" s="879"/>
      <c r="R541" s="879"/>
      <c r="S541" s="879"/>
      <c r="T541" s="879"/>
      <c r="U541" s="879"/>
      <c r="V541" s="879"/>
      <c r="W541" s="879"/>
    </row>
    <row r="542" spans="1:23" ht="12.75" customHeight="1">
      <c r="A542" s="879"/>
      <c r="B542" s="879"/>
      <c r="C542" s="879"/>
      <c r="D542" s="879"/>
      <c r="E542" s="879"/>
      <c r="F542" s="879"/>
      <c r="G542" s="879"/>
      <c r="H542" s="879"/>
      <c r="I542" s="879"/>
      <c r="J542" s="879"/>
      <c r="K542" s="879"/>
      <c r="L542" s="879"/>
      <c r="M542" s="879"/>
      <c r="N542" s="879"/>
      <c r="O542" s="879"/>
      <c r="P542" s="879"/>
      <c r="Q542" s="879"/>
      <c r="R542" s="879"/>
      <c r="S542" s="879"/>
      <c r="T542" s="879"/>
      <c r="U542" s="879"/>
      <c r="V542" s="879"/>
      <c r="W542" s="879"/>
    </row>
    <row r="543" spans="1:23" ht="12.75" customHeight="1">
      <c r="A543" s="879"/>
      <c r="B543" s="879"/>
      <c r="C543" s="879"/>
      <c r="D543" s="879"/>
      <c r="E543" s="879"/>
      <c r="F543" s="879"/>
      <c r="G543" s="879"/>
      <c r="H543" s="879"/>
      <c r="I543" s="879"/>
      <c r="J543" s="879"/>
      <c r="K543" s="879"/>
      <c r="L543" s="879"/>
      <c r="M543" s="879"/>
      <c r="N543" s="879"/>
      <c r="O543" s="879"/>
      <c r="P543" s="879"/>
      <c r="Q543" s="879"/>
      <c r="R543" s="879"/>
      <c r="S543" s="879"/>
      <c r="T543" s="879"/>
      <c r="U543" s="879"/>
      <c r="V543" s="879"/>
      <c r="W543" s="879"/>
    </row>
    <row r="544" spans="1:23" ht="12.75" customHeight="1">
      <c r="A544" s="879"/>
      <c r="B544" s="879"/>
      <c r="C544" s="879"/>
      <c r="D544" s="879"/>
      <c r="E544" s="879"/>
      <c r="F544" s="879"/>
      <c r="G544" s="879"/>
      <c r="H544" s="879"/>
      <c r="I544" s="879"/>
      <c r="J544" s="879"/>
      <c r="K544" s="879"/>
      <c r="L544" s="879"/>
      <c r="M544" s="879"/>
      <c r="N544" s="879"/>
      <c r="O544" s="879"/>
      <c r="P544" s="879"/>
      <c r="Q544" s="879"/>
      <c r="R544" s="879"/>
      <c r="S544" s="879"/>
      <c r="T544" s="879"/>
      <c r="U544" s="879"/>
      <c r="V544" s="879"/>
      <c r="W544" s="879"/>
    </row>
    <row r="545" spans="1:23" ht="12.75" customHeight="1">
      <c r="A545" s="879"/>
      <c r="B545" s="879"/>
      <c r="C545" s="879"/>
      <c r="D545" s="879"/>
      <c r="E545" s="879"/>
      <c r="F545" s="879"/>
      <c r="G545" s="879"/>
      <c r="H545" s="879"/>
      <c r="I545" s="879"/>
      <c r="J545" s="879"/>
      <c r="K545" s="879"/>
      <c r="L545" s="879"/>
      <c r="M545" s="879"/>
      <c r="N545" s="879"/>
      <c r="O545" s="879"/>
      <c r="P545" s="879"/>
      <c r="Q545" s="879"/>
      <c r="R545" s="879"/>
      <c r="S545" s="879"/>
      <c r="T545" s="879"/>
      <c r="U545" s="879"/>
      <c r="V545" s="879"/>
      <c r="W545" s="879"/>
    </row>
    <row r="546" spans="1:23" ht="12.75" customHeight="1">
      <c r="A546" s="879"/>
      <c r="B546" s="879"/>
      <c r="C546" s="879"/>
      <c r="D546" s="879"/>
      <c r="E546" s="879"/>
      <c r="F546" s="879"/>
      <c r="G546" s="879"/>
      <c r="H546" s="879"/>
      <c r="I546" s="879"/>
      <c r="J546" s="879"/>
      <c r="K546" s="879"/>
      <c r="L546" s="879"/>
      <c r="M546" s="879"/>
      <c r="N546" s="879"/>
      <c r="O546" s="879"/>
      <c r="P546" s="879"/>
      <c r="Q546" s="879"/>
      <c r="R546" s="879"/>
      <c r="S546" s="879"/>
      <c r="T546" s="879"/>
      <c r="U546" s="879"/>
      <c r="V546" s="879"/>
      <c r="W546" s="879"/>
    </row>
    <row r="547" spans="1:23" ht="12.75" customHeight="1">
      <c r="A547" s="879"/>
      <c r="B547" s="879"/>
      <c r="C547" s="879"/>
      <c r="D547" s="879"/>
      <c r="E547" s="879"/>
      <c r="F547" s="879"/>
      <c r="G547" s="879"/>
      <c r="H547" s="879"/>
      <c r="I547" s="879"/>
      <c r="J547" s="879"/>
      <c r="K547" s="879"/>
      <c r="L547" s="879"/>
      <c r="M547" s="879"/>
      <c r="N547" s="879"/>
      <c r="O547" s="879"/>
      <c r="P547" s="879"/>
      <c r="Q547" s="879"/>
      <c r="R547" s="879"/>
      <c r="S547" s="879"/>
      <c r="T547" s="879"/>
      <c r="U547" s="879"/>
      <c r="V547" s="879"/>
      <c r="W547" s="879"/>
    </row>
    <row r="548" spans="1:23" ht="12.75" customHeight="1">
      <c r="A548" s="879"/>
      <c r="B548" s="879"/>
      <c r="C548" s="879"/>
      <c r="D548" s="879"/>
      <c r="E548" s="879"/>
      <c r="F548" s="879"/>
      <c r="G548" s="879"/>
      <c r="H548" s="879"/>
      <c r="I548" s="879"/>
      <c r="J548" s="879"/>
      <c r="K548" s="879"/>
      <c r="L548" s="879"/>
      <c r="M548" s="879"/>
      <c r="N548" s="879"/>
      <c r="O548" s="879"/>
      <c r="P548" s="879"/>
      <c r="Q548" s="879"/>
      <c r="R548" s="879"/>
      <c r="S548" s="879"/>
      <c r="T548" s="879"/>
      <c r="U548" s="879"/>
      <c r="V548" s="879"/>
      <c r="W548" s="879"/>
    </row>
    <row r="549" spans="1:23" ht="12.75" customHeight="1">
      <c r="A549" s="879"/>
      <c r="B549" s="879"/>
      <c r="C549" s="879"/>
      <c r="D549" s="879"/>
      <c r="E549" s="879"/>
      <c r="F549" s="879"/>
      <c r="G549" s="879"/>
      <c r="H549" s="879"/>
      <c r="I549" s="879"/>
      <c r="J549" s="879"/>
      <c r="K549" s="879"/>
      <c r="L549" s="879"/>
      <c r="M549" s="879"/>
      <c r="N549" s="879"/>
      <c r="O549" s="879"/>
      <c r="P549" s="879"/>
      <c r="Q549" s="879"/>
      <c r="R549" s="879"/>
      <c r="S549" s="879"/>
      <c r="T549" s="879"/>
      <c r="U549" s="879"/>
      <c r="V549" s="879"/>
      <c r="W549" s="879"/>
    </row>
    <row r="550" spans="1:23" ht="12.75" customHeight="1">
      <c r="A550" s="879"/>
      <c r="B550" s="879"/>
      <c r="C550" s="879"/>
      <c r="D550" s="879"/>
      <c r="E550" s="879"/>
      <c r="F550" s="879"/>
      <c r="G550" s="879"/>
      <c r="H550" s="879"/>
      <c r="I550" s="879"/>
      <c r="J550" s="879"/>
      <c r="K550" s="879"/>
      <c r="L550" s="879"/>
      <c r="M550" s="879"/>
      <c r="N550" s="879"/>
      <c r="O550" s="879"/>
      <c r="P550" s="879"/>
      <c r="Q550" s="879"/>
      <c r="R550" s="879"/>
      <c r="S550" s="879"/>
      <c r="T550" s="879"/>
      <c r="U550" s="879"/>
      <c r="V550" s="879"/>
      <c r="W550" s="879"/>
    </row>
    <row r="551" spans="1:23" ht="12.75" customHeight="1">
      <c r="A551" s="879"/>
      <c r="B551" s="879"/>
      <c r="C551" s="879"/>
      <c r="D551" s="879"/>
      <c r="E551" s="879"/>
      <c r="F551" s="879"/>
      <c r="G551" s="879"/>
      <c r="H551" s="879"/>
      <c r="I551" s="879"/>
      <c r="J551" s="879"/>
      <c r="K551" s="879"/>
      <c r="L551" s="879"/>
      <c r="M551" s="879"/>
      <c r="N551" s="879"/>
      <c r="O551" s="879"/>
      <c r="P551" s="879"/>
      <c r="Q551" s="879"/>
      <c r="R551" s="879"/>
      <c r="S551" s="879"/>
      <c r="T551" s="879"/>
      <c r="U551" s="879"/>
      <c r="V551" s="879"/>
      <c r="W551" s="879"/>
    </row>
    <row r="552" spans="1:23" ht="12.75" customHeight="1">
      <c r="A552" s="879"/>
      <c r="B552" s="879"/>
      <c r="C552" s="879"/>
      <c r="D552" s="879"/>
      <c r="E552" s="879"/>
      <c r="F552" s="879"/>
      <c r="G552" s="879"/>
      <c r="H552" s="879"/>
      <c r="I552" s="879"/>
      <c r="J552" s="879"/>
      <c r="K552" s="879"/>
      <c r="L552" s="879"/>
      <c r="M552" s="879"/>
      <c r="N552" s="879"/>
      <c r="O552" s="879"/>
      <c r="P552" s="879"/>
      <c r="Q552" s="879"/>
      <c r="R552" s="879"/>
      <c r="S552" s="879"/>
      <c r="T552" s="879"/>
      <c r="U552" s="879"/>
      <c r="V552" s="879"/>
      <c r="W552" s="879"/>
    </row>
    <row r="553" spans="1:23" ht="12.75" customHeight="1">
      <c r="A553" s="879"/>
      <c r="B553" s="879"/>
      <c r="C553" s="879"/>
      <c r="D553" s="879"/>
      <c r="E553" s="879"/>
      <c r="F553" s="879"/>
      <c r="G553" s="879"/>
      <c r="H553" s="879"/>
      <c r="I553" s="879"/>
      <c r="J553" s="879"/>
      <c r="K553" s="879"/>
      <c r="L553" s="879"/>
      <c r="M553" s="879"/>
      <c r="N553" s="879"/>
      <c r="O553" s="879"/>
      <c r="P553" s="879"/>
      <c r="Q553" s="879"/>
      <c r="R553" s="879"/>
      <c r="S553" s="879"/>
      <c r="T553" s="879"/>
      <c r="U553" s="879"/>
      <c r="V553" s="879"/>
      <c r="W553" s="879"/>
    </row>
    <row r="554" spans="1:23" ht="12.75" customHeight="1">
      <c r="A554" s="879"/>
      <c r="B554" s="879"/>
      <c r="C554" s="879"/>
      <c r="D554" s="879"/>
      <c r="E554" s="879"/>
      <c r="F554" s="879"/>
      <c r="G554" s="879"/>
      <c r="H554" s="879"/>
      <c r="I554" s="879"/>
      <c r="J554" s="879"/>
      <c r="K554" s="879"/>
      <c r="L554" s="879"/>
      <c r="M554" s="879"/>
      <c r="N554" s="879"/>
      <c r="O554" s="879"/>
      <c r="P554" s="879"/>
      <c r="Q554" s="879"/>
      <c r="R554" s="879"/>
      <c r="S554" s="879"/>
      <c r="T554" s="879"/>
      <c r="U554" s="879"/>
      <c r="V554" s="879"/>
      <c r="W554" s="879"/>
    </row>
    <row r="555" spans="1:23" ht="12.75" customHeight="1">
      <c r="A555" s="879"/>
      <c r="B555" s="879"/>
      <c r="C555" s="879"/>
      <c r="D555" s="879"/>
      <c r="E555" s="879"/>
      <c r="F555" s="879"/>
      <c r="G555" s="879"/>
      <c r="H555" s="879"/>
      <c r="I555" s="879"/>
      <c r="J555" s="879"/>
      <c r="K555" s="879"/>
      <c r="L555" s="879"/>
      <c r="M555" s="879"/>
      <c r="N555" s="879"/>
      <c r="O555" s="879"/>
      <c r="P555" s="879"/>
      <c r="Q555" s="879"/>
      <c r="R555" s="879"/>
      <c r="S555" s="879"/>
      <c r="T555" s="879"/>
      <c r="U555" s="879"/>
      <c r="V555" s="879"/>
      <c r="W555" s="879"/>
    </row>
    <row r="556" spans="1:23" ht="12.75" customHeight="1">
      <c r="A556" s="879"/>
      <c r="B556" s="879"/>
      <c r="C556" s="879"/>
      <c r="D556" s="879"/>
      <c r="E556" s="879"/>
      <c r="F556" s="879"/>
      <c r="G556" s="879"/>
      <c r="H556" s="879"/>
      <c r="I556" s="879"/>
      <c r="J556" s="879"/>
      <c r="K556" s="879"/>
      <c r="L556" s="879"/>
      <c r="M556" s="879"/>
      <c r="N556" s="879"/>
      <c r="O556" s="879"/>
      <c r="P556" s="879"/>
      <c r="Q556" s="879"/>
      <c r="R556" s="879"/>
      <c r="S556" s="879"/>
      <c r="T556" s="879"/>
      <c r="U556" s="879"/>
      <c r="V556" s="879"/>
      <c r="W556" s="879"/>
    </row>
    <row r="557" spans="1:23" ht="12.75" customHeight="1">
      <c r="A557" s="879"/>
      <c r="B557" s="879"/>
      <c r="C557" s="879"/>
      <c r="D557" s="879"/>
      <c r="E557" s="879"/>
      <c r="F557" s="879"/>
      <c r="G557" s="879"/>
      <c r="H557" s="879"/>
      <c r="I557" s="879"/>
      <c r="J557" s="879"/>
      <c r="K557" s="879"/>
      <c r="L557" s="879"/>
      <c r="M557" s="879"/>
      <c r="N557" s="879"/>
      <c r="O557" s="879"/>
      <c r="P557" s="879"/>
      <c r="Q557" s="879"/>
      <c r="R557" s="879"/>
      <c r="S557" s="879"/>
      <c r="T557" s="879"/>
      <c r="U557" s="879"/>
      <c r="V557" s="879"/>
      <c r="W557" s="879"/>
    </row>
    <row r="558" spans="1:23" ht="12.75" customHeight="1">
      <c r="A558" s="879"/>
      <c r="B558" s="879"/>
      <c r="C558" s="879"/>
      <c r="D558" s="879"/>
      <c r="E558" s="879"/>
      <c r="F558" s="879"/>
      <c r="G558" s="879"/>
      <c r="H558" s="879"/>
      <c r="I558" s="879"/>
      <c r="J558" s="879"/>
      <c r="K558" s="879"/>
      <c r="L558" s="879"/>
      <c r="M558" s="879"/>
      <c r="N558" s="879"/>
      <c r="O558" s="879"/>
      <c r="P558" s="879"/>
      <c r="Q558" s="879"/>
      <c r="R558" s="879"/>
      <c r="S558" s="879"/>
      <c r="T558" s="879"/>
      <c r="U558" s="879"/>
      <c r="V558" s="879"/>
      <c r="W558" s="879"/>
    </row>
    <row r="559" spans="1:23" ht="12.75" customHeight="1">
      <c r="A559" s="879"/>
      <c r="B559" s="879"/>
      <c r="C559" s="879"/>
      <c r="D559" s="879"/>
      <c r="E559" s="879"/>
      <c r="F559" s="879"/>
      <c r="G559" s="879"/>
      <c r="H559" s="879"/>
      <c r="I559" s="879"/>
      <c r="J559" s="879"/>
      <c r="K559" s="879"/>
      <c r="L559" s="879"/>
      <c r="M559" s="879"/>
      <c r="N559" s="879"/>
      <c r="O559" s="879"/>
      <c r="P559" s="879"/>
      <c r="Q559" s="879"/>
      <c r="R559" s="879"/>
      <c r="S559" s="879"/>
      <c r="T559" s="879"/>
      <c r="U559" s="879"/>
      <c r="V559" s="879"/>
      <c r="W559" s="879"/>
    </row>
    <row r="560" spans="1:23" ht="12.75" customHeight="1">
      <c r="A560" s="879"/>
      <c r="B560" s="879"/>
      <c r="C560" s="879"/>
      <c r="D560" s="879"/>
      <c r="E560" s="879"/>
      <c r="F560" s="879"/>
      <c r="G560" s="879"/>
      <c r="H560" s="879"/>
      <c r="I560" s="879"/>
      <c r="J560" s="879"/>
      <c r="K560" s="879"/>
      <c r="L560" s="879"/>
      <c r="M560" s="879"/>
      <c r="N560" s="879"/>
      <c r="O560" s="879"/>
      <c r="P560" s="879"/>
      <c r="Q560" s="879"/>
      <c r="R560" s="879"/>
      <c r="S560" s="879"/>
      <c r="T560" s="879"/>
      <c r="U560" s="879"/>
      <c r="V560" s="879"/>
      <c r="W560" s="879"/>
    </row>
    <row r="561" spans="1:23" ht="12.75" customHeight="1">
      <c r="A561" s="879"/>
      <c r="B561" s="879"/>
      <c r="C561" s="879"/>
      <c r="D561" s="879"/>
      <c r="E561" s="879"/>
      <c r="F561" s="879"/>
      <c r="G561" s="879"/>
      <c r="H561" s="879"/>
      <c r="I561" s="879"/>
      <c r="J561" s="879"/>
      <c r="K561" s="879"/>
      <c r="L561" s="879"/>
      <c r="M561" s="879"/>
      <c r="N561" s="879"/>
      <c r="O561" s="879"/>
      <c r="P561" s="879"/>
      <c r="Q561" s="879"/>
      <c r="R561" s="879"/>
      <c r="S561" s="879"/>
      <c r="T561" s="879"/>
      <c r="U561" s="879"/>
      <c r="V561" s="879"/>
      <c r="W561" s="879"/>
    </row>
    <row r="562" spans="1:23" ht="12.75" customHeight="1">
      <c r="A562" s="879"/>
      <c r="B562" s="879"/>
      <c r="C562" s="879"/>
      <c r="D562" s="879"/>
      <c r="E562" s="879"/>
      <c r="F562" s="879"/>
      <c r="G562" s="879"/>
      <c r="H562" s="879"/>
      <c r="I562" s="879"/>
      <c r="J562" s="879"/>
      <c r="K562" s="879"/>
      <c r="L562" s="879"/>
      <c r="M562" s="879"/>
      <c r="N562" s="879"/>
      <c r="O562" s="879"/>
      <c r="P562" s="879"/>
      <c r="Q562" s="879"/>
      <c r="R562" s="879"/>
      <c r="S562" s="879"/>
      <c r="T562" s="879"/>
      <c r="U562" s="879"/>
      <c r="V562" s="879"/>
      <c r="W562" s="879"/>
    </row>
    <row r="563" spans="1:23" ht="12.75" customHeight="1">
      <c r="A563" s="879"/>
      <c r="B563" s="879"/>
      <c r="C563" s="879"/>
      <c r="D563" s="879"/>
      <c r="E563" s="879"/>
      <c r="F563" s="879"/>
      <c r="G563" s="879"/>
      <c r="H563" s="879"/>
      <c r="I563" s="879"/>
      <c r="J563" s="879"/>
      <c r="K563" s="879"/>
      <c r="L563" s="879"/>
      <c r="M563" s="879"/>
      <c r="N563" s="879"/>
      <c r="O563" s="879"/>
      <c r="P563" s="879"/>
      <c r="Q563" s="879"/>
      <c r="R563" s="879"/>
      <c r="S563" s="879"/>
      <c r="T563" s="879"/>
      <c r="U563" s="879"/>
      <c r="V563" s="879"/>
      <c r="W563" s="879"/>
    </row>
    <row r="564" spans="1:23" ht="12.75" customHeight="1">
      <c r="A564" s="879"/>
      <c r="B564" s="879"/>
      <c r="C564" s="879"/>
      <c r="D564" s="879"/>
      <c r="E564" s="879"/>
      <c r="F564" s="879"/>
      <c r="G564" s="879"/>
      <c r="H564" s="879"/>
      <c r="I564" s="879"/>
      <c r="J564" s="879"/>
      <c r="K564" s="879"/>
      <c r="L564" s="879"/>
      <c r="M564" s="879"/>
      <c r="N564" s="879"/>
      <c r="O564" s="879"/>
      <c r="P564" s="879"/>
      <c r="Q564" s="879"/>
      <c r="R564" s="879"/>
      <c r="S564" s="879"/>
      <c r="T564" s="879"/>
      <c r="U564" s="879"/>
      <c r="V564" s="879"/>
      <c r="W564" s="879"/>
    </row>
    <row r="565" spans="1:23" ht="12.75" customHeight="1">
      <c r="A565" s="879"/>
      <c r="B565" s="879"/>
      <c r="C565" s="879"/>
      <c r="D565" s="879"/>
      <c r="E565" s="879"/>
      <c r="F565" s="879"/>
      <c r="G565" s="879"/>
      <c r="H565" s="879"/>
      <c r="I565" s="879"/>
      <c r="J565" s="879"/>
      <c r="K565" s="879"/>
      <c r="L565" s="879"/>
      <c r="M565" s="879"/>
      <c r="N565" s="879"/>
      <c r="O565" s="879"/>
      <c r="P565" s="879"/>
      <c r="Q565" s="879"/>
      <c r="R565" s="879"/>
      <c r="S565" s="879"/>
      <c r="T565" s="879"/>
      <c r="U565" s="879"/>
      <c r="V565" s="879"/>
      <c r="W565" s="879"/>
    </row>
    <row r="566" spans="1:23" ht="12.75" customHeight="1">
      <c r="A566" s="879"/>
      <c r="B566" s="879"/>
      <c r="C566" s="879"/>
      <c r="D566" s="879"/>
      <c r="E566" s="879"/>
      <c r="F566" s="879"/>
      <c r="G566" s="879"/>
      <c r="H566" s="879"/>
      <c r="I566" s="879"/>
      <c r="J566" s="879"/>
      <c r="K566" s="879"/>
      <c r="L566" s="879"/>
      <c r="M566" s="879"/>
      <c r="N566" s="879"/>
      <c r="O566" s="879"/>
      <c r="P566" s="879"/>
      <c r="Q566" s="879"/>
      <c r="R566" s="879"/>
      <c r="S566" s="879"/>
      <c r="T566" s="879"/>
      <c r="U566" s="879"/>
      <c r="V566" s="879"/>
      <c r="W566" s="879"/>
    </row>
    <row r="567" spans="1:23" ht="12.75" customHeight="1">
      <c r="A567" s="879"/>
      <c r="B567" s="879"/>
      <c r="C567" s="879"/>
      <c r="D567" s="879"/>
      <c r="E567" s="879"/>
      <c r="F567" s="879"/>
      <c r="G567" s="879"/>
      <c r="H567" s="879"/>
      <c r="I567" s="879"/>
      <c r="J567" s="879"/>
      <c r="K567" s="879"/>
      <c r="L567" s="879"/>
      <c r="M567" s="879"/>
      <c r="N567" s="879"/>
      <c r="O567" s="879"/>
      <c r="P567" s="879"/>
      <c r="Q567" s="879"/>
      <c r="R567" s="879"/>
      <c r="S567" s="879"/>
      <c r="T567" s="879"/>
      <c r="U567" s="879"/>
      <c r="V567" s="879"/>
      <c r="W567" s="879"/>
    </row>
    <row r="568" spans="1:23" ht="12.75" customHeight="1">
      <c r="A568" s="879"/>
      <c r="B568" s="879"/>
      <c r="C568" s="879"/>
      <c r="D568" s="879"/>
      <c r="E568" s="879"/>
      <c r="F568" s="879"/>
      <c r="G568" s="879"/>
      <c r="H568" s="879"/>
      <c r="I568" s="879"/>
      <c r="J568" s="879"/>
      <c r="K568" s="879"/>
      <c r="L568" s="879"/>
      <c r="M568" s="879"/>
      <c r="N568" s="879"/>
      <c r="O568" s="879"/>
      <c r="P568" s="879"/>
      <c r="Q568" s="879"/>
      <c r="R568" s="879"/>
      <c r="S568" s="879"/>
      <c r="T568" s="879"/>
      <c r="U568" s="879"/>
      <c r="V568" s="879"/>
      <c r="W568" s="879"/>
    </row>
    <row r="569" spans="1:23" ht="12.75" customHeight="1">
      <c r="A569" s="879"/>
      <c r="B569" s="879"/>
      <c r="C569" s="879"/>
      <c r="D569" s="879"/>
      <c r="E569" s="879"/>
      <c r="F569" s="879"/>
      <c r="G569" s="879"/>
      <c r="H569" s="879"/>
      <c r="I569" s="879"/>
      <c r="J569" s="879"/>
      <c r="K569" s="879"/>
      <c r="L569" s="879"/>
      <c r="M569" s="879"/>
      <c r="N569" s="879"/>
      <c r="O569" s="879"/>
      <c r="P569" s="879"/>
      <c r="Q569" s="879"/>
      <c r="R569" s="879"/>
      <c r="S569" s="879"/>
      <c r="T569" s="879"/>
      <c r="U569" s="879"/>
      <c r="V569" s="879"/>
      <c r="W569" s="879"/>
    </row>
    <row r="570" spans="1:23" ht="12.75" customHeight="1">
      <c r="A570" s="879"/>
      <c r="B570" s="879"/>
      <c r="C570" s="879"/>
      <c r="D570" s="879"/>
      <c r="E570" s="879"/>
      <c r="F570" s="879"/>
      <c r="G570" s="879"/>
      <c r="H570" s="879"/>
      <c r="I570" s="879"/>
      <c r="J570" s="879"/>
      <c r="K570" s="879"/>
      <c r="L570" s="879"/>
      <c r="M570" s="879"/>
      <c r="N570" s="879"/>
      <c r="O570" s="879"/>
      <c r="P570" s="879"/>
      <c r="Q570" s="879"/>
      <c r="R570" s="879"/>
      <c r="S570" s="879"/>
      <c r="T570" s="879"/>
      <c r="U570" s="879"/>
      <c r="V570" s="879"/>
      <c r="W570" s="879"/>
    </row>
    <row r="571" spans="1:23" ht="12.75" customHeight="1">
      <c r="A571" s="879"/>
      <c r="B571" s="879"/>
      <c r="C571" s="879"/>
      <c r="D571" s="879"/>
      <c r="E571" s="879"/>
      <c r="F571" s="879"/>
      <c r="G571" s="879"/>
      <c r="H571" s="879"/>
      <c r="I571" s="879"/>
      <c r="J571" s="879"/>
      <c r="K571" s="879"/>
      <c r="L571" s="879"/>
      <c r="M571" s="879"/>
      <c r="N571" s="879"/>
      <c r="O571" s="879"/>
      <c r="P571" s="879"/>
      <c r="Q571" s="879"/>
      <c r="R571" s="879"/>
      <c r="S571" s="879"/>
      <c r="T571" s="879"/>
      <c r="U571" s="879"/>
      <c r="V571" s="879"/>
      <c r="W571" s="879"/>
    </row>
    <row r="572" spans="1:23" ht="12.75" customHeight="1">
      <c r="A572" s="879"/>
      <c r="B572" s="879"/>
      <c r="C572" s="879"/>
      <c r="D572" s="879"/>
      <c r="E572" s="879"/>
      <c r="F572" s="879"/>
      <c r="G572" s="879"/>
      <c r="H572" s="879"/>
      <c r="I572" s="879"/>
      <c r="J572" s="879"/>
      <c r="K572" s="879"/>
      <c r="L572" s="879"/>
      <c r="M572" s="879"/>
      <c r="N572" s="879"/>
      <c r="O572" s="879"/>
      <c r="P572" s="879"/>
      <c r="Q572" s="879"/>
      <c r="R572" s="879"/>
      <c r="S572" s="879"/>
      <c r="T572" s="879"/>
      <c r="U572" s="879"/>
      <c r="V572" s="879"/>
      <c r="W572" s="879"/>
    </row>
    <row r="573" spans="1:23" ht="12.75" customHeight="1">
      <c r="A573" s="879"/>
      <c r="B573" s="879"/>
      <c r="C573" s="879"/>
      <c r="D573" s="879"/>
      <c r="E573" s="879"/>
      <c r="F573" s="879"/>
      <c r="G573" s="879"/>
      <c r="H573" s="879"/>
      <c r="I573" s="879"/>
      <c r="J573" s="879"/>
      <c r="K573" s="879"/>
      <c r="L573" s="879"/>
      <c r="M573" s="879"/>
      <c r="N573" s="879"/>
      <c r="O573" s="879"/>
      <c r="P573" s="879"/>
      <c r="Q573" s="879"/>
      <c r="R573" s="879"/>
      <c r="S573" s="879"/>
      <c r="T573" s="879"/>
      <c r="U573" s="879"/>
      <c r="V573" s="879"/>
      <c r="W573" s="879"/>
    </row>
    <row r="574" spans="1:23" ht="12.75" customHeight="1">
      <c r="A574" s="879"/>
      <c r="B574" s="879"/>
      <c r="C574" s="879"/>
      <c r="D574" s="879"/>
      <c r="E574" s="879"/>
      <c r="F574" s="879"/>
      <c r="G574" s="879"/>
      <c r="H574" s="879"/>
      <c r="I574" s="879"/>
      <c r="J574" s="879"/>
      <c r="K574" s="879"/>
      <c r="L574" s="879"/>
      <c r="M574" s="879"/>
      <c r="N574" s="879"/>
      <c r="O574" s="879"/>
      <c r="P574" s="879"/>
      <c r="Q574" s="879"/>
      <c r="R574" s="879"/>
      <c r="S574" s="879"/>
      <c r="T574" s="879"/>
      <c r="U574" s="879"/>
      <c r="V574" s="879"/>
      <c r="W574" s="879"/>
    </row>
    <row r="575" spans="1:23" ht="12.75" customHeight="1">
      <c r="A575" s="879"/>
      <c r="B575" s="879"/>
      <c r="C575" s="879"/>
      <c r="D575" s="879"/>
      <c r="E575" s="879"/>
      <c r="F575" s="879"/>
      <c r="G575" s="879"/>
      <c r="H575" s="879"/>
      <c r="I575" s="879"/>
      <c r="J575" s="879"/>
      <c r="K575" s="879"/>
      <c r="L575" s="879"/>
      <c r="M575" s="879"/>
      <c r="N575" s="879"/>
      <c r="O575" s="879"/>
      <c r="P575" s="879"/>
      <c r="Q575" s="879"/>
      <c r="R575" s="879"/>
      <c r="S575" s="879"/>
      <c r="T575" s="879"/>
      <c r="U575" s="879"/>
      <c r="V575" s="879"/>
      <c r="W575" s="879"/>
    </row>
    <row r="576" spans="1:23" ht="12.75" customHeight="1">
      <c r="A576" s="879"/>
      <c r="B576" s="879"/>
      <c r="C576" s="879"/>
      <c r="D576" s="879"/>
      <c r="E576" s="879"/>
      <c r="F576" s="879"/>
      <c r="G576" s="879"/>
      <c r="H576" s="879"/>
      <c r="I576" s="879"/>
      <c r="J576" s="879"/>
      <c r="K576" s="879"/>
      <c r="L576" s="879"/>
      <c r="M576" s="879"/>
      <c r="N576" s="879"/>
      <c r="O576" s="879"/>
      <c r="P576" s="879"/>
      <c r="Q576" s="879"/>
      <c r="R576" s="879"/>
      <c r="S576" s="879"/>
      <c r="T576" s="879"/>
      <c r="U576" s="879"/>
      <c r="V576" s="879"/>
      <c r="W576" s="879"/>
    </row>
    <row r="577" spans="1:23" ht="12.75" customHeight="1">
      <c r="A577" s="879"/>
      <c r="B577" s="879"/>
      <c r="C577" s="879"/>
      <c r="D577" s="879"/>
      <c r="E577" s="879"/>
      <c r="F577" s="879"/>
      <c r="G577" s="879"/>
      <c r="H577" s="879"/>
      <c r="I577" s="879"/>
      <c r="J577" s="879"/>
      <c r="K577" s="879"/>
      <c r="L577" s="879"/>
      <c r="M577" s="879"/>
      <c r="N577" s="879"/>
      <c r="O577" s="879"/>
      <c r="P577" s="879"/>
      <c r="Q577" s="879"/>
      <c r="R577" s="879"/>
      <c r="S577" s="879"/>
      <c r="T577" s="879"/>
      <c r="U577" s="879"/>
      <c r="V577" s="879"/>
      <c r="W577" s="879"/>
    </row>
    <row r="578" spans="1:23" ht="12.75" customHeight="1">
      <c r="A578" s="879"/>
      <c r="B578" s="879"/>
      <c r="C578" s="879"/>
      <c r="D578" s="879"/>
      <c r="E578" s="879"/>
      <c r="F578" s="879"/>
      <c r="G578" s="879"/>
      <c r="H578" s="879"/>
      <c r="I578" s="879"/>
      <c r="J578" s="879"/>
      <c r="K578" s="879"/>
      <c r="L578" s="879"/>
      <c r="M578" s="879"/>
      <c r="N578" s="879"/>
      <c r="O578" s="879"/>
      <c r="P578" s="879"/>
      <c r="Q578" s="879"/>
      <c r="R578" s="879"/>
      <c r="S578" s="879"/>
      <c r="T578" s="879"/>
      <c r="U578" s="879"/>
      <c r="V578" s="879"/>
      <c r="W578" s="879"/>
    </row>
    <row r="579" spans="1:23" ht="12.75" customHeight="1">
      <c r="A579" s="879"/>
      <c r="B579" s="879"/>
      <c r="C579" s="879"/>
      <c r="D579" s="879"/>
      <c r="E579" s="879"/>
      <c r="F579" s="879"/>
      <c r="G579" s="879"/>
      <c r="H579" s="879"/>
      <c r="I579" s="879"/>
      <c r="J579" s="879"/>
      <c r="K579" s="879"/>
      <c r="L579" s="879"/>
      <c r="M579" s="879"/>
      <c r="N579" s="879"/>
      <c r="O579" s="879"/>
      <c r="P579" s="879"/>
      <c r="Q579" s="879"/>
      <c r="R579" s="879"/>
      <c r="S579" s="879"/>
      <c r="T579" s="879"/>
      <c r="U579" s="879"/>
      <c r="V579" s="879"/>
      <c r="W579" s="879"/>
    </row>
    <row r="580" spans="1:23" ht="12.75" customHeight="1">
      <c r="A580" s="879"/>
      <c r="B580" s="879"/>
      <c r="C580" s="879"/>
      <c r="D580" s="879"/>
      <c r="E580" s="879"/>
      <c r="F580" s="879"/>
      <c r="G580" s="879"/>
      <c r="H580" s="879"/>
      <c r="I580" s="879"/>
      <c r="J580" s="879"/>
      <c r="K580" s="879"/>
      <c r="L580" s="879"/>
      <c r="M580" s="879"/>
      <c r="N580" s="879"/>
      <c r="O580" s="879"/>
      <c r="P580" s="879"/>
      <c r="Q580" s="879"/>
      <c r="R580" s="879"/>
      <c r="S580" s="879"/>
      <c r="T580" s="879"/>
      <c r="U580" s="879"/>
      <c r="V580" s="879"/>
      <c r="W580" s="879"/>
    </row>
    <row r="581" spans="1:23" ht="12.75" customHeight="1">
      <c r="A581" s="879"/>
      <c r="B581" s="879"/>
      <c r="C581" s="879"/>
      <c r="D581" s="879"/>
      <c r="E581" s="879"/>
      <c r="F581" s="879"/>
      <c r="G581" s="879"/>
      <c r="H581" s="879"/>
      <c r="I581" s="879"/>
      <c r="J581" s="879"/>
      <c r="K581" s="879"/>
      <c r="L581" s="879"/>
      <c r="M581" s="879"/>
      <c r="N581" s="879"/>
      <c r="O581" s="879"/>
      <c r="P581" s="879"/>
      <c r="Q581" s="879"/>
      <c r="R581" s="879"/>
      <c r="S581" s="879"/>
      <c r="T581" s="879"/>
      <c r="U581" s="879"/>
      <c r="V581" s="879"/>
      <c r="W581" s="879"/>
    </row>
    <row r="582" spans="1:23" ht="12.75" customHeight="1">
      <c r="A582" s="879"/>
      <c r="B582" s="879"/>
      <c r="C582" s="879"/>
      <c r="D582" s="879"/>
      <c r="E582" s="879"/>
      <c r="F582" s="879"/>
      <c r="G582" s="879"/>
      <c r="H582" s="879"/>
      <c r="I582" s="879"/>
      <c r="J582" s="879"/>
      <c r="K582" s="879"/>
      <c r="L582" s="879"/>
      <c r="M582" s="879"/>
      <c r="N582" s="879"/>
      <c r="O582" s="879"/>
      <c r="P582" s="879"/>
      <c r="Q582" s="879"/>
      <c r="R582" s="879"/>
      <c r="S582" s="879"/>
      <c r="T582" s="879"/>
      <c r="U582" s="879"/>
      <c r="V582" s="879"/>
      <c r="W582" s="879"/>
    </row>
    <row r="583" spans="1:23" ht="12.75" customHeight="1">
      <c r="A583" s="879"/>
      <c r="B583" s="879"/>
      <c r="C583" s="879"/>
      <c r="D583" s="879"/>
      <c r="E583" s="879"/>
      <c r="F583" s="879"/>
      <c r="G583" s="879"/>
      <c r="H583" s="879"/>
      <c r="I583" s="879"/>
      <c r="J583" s="879"/>
      <c r="K583" s="879"/>
      <c r="L583" s="879"/>
      <c r="M583" s="879"/>
      <c r="N583" s="879"/>
      <c r="O583" s="879"/>
      <c r="P583" s="879"/>
      <c r="Q583" s="879"/>
      <c r="R583" s="879"/>
      <c r="S583" s="879"/>
      <c r="T583" s="879"/>
      <c r="U583" s="879"/>
      <c r="V583" s="879"/>
      <c r="W583" s="879"/>
    </row>
    <row r="584" spans="1:23" ht="12.75" customHeight="1">
      <c r="A584" s="879"/>
      <c r="B584" s="879"/>
      <c r="C584" s="879"/>
      <c r="D584" s="879"/>
      <c r="E584" s="879"/>
      <c r="F584" s="879"/>
      <c r="G584" s="879"/>
      <c r="H584" s="879"/>
      <c r="I584" s="879"/>
      <c r="J584" s="879"/>
      <c r="K584" s="879"/>
      <c r="L584" s="879"/>
      <c r="M584" s="879"/>
      <c r="N584" s="879"/>
      <c r="O584" s="879"/>
      <c r="P584" s="879"/>
      <c r="Q584" s="879"/>
      <c r="R584" s="879"/>
      <c r="S584" s="879"/>
      <c r="T584" s="879"/>
      <c r="U584" s="879"/>
      <c r="V584" s="879"/>
      <c r="W584" s="879"/>
    </row>
    <row r="585" spans="1:23" ht="12.75" customHeight="1">
      <c r="A585" s="879"/>
      <c r="B585" s="879"/>
      <c r="C585" s="879"/>
      <c r="D585" s="879"/>
      <c r="E585" s="879"/>
      <c r="F585" s="879"/>
      <c r="G585" s="879"/>
      <c r="H585" s="879"/>
      <c r="I585" s="879"/>
      <c r="J585" s="879"/>
      <c r="K585" s="879"/>
      <c r="L585" s="879"/>
      <c r="M585" s="879"/>
      <c r="N585" s="879"/>
      <c r="O585" s="879"/>
      <c r="P585" s="879"/>
      <c r="Q585" s="879"/>
      <c r="R585" s="879"/>
      <c r="S585" s="879"/>
      <c r="T585" s="879"/>
      <c r="U585" s="879"/>
      <c r="V585" s="879"/>
      <c r="W585" s="879"/>
    </row>
    <row r="586" spans="1:23" ht="12.75" customHeight="1">
      <c r="A586" s="879"/>
      <c r="B586" s="879"/>
      <c r="C586" s="879"/>
      <c r="D586" s="879"/>
      <c r="E586" s="879"/>
      <c r="F586" s="879"/>
      <c r="G586" s="879"/>
      <c r="H586" s="879"/>
      <c r="I586" s="879"/>
      <c r="J586" s="879"/>
      <c r="K586" s="879"/>
      <c r="L586" s="879"/>
      <c r="M586" s="879"/>
      <c r="N586" s="879"/>
      <c r="O586" s="879"/>
      <c r="P586" s="879"/>
      <c r="Q586" s="879"/>
      <c r="R586" s="879"/>
      <c r="S586" s="879"/>
      <c r="T586" s="879"/>
      <c r="U586" s="879"/>
      <c r="V586" s="879"/>
      <c r="W586" s="879"/>
    </row>
    <row r="587" spans="1:23" ht="12.75" customHeight="1">
      <c r="A587" s="879"/>
      <c r="B587" s="879"/>
      <c r="C587" s="879"/>
      <c r="D587" s="879"/>
      <c r="E587" s="879"/>
      <c r="F587" s="879"/>
      <c r="G587" s="879"/>
      <c r="H587" s="879"/>
      <c r="I587" s="879"/>
      <c r="J587" s="879"/>
      <c r="K587" s="879"/>
      <c r="L587" s="879"/>
      <c r="M587" s="879"/>
      <c r="N587" s="879"/>
      <c r="O587" s="879"/>
      <c r="P587" s="879"/>
      <c r="Q587" s="879"/>
      <c r="R587" s="879"/>
      <c r="S587" s="879"/>
      <c r="T587" s="879"/>
      <c r="U587" s="879"/>
      <c r="V587" s="879"/>
      <c r="W587" s="879"/>
    </row>
    <row r="588" spans="1:23" ht="12.75" customHeight="1">
      <c r="A588" s="879"/>
      <c r="B588" s="879"/>
      <c r="C588" s="879"/>
      <c r="D588" s="879"/>
      <c r="E588" s="879"/>
      <c r="F588" s="879"/>
      <c r="G588" s="879"/>
      <c r="H588" s="879"/>
      <c r="I588" s="879"/>
      <c r="J588" s="879"/>
      <c r="K588" s="879"/>
      <c r="L588" s="879"/>
      <c r="M588" s="879"/>
      <c r="N588" s="879"/>
      <c r="O588" s="879"/>
      <c r="P588" s="879"/>
      <c r="Q588" s="879"/>
      <c r="R588" s="879"/>
      <c r="S588" s="879"/>
      <c r="T588" s="879"/>
      <c r="U588" s="879"/>
      <c r="V588" s="879"/>
      <c r="W588" s="879"/>
    </row>
    <row r="589" spans="1:23" ht="12.75" customHeight="1">
      <c r="A589" s="879"/>
      <c r="B589" s="879"/>
      <c r="C589" s="879"/>
      <c r="D589" s="879"/>
      <c r="E589" s="879"/>
      <c r="F589" s="879"/>
      <c r="G589" s="879"/>
      <c r="H589" s="879"/>
      <c r="I589" s="879"/>
      <c r="J589" s="879"/>
      <c r="K589" s="879"/>
      <c r="L589" s="879"/>
      <c r="M589" s="879"/>
      <c r="N589" s="879"/>
      <c r="O589" s="879"/>
      <c r="P589" s="879"/>
      <c r="Q589" s="879"/>
      <c r="R589" s="879"/>
      <c r="S589" s="879"/>
      <c r="T589" s="879"/>
      <c r="U589" s="879"/>
      <c r="V589" s="879"/>
      <c r="W589" s="879"/>
    </row>
    <row r="590" spans="1:23" ht="12.75" customHeight="1">
      <c r="A590" s="879"/>
      <c r="B590" s="879"/>
      <c r="C590" s="879"/>
      <c r="D590" s="879"/>
      <c r="E590" s="879"/>
      <c r="F590" s="879"/>
      <c r="G590" s="879"/>
      <c r="H590" s="879"/>
      <c r="I590" s="879"/>
      <c r="J590" s="879"/>
      <c r="K590" s="879"/>
      <c r="L590" s="879"/>
      <c r="M590" s="879"/>
      <c r="N590" s="879"/>
      <c r="O590" s="879"/>
      <c r="P590" s="879"/>
      <c r="Q590" s="879"/>
      <c r="R590" s="879"/>
      <c r="S590" s="879"/>
      <c r="T590" s="879"/>
      <c r="U590" s="879"/>
      <c r="V590" s="879"/>
      <c r="W590" s="879"/>
    </row>
    <row r="591" spans="1:23" ht="12.75" customHeight="1">
      <c r="A591" s="879"/>
      <c r="B591" s="879"/>
      <c r="C591" s="879"/>
      <c r="D591" s="879"/>
      <c r="E591" s="879"/>
      <c r="F591" s="879"/>
      <c r="G591" s="879"/>
      <c r="H591" s="879"/>
      <c r="I591" s="879"/>
      <c r="J591" s="879"/>
      <c r="K591" s="879"/>
      <c r="L591" s="879"/>
      <c r="M591" s="879"/>
      <c r="N591" s="879"/>
      <c r="O591" s="879"/>
      <c r="P591" s="879"/>
      <c r="Q591" s="879"/>
      <c r="R591" s="879"/>
      <c r="S591" s="879"/>
      <c r="T591" s="879"/>
      <c r="U591" s="879"/>
      <c r="V591" s="879"/>
      <c r="W591" s="879"/>
    </row>
    <row r="592" spans="1:23" ht="12.75" customHeight="1">
      <c r="A592" s="879"/>
      <c r="B592" s="879"/>
      <c r="C592" s="879"/>
      <c r="D592" s="879"/>
      <c r="E592" s="879"/>
      <c r="F592" s="879"/>
      <c r="G592" s="879"/>
      <c r="H592" s="879"/>
      <c r="I592" s="879"/>
      <c r="J592" s="879"/>
      <c r="K592" s="879"/>
      <c r="L592" s="879"/>
      <c r="M592" s="879"/>
      <c r="N592" s="879"/>
      <c r="O592" s="879"/>
      <c r="P592" s="879"/>
      <c r="Q592" s="879"/>
      <c r="R592" s="879"/>
      <c r="S592" s="879"/>
      <c r="T592" s="879"/>
      <c r="U592" s="879"/>
      <c r="V592" s="879"/>
      <c r="W592" s="879"/>
    </row>
    <row r="593" spans="1:23" ht="12.75" customHeight="1">
      <c r="A593" s="879"/>
      <c r="B593" s="879"/>
      <c r="C593" s="879"/>
      <c r="D593" s="879"/>
      <c r="E593" s="879"/>
      <c r="F593" s="879"/>
      <c r="G593" s="879"/>
      <c r="H593" s="879"/>
      <c r="I593" s="879"/>
      <c r="J593" s="879"/>
      <c r="K593" s="879"/>
      <c r="L593" s="879"/>
      <c r="M593" s="879"/>
      <c r="N593" s="879"/>
      <c r="O593" s="879"/>
      <c r="P593" s="879"/>
      <c r="Q593" s="879"/>
      <c r="R593" s="879"/>
      <c r="S593" s="879"/>
      <c r="T593" s="879"/>
      <c r="U593" s="879"/>
      <c r="V593" s="879"/>
      <c r="W593" s="879"/>
    </row>
    <row r="594" spans="1:23" ht="12.75" customHeight="1">
      <c r="A594" s="879"/>
      <c r="B594" s="879"/>
      <c r="C594" s="879"/>
      <c r="D594" s="879"/>
      <c r="E594" s="879"/>
      <c r="F594" s="879"/>
      <c r="G594" s="879"/>
      <c r="H594" s="879"/>
      <c r="I594" s="879"/>
      <c r="J594" s="879"/>
      <c r="K594" s="879"/>
      <c r="L594" s="879"/>
      <c r="M594" s="879"/>
      <c r="N594" s="879"/>
      <c r="O594" s="879"/>
      <c r="P594" s="879"/>
      <c r="Q594" s="879"/>
      <c r="R594" s="879"/>
      <c r="S594" s="879"/>
      <c r="T594" s="879"/>
      <c r="U594" s="879"/>
      <c r="V594" s="879"/>
      <c r="W594" s="879"/>
    </row>
    <row r="595" spans="1:23" ht="12.75" customHeight="1">
      <c r="A595" s="879"/>
      <c r="B595" s="879"/>
      <c r="C595" s="879"/>
      <c r="D595" s="879"/>
      <c r="E595" s="879"/>
      <c r="F595" s="879"/>
      <c r="G595" s="879"/>
      <c r="H595" s="879"/>
      <c r="I595" s="879"/>
      <c r="J595" s="879"/>
      <c r="K595" s="879"/>
      <c r="L595" s="879"/>
      <c r="M595" s="879"/>
      <c r="N595" s="879"/>
      <c r="O595" s="879"/>
      <c r="P595" s="879"/>
      <c r="Q595" s="879"/>
      <c r="R595" s="879"/>
      <c r="S595" s="879"/>
      <c r="T595" s="879"/>
      <c r="U595" s="879"/>
      <c r="V595" s="879"/>
      <c r="W595" s="879"/>
    </row>
    <row r="596" spans="1:23" ht="12.75" customHeight="1">
      <c r="A596" s="879"/>
      <c r="B596" s="879"/>
      <c r="C596" s="879"/>
      <c r="D596" s="879"/>
      <c r="E596" s="879"/>
      <c r="F596" s="879"/>
      <c r="G596" s="879"/>
      <c r="H596" s="879"/>
      <c r="I596" s="879"/>
      <c r="J596" s="879"/>
      <c r="K596" s="879"/>
      <c r="L596" s="879"/>
      <c r="M596" s="879"/>
      <c r="N596" s="879"/>
      <c r="O596" s="879"/>
      <c r="P596" s="879"/>
      <c r="Q596" s="879"/>
      <c r="R596" s="879"/>
      <c r="S596" s="879"/>
      <c r="T596" s="879"/>
      <c r="U596" s="879"/>
      <c r="V596" s="879"/>
      <c r="W596" s="879"/>
    </row>
    <row r="597" spans="1:23" ht="12.75" customHeight="1">
      <c r="A597" s="879"/>
      <c r="B597" s="879"/>
      <c r="C597" s="879"/>
      <c r="D597" s="879"/>
      <c r="E597" s="879"/>
      <c r="F597" s="879"/>
      <c r="G597" s="879"/>
      <c r="H597" s="879"/>
      <c r="I597" s="879"/>
      <c r="J597" s="879"/>
      <c r="K597" s="879"/>
      <c r="L597" s="879"/>
      <c r="M597" s="879"/>
      <c r="N597" s="879"/>
      <c r="O597" s="879"/>
      <c r="P597" s="879"/>
      <c r="Q597" s="879"/>
      <c r="R597" s="879"/>
      <c r="S597" s="879"/>
      <c r="T597" s="879"/>
      <c r="U597" s="879"/>
      <c r="V597" s="879"/>
      <c r="W597" s="879"/>
    </row>
    <row r="598" spans="1:23" ht="12.75" customHeight="1">
      <c r="A598" s="879"/>
      <c r="B598" s="879"/>
      <c r="C598" s="879"/>
      <c r="D598" s="879"/>
      <c r="E598" s="879"/>
      <c r="F598" s="879"/>
      <c r="G598" s="879"/>
      <c r="H598" s="879"/>
      <c r="I598" s="879"/>
      <c r="J598" s="879"/>
      <c r="K598" s="879"/>
      <c r="L598" s="879"/>
      <c r="M598" s="879"/>
      <c r="N598" s="879"/>
      <c r="O598" s="879"/>
      <c r="P598" s="879"/>
      <c r="Q598" s="879"/>
      <c r="R598" s="879"/>
      <c r="S598" s="879"/>
      <c r="T598" s="879"/>
      <c r="U598" s="879"/>
      <c r="V598" s="879"/>
      <c r="W598" s="879"/>
    </row>
    <row r="599" spans="1:23" ht="12.75" customHeight="1">
      <c r="A599" s="879"/>
      <c r="B599" s="879"/>
      <c r="C599" s="879"/>
      <c r="D599" s="879"/>
      <c r="E599" s="879"/>
      <c r="F599" s="879"/>
      <c r="G599" s="879"/>
      <c r="H599" s="879"/>
      <c r="I599" s="879"/>
      <c r="J599" s="879"/>
      <c r="K599" s="879"/>
      <c r="L599" s="879"/>
      <c r="M599" s="879"/>
      <c r="N599" s="879"/>
      <c r="O599" s="879"/>
      <c r="P599" s="879"/>
      <c r="Q599" s="879"/>
      <c r="R599" s="879"/>
      <c r="S599" s="879"/>
      <c r="T599" s="879"/>
      <c r="U599" s="879"/>
      <c r="V599" s="879"/>
      <c r="W599" s="879"/>
    </row>
    <row r="600" spans="1:23" ht="12.75" customHeight="1">
      <c r="A600" s="879"/>
      <c r="B600" s="879"/>
      <c r="C600" s="879"/>
      <c r="D600" s="879"/>
      <c r="E600" s="879"/>
      <c r="F600" s="879"/>
      <c r="G600" s="879"/>
      <c r="H600" s="879"/>
      <c r="I600" s="879"/>
      <c r="J600" s="879"/>
      <c r="K600" s="879"/>
      <c r="L600" s="879"/>
      <c r="M600" s="879"/>
      <c r="N600" s="879"/>
      <c r="O600" s="879"/>
      <c r="P600" s="879"/>
      <c r="Q600" s="879"/>
      <c r="R600" s="879"/>
      <c r="S600" s="879"/>
      <c r="T600" s="879"/>
      <c r="U600" s="879"/>
      <c r="V600" s="879"/>
      <c r="W600" s="879"/>
    </row>
    <row r="601" spans="1:23" ht="12.75" customHeight="1">
      <c r="A601" s="879"/>
      <c r="B601" s="879"/>
      <c r="C601" s="879"/>
      <c r="D601" s="879"/>
      <c r="E601" s="879"/>
      <c r="F601" s="879"/>
      <c r="G601" s="879"/>
      <c r="H601" s="879"/>
      <c r="I601" s="879"/>
      <c r="J601" s="879"/>
      <c r="K601" s="879"/>
      <c r="L601" s="879"/>
      <c r="M601" s="879"/>
      <c r="N601" s="879"/>
      <c r="O601" s="879"/>
      <c r="P601" s="879"/>
      <c r="Q601" s="879"/>
      <c r="R601" s="879"/>
      <c r="S601" s="879"/>
      <c r="T601" s="879"/>
      <c r="U601" s="879"/>
      <c r="V601" s="879"/>
      <c r="W601" s="879"/>
    </row>
    <row r="602" spans="1:23" ht="12.75" customHeight="1">
      <c r="A602" s="879"/>
      <c r="B602" s="879"/>
      <c r="C602" s="879"/>
      <c r="D602" s="879"/>
      <c r="E602" s="879"/>
      <c r="F602" s="879"/>
      <c r="G602" s="879"/>
      <c r="H602" s="879"/>
      <c r="I602" s="879"/>
      <c r="J602" s="879"/>
      <c r="K602" s="879"/>
      <c r="L602" s="879"/>
      <c r="M602" s="879"/>
      <c r="N602" s="879"/>
      <c r="O602" s="879"/>
      <c r="P602" s="879"/>
      <c r="Q602" s="879"/>
      <c r="R602" s="879"/>
      <c r="S602" s="879"/>
      <c r="T602" s="879"/>
      <c r="U602" s="879"/>
      <c r="V602" s="879"/>
      <c r="W602" s="879"/>
    </row>
    <row r="603" spans="1:23" ht="12.75" customHeight="1">
      <c r="A603" s="879"/>
      <c r="B603" s="879"/>
      <c r="C603" s="879"/>
      <c r="D603" s="879"/>
      <c r="E603" s="879"/>
      <c r="F603" s="879"/>
      <c r="G603" s="879"/>
      <c r="H603" s="879"/>
      <c r="I603" s="879"/>
      <c r="J603" s="879"/>
      <c r="K603" s="879"/>
      <c r="L603" s="879"/>
      <c r="M603" s="879"/>
      <c r="N603" s="879"/>
      <c r="O603" s="879"/>
      <c r="P603" s="879"/>
      <c r="Q603" s="879"/>
      <c r="R603" s="879"/>
      <c r="S603" s="879"/>
      <c r="T603" s="879"/>
      <c r="U603" s="879"/>
      <c r="V603" s="879"/>
      <c r="W603" s="879"/>
    </row>
    <row r="604" spans="1:23" ht="12.75" customHeight="1">
      <c r="A604" s="879"/>
      <c r="B604" s="879"/>
      <c r="C604" s="879"/>
      <c r="D604" s="879"/>
      <c r="E604" s="879"/>
      <c r="F604" s="879"/>
      <c r="G604" s="879"/>
      <c r="H604" s="879"/>
      <c r="I604" s="879"/>
      <c r="J604" s="879"/>
      <c r="K604" s="879"/>
      <c r="L604" s="879"/>
      <c r="M604" s="879"/>
      <c r="N604" s="879"/>
      <c r="O604" s="879"/>
      <c r="P604" s="879"/>
      <c r="Q604" s="879"/>
      <c r="R604" s="879"/>
      <c r="S604" s="879"/>
      <c r="T604" s="879"/>
      <c r="U604" s="879"/>
      <c r="V604" s="879"/>
      <c r="W604" s="879"/>
    </row>
    <row r="605" spans="1:23" ht="12.75" customHeight="1">
      <c r="A605" s="879"/>
      <c r="B605" s="879"/>
      <c r="C605" s="879"/>
      <c r="D605" s="879"/>
      <c r="E605" s="879"/>
      <c r="F605" s="879"/>
      <c r="G605" s="879"/>
      <c r="H605" s="879"/>
      <c r="I605" s="879"/>
      <c r="J605" s="879"/>
      <c r="K605" s="879"/>
      <c r="L605" s="879"/>
      <c r="M605" s="879"/>
      <c r="N605" s="879"/>
      <c r="O605" s="879"/>
      <c r="P605" s="879"/>
      <c r="Q605" s="879"/>
      <c r="R605" s="879"/>
      <c r="S605" s="879"/>
      <c r="T605" s="879"/>
      <c r="U605" s="879"/>
      <c r="V605" s="879"/>
      <c r="W605" s="879"/>
    </row>
    <row r="606" spans="1:23" ht="12.75" customHeight="1">
      <c r="A606" s="879"/>
      <c r="B606" s="879"/>
      <c r="C606" s="879"/>
      <c r="D606" s="879"/>
      <c r="E606" s="879"/>
      <c r="F606" s="879"/>
      <c r="G606" s="879"/>
      <c r="H606" s="879"/>
      <c r="I606" s="879"/>
      <c r="J606" s="879"/>
      <c r="K606" s="879"/>
      <c r="L606" s="879"/>
      <c r="M606" s="879"/>
      <c r="N606" s="879"/>
      <c r="O606" s="879"/>
      <c r="P606" s="879"/>
      <c r="Q606" s="879"/>
      <c r="R606" s="879"/>
      <c r="S606" s="879"/>
      <c r="T606" s="879"/>
      <c r="U606" s="879"/>
      <c r="V606" s="879"/>
      <c r="W606" s="879"/>
    </row>
    <row r="607" spans="1:23" ht="12.75" customHeight="1">
      <c r="A607" s="879"/>
      <c r="B607" s="879"/>
      <c r="C607" s="879"/>
      <c r="D607" s="879"/>
      <c r="E607" s="879"/>
      <c r="F607" s="879"/>
      <c r="G607" s="879"/>
      <c r="H607" s="879"/>
      <c r="I607" s="879"/>
      <c r="J607" s="879"/>
      <c r="K607" s="879"/>
      <c r="L607" s="879"/>
      <c r="M607" s="879"/>
      <c r="N607" s="879"/>
      <c r="O607" s="879"/>
      <c r="P607" s="879"/>
      <c r="Q607" s="879"/>
      <c r="R607" s="879"/>
      <c r="S607" s="879"/>
      <c r="T607" s="879"/>
      <c r="U607" s="879"/>
      <c r="V607" s="879"/>
      <c r="W607" s="879"/>
    </row>
    <row r="608" spans="1:23" ht="12.75" customHeight="1">
      <c r="A608" s="879"/>
      <c r="B608" s="879"/>
      <c r="C608" s="879"/>
      <c r="D608" s="879"/>
      <c r="E608" s="879"/>
      <c r="F608" s="879"/>
      <c r="G608" s="879"/>
      <c r="H608" s="879"/>
      <c r="I608" s="879"/>
      <c r="J608" s="879"/>
      <c r="K608" s="879"/>
      <c r="L608" s="879"/>
      <c r="M608" s="879"/>
      <c r="N608" s="879"/>
      <c r="O608" s="879"/>
      <c r="P608" s="879"/>
      <c r="Q608" s="879"/>
      <c r="R608" s="879"/>
      <c r="S608" s="879"/>
      <c r="T608" s="879"/>
      <c r="U608" s="879"/>
      <c r="V608" s="879"/>
      <c r="W608" s="879"/>
    </row>
    <row r="609" spans="1:23" ht="12.75" customHeight="1">
      <c r="A609" s="879"/>
      <c r="B609" s="879"/>
      <c r="C609" s="879"/>
      <c r="D609" s="879"/>
      <c r="E609" s="879"/>
      <c r="F609" s="879"/>
      <c r="G609" s="879"/>
      <c r="H609" s="879"/>
      <c r="I609" s="879"/>
      <c r="J609" s="879"/>
      <c r="K609" s="879"/>
      <c r="L609" s="879"/>
      <c r="M609" s="879"/>
      <c r="N609" s="879"/>
      <c r="O609" s="879"/>
      <c r="P609" s="879"/>
      <c r="Q609" s="879"/>
      <c r="R609" s="879"/>
      <c r="S609" s="879"/>
      <c r="T609" s="879"/>
      <c r="U609" s="879"/>
      <c r="V609" s="879"/>
      <c r="W609" s="879"/>
    </row>
    <row r="610" spans="1:23" ht="12.75" customHeight="1">
      <c r="A610" s="879"/>
      <c r="B610" s="879"/>
      <c r="C610" s="879"/>
      <c r="D610" s="879"/>
      <c r="E610" s="879"/>
      <c r="F610" s="879"/>
      <c r="G610" s="879"/>
      <c r="H610" s="879"/>
      <c r="I610" s="879"/>
      <c r="J610" s="879"/>
      <c r="K610" s="879"/>
      <c r="L610" s="879"/>
      <c r="M610" s="879"/>
      <c r="N610" s="879"/>
      <c r="O610" s="879"/>
      <c r="P610" s="879"/>
      <c r="Q610" s="879"/>
      <c r="R610" s="879"/>
      <c r="S610" s="879"/>
      <c r="T610" s="879"/>
      <c r="U610" s="879"/>
      <c r="V610" s="879"/>
      <c r="W610" s="879"/>
    </row>
    <row r="611" spans="1:23" ht="12.75" customHeight="1">
      <c r="A611" s="879"/>
      <c r="B611" s="879"/>
      <c r="C611" s="879"/>
      <c r="D611" s="879"/>
      <c r="E611" s="879"/>
      <c r="F611" s="879"/>
      <c r="G611" s="879"/>
      <c r="H611" s="879"/>
      <c r="I611" s="879"/>
      <c r="J611" s="879"/>
      <c r="K611" s="879"/>
      <c r="L611" s="879"/>
      <c r="M611" s="879"/>
      <c r="N611" s="879"/>
      <c r="O611" s="879"/>
      <c r="P611" s="879"/>
      <c r="Q611" s="879"/>
      <c r="R611" s="879"/>
      <c r="S611" s="879"/>
      <c r="T611" s="879"/>
      <c r="U611" s="879"/>
      <c r="V611" s="879"/>
      <c r="W611" s="879"/>
    </row>
    <row r="612" spans="1:23" ht="12.75" customHeight="1">
      <c r="A612" s="879"/>
      <c r="B612" s="879"/>
      <c r="C612" s="879"/>
      <c r="D612" s="879"/>
      <c r="E612" s="879"/>
      <c r="F612" s="879"/>
      <c r="G612" s="879"/>
      <c r="H612" s="879"/>
      <c r="I612" s="879"/>
      <c r="J612" s="879"/>
      <c r="K612" s="879"/>
      <c r="L612" s="879"/>
      <c r="M612" s="879"/>
      <c r="N612" s="879"/>
      <c r="O612" s="879"/>
      <c r="P612" s="879"/>
      <c r="Q612" s="879"/>
      <c r="R612" s="879"/>
      <c r="S612" s="879"/>
      <c r="T612" s="879"/>
      <c r="U612" s="879"/>
      <c r="V612" s="879"/>
      <c r="W612" s="879"/>
    </row>
    <row r="613" spans="1:23" ht="12.75" customHeight="1">
      <c r="A613" s="879"/>
      <c r="B613" s="879"/>
      <c r="C613" s="879"/>
      <c r="D613" s="879"/>
      <c r="E613" s="879"/>
      <c r="F613" s="879"/>
      <c r="G613" s="879"/>
      <c r="H613" s="879"/>
      <c r="I613" s="879"/>
      <c r="J613" s="879"/>
      <c r="K613" s="879"/>
      <c r="L613" s="879"/>
      <c r="M613" s="879"/>
      <c r="N613" s="879"/>
      <c r="O613" s="879"/>
      <c r="P613" s="879"/>
      <c r="Q613" s="879"/>
      <c r="R613" s="879"/>
      <c r="S613" s="879"/>
      <c r="T613" s="879"/>
      <c r="U613" s="879"/>
      <c r="V613" s="879"/>
      <c r="W613" s="879"/>
    </row>
    <row r="614" spans="1:23" ht="12.75" customHeight="1">
      <c r="A614" s="879"/>
      <c r="B614" s="879"/>
      <c r="C614" s="879"/>
      <c r="D614" s="879"/>
      <c r="E614" s="879"/>
      <c r="F614" s="879"/>
      <c r="G614" s="879"/>
      <c r="H614" s="879"/>
      <c r="I614" s="879"/>
      <c r="J614" s="879"/>
      <c r="K614" s="879"/>
      <c r="L614" s="879"/>
      <c r="M614" s="879"/>
      <c r="N614" s="879"/>
      <c r="O614" s="879"/>
      <c r="P614" s="879"/>
      <c r="Q614" s="879"/>
      <c r="R614" s="879"/>
      <c r="S614" s="879"/>
      <c r="T614" s="879"/>
      <c r="U614" s="879"/>
      <c r="V614" s="879"/>
      <c r="W614" s="879"/>
    </row>
    <row r="615" spans="1:23" ht="12.75" customHeight="1">
      <c r="A615" s="879"/>
      <c r="B615" s="879"/>
      <c r="C615" s="879"/>
      <c r="D615" s="879"/>
      <c r="E615" s="879"/>
      <c r="F615" s="879"/>
      <c r="G615" s="879"/>
      <c r="H615" s="879"/>
      <c r="I615" s="879"/>
      <c r="J615" s="879"/>
      <c r="K615" s="879"/>
      <c r="L615" s="879"/>
      <c r="M615" s="879"/>
      <c r="N615" s="879"/>
      <c r="O615" s="879"/>
      <c r="P615" s="879"/>
      <c r="Q615" s="879"/>
      <c r="R615" s="879"/>
      <c r="S615" s="879"/>
      <c r="T615" s="879"/>
      <c r="U615" s="879"/>
      <c r="V615" s="879"/>
      <c r="W615" s="879"/>
    </row>
    <row r="616" spans="1:23" ht="12.75" customHeight="1">
      <c r="A616" s="879"/>
      <c r="B616" s="879"/>
      <c r="C616" s="879"/>
      <c r="D616" s="879"/>
      <c r="E616" s="879"/>
      <c r="F616" s="879"/>
      <c r="G616" s="879"/>
      <c r="H616" s="879"/>
      <c r="I616" s="879"/>
      <c r="J616" s="879"/>
      <c r="K616" s="879"/>
      <c r="L616" s="879"/>
      <c r="M616" s="879"/>
      <c r="N616" s="879"/>
      <c r="O616" s="879"/>
      <c r="P616" s="879"/>
      <c r="Q616" s="879"/>
      <c r="R616" s="879"/>
      <c r="S616" s="879"/>
      <c r="T616" s="879"/>
      <c r="U616" s="879"/>
      <c r="V616" s="879"/>
      <c r="W616" s="879"/>
    </row>
    <row r="617" spans="1:23" ht="12.75" customHeight="1">
      <c r="A617" s="879"/>
      <c r="B617" s="879"/>
      <c r="C617" s="879"/>
      <c r="D617" s="879"/>
      <c r="E617" s="879"/>
      <c r="F617" s="879"/>
      <c r="G617" s="879"/>
      <c r="H617" s="879"/>
      <c r="I617" s="879"/>
      <c r="J617" s="879"/>
      <c r="K617" s="879"/>
      <c r="L617" s="879"/>
      <c r="M617" s="879"/>
      <c r="N617" s="879"/>
      <c r="O617" s="879"/>
      <c r="P617" s="879"/>
      <c r="Q617" s="879"/>
      <c r="R617" s="879"/>
      <c r="S617" s="879"/>
      <c r="T617" s="879"/>
      <c r="U617" s="879"/>
      <c r="V617" s="879"/>
      <c r="W617" s="879"/>
    </row>
    <row r="618" spans="1:23" ht="12.75" customHeight="1">
      <c r="A618" s="879"/>
      <c r="B618" s="879"/>
      <c r="C618" s="879"/>
      <c r="D618" s="879"/>
      <c r="E618" s="879"/>
      <c r="F618" s="879"/>
      <c r="G618" s="879"/>
      <c r="H618" s="879"/>
      <c r="I618" s="879"/>
      <c r="J618" s="879"/>
      <c r="K618" s="879"/>
      <c r="L618" s="879"/>
      <c r="M618" s="879"/>
      <c r="N618" s="879"/>
      <c r="O618" s="879"/>
      <c r="P618" s="879"/>
      <c r="Q618" s="879"/>
      <c r="R618" s="879"/>
      <c r="S618" s="879"/>
      <c r="T618" s="879"/>
      <c r="U618" s="879"/>
      <c r="V618" s="879"/>
      <c r="W618" s="879"/>
    </row>
    <row r="619" spans="1:23" ht="12.75" customHeight="1">
      <c r="A619" s="879"/>
      <c r="B619" s="879"/>
      <c r="C619" s="879"/>
      <c r="D619" s="879"/>
      <c r="E619" s="879"/>
      <c r="F619" s="879"/>
      <c r="G619" s="879"/>
      <c r="H619" s="879"/>
      <c r="I619" s="879"/>
      <c r="J619" s="879"/>
      <c r="K619" s="879"/>
      <c r="L619" s="879"/>
      <c r="M619" s="879"/>
      <c r="N619" s="879"/>
      <c r="O619" s="879"/>
      <c r="P619" s="879"/>
      <c r="Q619" s="879"/>
      <c r="R619" s="879"/>
      <c r="S619" s="879"/>
      <c r="T619" s="879"/>
      <c r="U619" s="879"/>
      <c r="V619" s="879"/>
      <c r="W619" s="879"/>
    </row>
    <row r="620" spans="1:23" ht="12.75" customHeight="1">
      <c r="A620" s="879"/>
      <c r="B620" s="879"/>
      <c r="C620" s="879"/>
      <c r="D620" s="879"/>
      <c r="E620" s="879"/>
      <c r="F620" s="879"/>
      <c r="G620" s="879"/>
      <c r="H620" s="879"/>
      <c r="I620" s="879"/>
      <c r="J620" s="879"/>
      <c r="K620" s="879"/>
      <c r="L620" s="879"/>
      <c r="M620" s="879"/>
      <c r="N620" s="879"/>
      <c r="O620" s="879"/>
      <c r="P620" s="879"/>
      <c r="Q620" s="879"/>
      <c r="R620" s="879"/>
      <c r="S620" s="879"/>
      <c r="T620" s="879"/>
      <c r="U620" s="879"/>
      <c r="V620" s="879"/>
      <c r="W620" s="879"/>
    </row>
    <row r="621" spans="1:23" ht="12.75" customHeight="1">
      <c r="A621" s="879"/>
      <c r="B621" s="879"/>
      <c r="C621" s="879"/>
      <c r="D621" s="879"/>
      <c r="E621" s="879"/>
      <c r="F621" s="879"/>
      <c r="G621" s="879"/>
      <c r="H621" s="879"/>
      <c r="I621" s="879"/>
      <c r="J621" s="879"/>
      <c r="K621" s="879"/>
      <c r="L621" s="879"/>
      <c r="M621" s="879"/>
      <c r="N621" s="879"/>
      <c r="O621" s="879"/>
      <c r="P621" s="879"/>
      <c r="Q621" s="879"/>
      <c r="R621" s="879"/>
      <c r="S621" s="879"/>
      <c r="T621" s="879"/>
      <c r="U621" s="879"/>
      <c r="V621" s="879"/>
      <c r="W621" s="879"/>
    </row>
    <row r="622" spans="1:23" ht="12.75" customHeight="1">
      <c r="A622" s="879"/>
      <c r="B622" s="879"/>
      <c r="C622" s="879"/>
      <c r="D622" s="879"/>
      <c r="E622" s="879"/>
      <c r="F622" s="879"/>
      <c r="G622" s="879"/>
      <c r="H622" s="879"/>
      <c r="I622" s="879"/>
      <c r="J622" s="879"/>
      <c r="K622" s="879"/>
      <c r="L622" s="879"/>
      <c r="M622" s="879"/>
      <c r="N622" s="879"/>
      <c r="O622" s="879"/>
      <c r="P622" s="879"/>
      <c r="Q622" s="879"/>
      <c r="R622" s="879"/>
      <c r="S622" s="879"/>
      <c r="T622" s="879"/>
      <c r="U622" s="879"/>
      <c r="V622" s="879"/>
      <c r="W622" s="879"/>
    </row>
    <row r="623" spans="1:23" ht="12.75" customHeight="1">
      <c r="A623" s="879"/>
      <c r="B623" s="879"/>
      <c r="C623" s="879"/>
      <c r="D623" s="879"/>
      <c r="E623" s="879"/>
      <c r="F623" s="879"/>
      <c r="G623" s="879"/>
      <c r="H623" s="879"/>
      <c r="I623" s="879"/>
      <c r="J623" s="879"/>
      <c r="K623" s="879"/>
      <c r="L623" s="879"/>
      <c r="M623" s="879"/>
      <c r="N623" s="879"/>
      <c r="O623" s="879"/>
      <c r="P623" s="879"/>
      <c r="Q623" s="879"/>
      <c r="R623" s="879"/>
      <c r="S623" s="879"/>
      <c r="T623" s="879"/>
      <c r="U623" s="879"/>
      <c r="V623" s="879"/>
      <c r="W623" s="879"/>
    </row>
    <row r="624" spans="1:23" ht="12.75" customHeight="1">
      <c r="A624" s="879"/>
      <c r="B624" s="879"/>
      <c r="C624" s="879"/>
      <c r="D624" s="879"/>
      <c r="E624" s="879"/>
      <c r="F624" s="879"/>
      <c r="G624" s="879"/>
      <c r="H624" s="879"/>
      <c r="I624" s="879"/>
      <c r="J624" s="879"/>
      <c r="K624" s="879"/>
      <c r="L624" s="879"/>
      <c r="M624" s="879"/>
      <c r="N624" s="879"/>
      <c r="O624" s="879"/>
      <c r="P624" s="879"/>
      <c r="Q624" s="879"/>
      <c r="R624" s="879"/>
      <c r="S624" s="879"/>
      <c r="T624" s="879"/>
      <c r="U624" s="879"/>
      <c r="V624" s="879"/>
      <c r="W624" s="879"/>
    </row>
    <row r="625" spans="1:23" ht="12.75" customHeight="1">
      <c r="A625" s="879"/>
      <c r="B625" s="879"/>
      <c r="C625" s="879"/>
      <c r="D625" s="879"/>
      <c r="E625" s="879"/>
      <c r="F625" s="879"/>
      <c r="G625" s="879"/>
      <c r="H625" s="879"/>
      <c r="I625" s="879"/>
      <c r="J625" s="879"/>
      <c r="K625" s="879"/>
      <c r="L625" s="879"/>
      <c r="M625" s="879"/>
      <c r="N625" s="879"/>
      <c r="O625" s="879"/>
      <c r="P625" s="879"/>
      <c r="Q625" s="879"/>
      <c r="R625" s="879"/>
      <c r="S625" s="879"/>
      <c r="T625" s="879"/>
      <c r="U625" s="879"/>
      <c r="V625" s="879"/>
      <c r="W625" s="879"/>
    </row>
    <row r="626" spans="1:23" ht="12.75" customHeight="1">
      <c r="A626" s="879"/>
      <c r="B626" s="879"/>
      <c r="C626" s="879"/>
      <c r="D626" s="879"/>
      <c r="E626" s="879"/>
      <c r="F626" s="879"/>
      <c r="G626" s="879"/>
      <c r="H626" s="879"/>
      <c r="I626" s="879"/>
      <c r="J626" s="879"/>
      <c r="K626" s="879"/>
      <c r="L626" s="879"/>
      <c r="M626" s="879"/>
      <c r="N626" s="879"/>
      <c r="O626" s="879"/>
      <c r="P626" s="879"/>
      <c r="Q626" s="879"/>
      <c r="R626" s="879"/>
      <c r="S626" s="879"/>
      <c r="T626" s="879"/>
      <c r="U626" s="879"/>
      <c r="V626" s="879"/>
      <c r="W626" s="879"/>
    </row>
    <row r="627" spans="1:23" ht="12.75" customHeight="1">
      <c r="A627" s="879"/>
      <c r="B627" s="879"/>
      <c r="C627" s="879"/>
      <c r="D627" s="879"/>
      <c r="E627" s="879"/>
      <c r="F627" s="879"/>
      <c r="G627" s="879"/>
      <c r="H627" s="879"/>
      <c r="I627" s="879"/>
      <c r="J627" s="879"/>
      <c r="K627" s="879"/>
      <c r="L627" s="879"/>
      <c r="M627" s="879"/>
      <c r="N627" s="879"/>
      <c r="O627" s="879"/>
      <c r="P627" s="879"/>
      <c r="Q627" s="879"/>
      <c r="R627" s="879"/>
      <c r="S627" s="879"/>
      <c r="T627" s="879"/>
      <c r="U627" s="879"/>
      <c r="V627" s="879"/>
      <c r="W627" s="879"/>
    </row>
    <row r="628" spans="1:23" ht="12.75" customHeight="1">
      <c r="A628" s="879"/>
      <c r="B628" s="879"/>
      <c r="C628" s="879"/>
      <c r="D628" s="879"/>
      <c r="E628" s="879"/>
      <c r="F628" s="879"/>
      <c r="G628" s="879"/>
      <c r="H628" s="879"/>
      <c r="I628" s="879"/>
      <c r="J628" s="879"/>
      <c r="K628" s="879"/>
      <c r="L628" s="879"/>
      <c r="M628" s="879"/>
      <c r="N628" s="879"/>
      <c r="O628" s="879"/>
      <c r="P628" s="879"/>
      <c r="Q628" s="879"/>
      <c r="R628" s="879"/>
      <c r="S628" s="879"/>
      <c r="T628" s="879"/>
      <c r="U628" s="879"/>
      <c r="V628" s="879"/>
      <c r="W628" s="879"/>
    </row>
    <row r="629" spans="1:23" ht="12.75" customHeight="1">
      <c r="A629" s="879"/>
      <c r="B629" s="879"/>
      <c r="C629" s="879"/>
      <c r="D629" s="879"/>
      <c r="E629" s="879"/>
      <c r="F629" s="879"/>
      <c r="G629" s="879"/>
      <c r="H629" s="879"/>
      <c r="I629" s="879"/>
      <c r="J629" s="879"/>
      <c r="K629" s="879"/>
      <c r="L629" s="879"/>
      <c r="M629" s="879"/>
      <c r="N629" s="879"/>
      <c r="O629" s="879"/>
      <c r="P629" s="879"/>
      <c r="Q629" s="879"/>
      <c r="R629" s="879"/>
      <c r="S629" s="879"/>
      <c r="T629" s="879"/>
      <c r="U629" s="879"/>
      <c r="V629" s="879"/>
      <c r="W629" s="879"/>
    </row>
    <row r="630" spans="1:23" ht="12.75" customHeight="1">
      <c r="A630" s="879"/>
      <c r="B630" s="879"/>
      <c r="C630" s="879"/>
      <c r="D630" s="879"/>
      <c r="E630" s="879"/>
      <c r="F630" s="879"/>
      <c r="G630" s="879"/>
      <c r="H630" s="879"/>
      <c r="I630" s="879"/>
      <c r="J630" s="879"/>
      <c r="K630" s="879"/>
      <c r="L630" s="879"/>
      <c r="M630" s="879"/>
      <c r="N630" s="879"/>
      <c r="O630" s="879"/>
      <c r="P630" s="879"/>
      <c r="Q630" s="879"/>
      <c r="R630" s="879"/>
      <c r="S630" s="879"/>
      <c r="T630" s="879"/>
      <c r="U630" s="879"/>
      <c r="V630" s="879"/>
      <c r="W630" s="879"/>
    </row>
    <row r="631" spans="1:23" ht="12.75" customHeight="1">
      <c r="A631" s="879"/>
      <c r="B631" s="879"/>
      <c r="C631" s="879"/>
      <c r="D631" s="879"/>
      <c r="E631" s="879"/>
      <c r="F631" s="879"/>
      <c r="G631" s="879"/>
      <c r="H631" s="879"/>
      <c r="I631" s="879"/>
      <c r="J631" s="879"/>
      <c r="K631" s="879"/>
      <c r="L631" s="879"/>
      <c r="M631" s="879"/>
      <c r="N631" s="879"/>
      <c r="O631" s="879"/>
      <c r="P631" s="879"/>
      <c r="Q631" s="879"/>
      <c r="R631" s="879"/>
      <c r="S631" s="879"/>
      <c r="T631" s="879"/>
      <c r="U631" s="879"/>
      <c r="V631" s="879"/>
      <c r="W631" s="879"/>
    </row>
    <row r="632" spans="1:23" ht="12.75" customHeight="1">
      <c r="A632" s="879"/>
      <c r="B632" s="879"/>
      <c r="C632" s="879"/>
      <c r="D632" s="879"/>
      <c r="E632" s="879"/>
      <c r="F632" s="879"/>
      <c r="G632" s="879"/>
      <c r="H632" s="879"/>
      <c r="I632" s="879"/>
      <c r="J632" s="879"/>
      <c r="K632" s="879"/>
      <c r="L632" s="879"/>
      <c r="M632" s="879"/>
      <c r="N632" s="879"/>
      <c r="O632" s="879"/>
      <c r="P632" s="879"/>
      <c r="Q632" s="879"/>
      <c r="R632" s="879"/>
      <c r="S632" s="879"/>
      <c r="T632" s="879"/>
      <c r="U632" s="879"/>
      <c r="V632" s="879"/>
      <c r="W632" s="879"/>
    </row>
    <row r="633" spans="1:23" ht="12.75" customHeight="1">
      <c r="A633" s="879"/>
      <c r="B633" s="879"/>
      <c r="C633" s="879"/>
      <c r="D633" s="879"/>
      <c r="E633" s="879"/>
      <c r="F633" s="879"/>
      <c r="G633" s="879"/>
      <c r="H633" s="879"/>
      <c r="I633" s="879"/>
      <c r="J633" s="879"/>
      <c r="K633" s="879"/>
      <c r="L633" s="879"/>
      <c r="M633" s="879"/>
      <c r="N633" s="879"/>
      <c r="O633" s="879"/>
      <c r="P633" s="879"/>
      <c r="Q633" s="879"/>
      <c r="R633" s="879"/>
      <c r="S633" s="879"/>
      <c r="T633" s="879"/>
      <c r="U633" s="879"/>
      <c r="V633" s="879"/>
      <c r="W633" s="879"/>
    </row>
    <row r="634" spans="1:23" ht="12.75" customHeight="1">
      <c r="A634" s="879"/>
      <c r="B634" s="879"/>
      <c r="C634" s="879"/>
      <c r="D634" s="879"/>
      <c r="E634" s="879"/>
      <c r="F634" s="879"/>
      <c r="G634" s="879"/>
      <c r="H634" s="879"/>
      <c r="I634" s="879"/>
      <c r="J634" s="879"/>
      <c r="K634" s="879"/>
      <c r="L634" s="879"/>
      <c r="M634" s="879"/>
      <c r="N634" s="879"/>
      <c r="O634" s="879"/>
      <c r="P634" s="879"/>
      <c r="Q634" s="879"/>
      <c r="R634" s="879"/>
      <c r="S634" s="879"/>
      <c r="T634" s="879"/>
      <c r="U634" s="879"/>
      <c r="V634" s="879"/>
      <c r="W634" s="879"/>
    </row>
    <row r="635" spans="1:23" ht="12.75" customHeight="1">
      <c r="A635" s="879"/>
      <c r="B635" s="879"/>
      <c r="C635" s="879"/>
      <c r="D635" s="879"/>
      <c r="E635" s="879"/>
      <c r="F635" s="879"/>
      <c r="G635" s="879"/>
      <c r="H635" s="879"/>
      <c r="I635" s="879"/>
      <c r="J635" s="879"/>
      <c r="K635" s="879"/>
      <c r="L635" s="879"/>
      <c r="M635" s="879"/>
      <c r="N635" s="879"/>
      <c r="O635" s="879"/>
      <c r="P635" s="879"/>
      <c r="Q635" s="879"/>
      <c r="R635" s="879"/>
      <c r="S635" s="879"/>
      <c r="T635" s="879"/>
      <c r="U635" s="879"/>
      <c r="V635" s="879"/>
      <c r="W635" s="879"/>
    </row>
    <row r="636" spans="1:23" ht="12.75" customHeight="1">
      <c r="A636" s="879"/>
      <c r="B636" s="879"/>
      <c r="C636" s="879"/>
      <c r="D636" s="879"/>
      <c r="E636" s="879"/>
      <c r="F636" s="879"/>
      <c r="G636" s="879"/>
      <c r="H636" s="879"/>
      <c r="I636" s="879"/>
      <c r="J636" s="879"/>
      <c r="K636" s="879"/>
      <c r="L636" s="879"/>
      <c r="M636" s="879"/>
      <c r="N636" s="879"/>
      <c r="O636" s="879"/>
      <c r="P636" s="879"/>
      <c r="Q636" s="879"/>
      <c r="R636" s="879"/>
      <c r="S636" s="879"/>
      <c r="T636" s="879"/>
      <c r="U636" s="879"/>
      <c r="V636" s="879"/>
      <c r="W636" s="879"/>
    </row>
    <row r="637" spans="1:23" ht="12.75" customHeight="1">
      <c r="A637" s="879"/>
      <c r="B637" s="879"/>
      <c r="C637" s="879"/>
      <c r="D637" s="879"/>
      <c r="E637" s="879"/>
      <c r="F637" s="879"/>
      <c r="G637" s="879"/>
      <c r="H637" s="879"/>
      <c r="I637" s="879"/>
      <c r="J637" s="879"/>
      <c r="K637" s="879"/>
      <c r="L637" s="879"/>
      <c r="M637" s="879"/>
      <c r="N637" s="879"/>
      <c r="O637" s="879"/>
      <c r="P637" s="879"/>
      <c r="Q637" s="879"/>
      <c r="R637" s="879"/>
      <c r="S637" s="879"/>
      <c r="T637" s="879"/>
      <c r="U637" s="879"/>
      <c r="V637" s="879"/>
      <c r="W637" s="879"/>
    </row>
    <row r="638" spans="1:23" ht="12.75" customHeight="1">
      <c r="A638" s="879"/>
      <c r="B638" s="879"/>
      <c r="C638" s="879"/>
      <c r="D638" s="879"/>
      <c r="E638" s="879"/>
      <c r="F638" s="879"/>
      <c r="G638" s="879"/>
      <c r="H638" s="879"/>
      <c r="I638" s="879"/>
      <c r="J638" s="879"/>
      <c r="K638" s="879"/>
      <c r="L638" s="879"/>
      <c r="M638" s="879"/>
      <c r="N638" s="879"/>
      <c r="O638" s="879"/>
      <c r="P638" s="879"/>
      <c r="Q638" s="879"/>
      <c r="R638" s="879"/>
      <c r="S638" s="879"/>
      <c r="T638" s="879"/>
      <c r="U638" s="879"/>
      <c r="V638" s="879"/>
      <c r="W638" s="879"/>
    </row>
    <row r="639" spans="1:23" ht="12.75" customHeight="1">
      <c r="A639" s="879"/>
      <c r="B639" s="879"/>
      <c r="C639" s="879"/>
      <c r="D639" s="879"/>
      <c r="E639" s="879"/>
      <c r="F639" s="879"/>
      <c r="G639" s="879"/>
      <c r="H639" s="879"/>
      <c r="I639" s="879"/>
      <c r="J639" s="879"/>
      <c r="K639" s="879"/>
      <c r="L639" s="879"/>
      <c r="M639" s="879"/>
      <c r="N639" s="879"/>
      <c r="O639" s="879"/>
      <c r="P639" s="879"/>
      <c r="Q639" s="879"/>
      <c r="R639" s="879"/>
      <c r="S639" s="879"/>
      <c r="T639" s="879"/>
      <c r="U639" s="879"/>
      <c r="V639" s="879"/>
      <c r="W639" s="879"/>
    </row>
    <row r="640" spans="1:23" ht="12.75" customHeight="1">
      <c r="A640" s="879"/>
      <c r="B640" s="879"/>
      <c r="C640" s="879"/>
      <c r="D640" s="879"/>
      <c r="E640" s="879"/>
      <c r="F640" s="879"/>
      <c r="G640" s="879"/>
      <c r="H640" s="879"/>
      <c r="I640" s="879"/>
      <c r="J640" s="879"/>
      <c r="K640" s="879"/>
      <c r="L640" s="879"/>
      <c r="M640" s="879"/>
      <c r="N640" s="879"/>
      <c r="O640" s="879"/>
      <c r="P640" s="879"/>
      <c r="Q640" s="879"/>
      <c r="R640" s="879"/>
      <c r="S640" s="879"/>
      <c r="T640" s="879"/>
      <c r="U640" s="879"/>
      <c r="V640" s="879"/>
      <c r="W640" s="879"/>
    </row>
    <row r="641" spans="1:23" ht="12.75" customHeight="1">
      <c r="A641" s="879"/>
      <c r="B641" s="879"/>
      <c r="C641" s="879"/>
      <c r="D641" s="879"/>
      <c r="E641" s="879"/>
      <c r="F641" s="879"/>
      <c r="G641" s="879"/>
      <c r="H641" s="879"/>
      <c r="I641" s="879"/>
      <c r="J641" s="879"/>
      <c r="K641" s="879"/>
      <c r="L641" s="879"/>
      <c r="M641" s="879"/>
      <c r="N641" s="879"/>
      <c r="O641" s="879"/>
      <c r="P641" s="879"/>
      <c r="Q641" s="879"/>
      <c r="R641" s="879"/>
      <c r="S641" s="879"/>
      <c r="T641" s="879"/>
      <c r="U641" s="879"/>
      <c r="V641" s="879"/>
      <c r="W641" s="879"/>
    </row>
    <row r="642" spans="1:23" ht="12.75" customHeight="1">
      <c r="A642" s="879"/>
      <c r="B642" s="879"/>
      <c r="C642" s="879"/>
      <c r="D642" s="879"/>
      <c r="E642" s="879"/>
      <c r="F642" s="879"/>
      <c r="G642" s="879"/>
      <c r="H642" s="879"/>
      <c r="I642" s="879"/>
      <c r="J642" s="879"/>
      <c r="K642" s="879"/>
      <c r="L642" s="879"/>
      <c r="M642" s="879"/>
      <c r="N642" s="879"/>
      <c r="O642" s="879"/>
      <c r="P642" s="879"/>
      <c r="Q642" s="879"/>
      <c r="R642" s="879"/>
      <c r="S642" s="879"/>
      <c r="T642" s="879"/>
      <c r="U642" s="879"/>
      <c r="V642" s="879"/>
      <c r="W642" s="879"/>
    </row>
    <row r="643" spans="1:23" ht="12.75" customHeight="1">
      <c r="A643" s="879"/>
      <c r="B643" s="879"/>
      <c r="C643" s="879"/>
      <c r="D643" s="879"/>
      <c r="E643" s="879"/>
      <c r="F643" s="879"/>
      <c r="G643" s="879"/>
      <c r="H643" s="879"/>
      <c r="I643" s="879"/>
      <c r="J643" s="879"/>
      <c r="K643" s="879"/>
      <c r="L643" s="879"/>
      <c r="M643" s="879"/>
      <c r="N643" s="879"/>
      <c r="O643" s="879"/>
      <c r="P643" s="879"/>
      <c r="Q643" s="879"/>
      <c r="R643" s="879"/>
      <c r="S643" s="879"/>
      <c r="T643" s="879"/>
      <c r="U643" s="879"/>
      <c r="V643" s="879"/>
      <c r="W643" s="879"/>
    </row>
    <row r="644" spans="1:23" ht="12.75" customHeight="1">
      <c r="A644" s="879"/>
      <c r="B644" s="879"/>
      <c r="C644" s="879"/>
      <c r="D644" s="879"/>
      <c r="E644" s="879"/>
      <c r="F644" s="879"/>
      <c r="G644" s="879"/>
      <c r="H644" s="879"/>
      <c r="I644" s="879"/>
      <c r="J644" s="879"/>
      <c r="K644" s="879"/>
      <c r="L644" s="879"/>
      <c r="M644" s="879"/>
      <c r="N644" s="879"/>
      <c r="O644" s="879"/>
      <c r="P644" s="879"/>
      <c r="Q644" s="879"/>
      <c r="R644" s="879"/>
      <c r="S644" s="879"/>
      <c r="T644" s="879"/>
      <c r="U644" s="879"/>
      <c r="V644" s="879"/>
      <c r="W644" s="879"/>
    </row>
    <row r="645" spans="1:23" ht="12.75" customHeight="1">
      <c r="A645" s="879"/>
      <c r="B645" s="879"/>
      <c r="C645" s="879"/>
      <c r="D645" s="879"/>
      <c r="E645" s="879"/>
      <c r="F645" s="879"/>
      <c r="G645" s="879"/>
      <c r="H645" s="879"/>
      <c r="I645" s="879"/>
      <c r="J645" s="879"/>
      <c r="K645" s="879"/>
      <c r="L645" s="879"/>
      <c r="M645" s="879"/>
      <c r="N645" s="879"/>
      <c r="O645" s="879"/>
      <c r="P645" s="879"/>
      <c r="Q645" s="879"/>
      <c r="R645" s="879"/>
      <c r="S645" s="879"/>
      <c r="T645" s="879"/>
      <c r="U645" s="879"/>
      <c r="V645" s="879"/>
      <c r="W645" s="879"/>
    </row>
    <row r="646" spans="1:23" ht="12.75" customHeight="1">
      <c r="A646" s="879"/>
      <c r="B646" s="879"/>
      <c r="C646" s="879"/>
      <c r="D646" s="879"/>
      <c r="E646" s="879"/>
      <c r="F646" s="879"/>
      <c r="G646" s="879"/>
      <c r="H646" s="879"/>
      <c r="I646" s="879"/>
      <c r="J646" s="879"/>
      <c r="K646" s="879"/>
      <c r="L646" s="879"/>
      <c r="M646" s="879"/>
      <c r="N646" s="879"/>
      <c r="O646" s="879"/>
      <c r="P646" s="879"/>
      <c r="Q646" s="879"/>
      <c r="R646" s="879"/>
      <c r="S646" s="879"/>
      <c r="T646" s="879"/>
      <c r="U646" s="879"/>
      <c r="V646" s="879"/>
      <c r="W646" s="879"/>
    </row>
    <row r="647" spans="1:23" ht="12.75" customHeight="1">
      <c r="A647" s="879"/>
      <c r="B647" s="879"/>
      <c r="C647" s="879"/>
      <c r="D647" s="879"/>
      <c r="E647" s="879"/>
      <c r="F647" s="879"/>
      <c r="G647" s="879"/>
      <c r="H647" s="879"/>
      <c r="I647" s="879"/>
      <c r="J647" s="879"/>
      <c r="K647" s="879"/>
      <c r="L647" s="879"/>
      <c r="M647" s="879"/>
      <c r="N647" s="879"/>
      <c r="O647" s="879"/>
      <c r="P647" s="879"/>
      <c r="Q647" s="879"/>
      <c r="R647" s="879"/>
      <c r="S647" s="879"/>
      <c r="T647" s="879"/>
      <c r="U647" s="879"/>
      <c r="V647" s="879"/>
      <c r="W647" s="879"/>
    </row>
    <row r="648" spans="1:23" ht="12.75" customHeight="1">
      <c r="A648" s="879"/>
      <c r="B648" s="879"/>
      <c r="C648" s="879"/>
      <c r="D648" s="879"/>
      <c r="E648" s="879"/>
      <c r="F648" s="879"/>
      <c r="G648" s="879"/>
      <c r="H648" s="879"/>
      <c r="I648" s="879"/>
      <c r="J648" s="879"/>
      <c r="K648" s="879"/>
      <c r="L648" s="879"/>
      <c r="M648" s="879"/>
      <c r="N648" s="879"/>
      <c r="O648" s="879"/>
      <c r="P648" s="879"/>
      <c r="Q648" s="879"/>
      <c r="R648" s="879"/>
      <c r="S648" s="879"/>
      <c r="T648" s="879"/>
      <c r="U648" s="879"/>
      <c r="V648" s="879"/>
      <c r="W648" s="879"/>
    </row>
    <row r="649" spans="1:23" ht="12.75" customHeight="1">
      <c r="A649" s="879"/>
      <c r="B649" s="879"/>
      <c r="C649" s="879"/>
      <c r="D649" s="879"/>
      <c r="E649" s="879"/>
      <c r="F649" s="879"/>
      <c r="G649" s="879"/>
      <c r="H649" s="879"/>
      <c r="I649" s="879"/>
      <c r="J649" s="879"/>
      <c r="K649" s="879"/>
      <c r="L649" s="879"/>
      <c r="M649" s="879"/>
      <c r="N649" s="879"/>
      <c r="O649" s="879"/>
      <c r="P649" s="879"/>
      <c r="Q649" s="879"/>
      <c r="R649" s="879"/>
      <c r="S649" s="879"/>
      <c r="T649" s="879"/>
      <c r="U649" s="879"/>
      <c r="V649" s="879"/>
      <c r="W649" s="879"/>
    </row>
    <row r="650" spans="1:23" ht="12.75" customHeight="1">
      <c r="A650" s="879"/>
      <c r="B650" s="879"/>
      <c r="C650" s="879"/>
      <c r="D650" s="879"/>
      <c r="E650" s="879"/>
      <c r="F650" s="879"/>
      <c r="G650" s="879"/>
      <c r="H650" s="879"/>
      <c r="I650" s="879"/>
      <c r="J650" s="879"/>
      <c r="K650" s="879"/>
      <c r="L650" s="879"/>
      <c r="M650" s="879"/>
      <c r="N650" s="879"/>
      <c r="O650" s="879"/>
      <c r="P650" s="879"/>
      <c r="Q650" s="879"/>
      <c r="R650" s="879"/>
      <c r="S650" s="879"/>
      <c r="T650" s="879"/>
      <c r="U650" s="879"/>
      <c r="V650" s="879"/>
      <c r="W650" s="879"/>
    </row>
    <row r="651" spans="1:23" ht="12.75" customHeight="1">
      <c r="A651" s="879"/>
      <c r="B651" s="879"/>
      <c r="C651" s="879"/>
      <c r="D651" s="879"/>
      <c r="E651" s="879"/>
      <c r="F651" s="879"/>
      <c r="G651" s="879"/>
      <c r="H651" s="879"/>
      <c r="I651" s="879"/>
      <c r="J651" s="879"/>
      <c r="K651" s="879"/>
      <c r="L651" s="879"/>
      <c r="M651" s="879"/>
      <c r="N651" s="879"/>
      <c r="O651" s="879"/>
      <c r="P651" s="879"/>
      <c r="Q651" s="879"/>
      <c r="R651" s="879"/>
      <c r="S651" s="879"/>
      <c r="T651" s="879"/>
      <c r="U651" s="879"/>
      <c r="V651" s="879"/>
      <c r="W651" s="879"/>
    </row>
    <row r="652" spans="1:23" ht="12.75" customHeight="1">
      <c r="A652" s="879"/>
      <c r="B652" s="879"/>
      <c r="C652" s="879"/>
      <c r="D652" s="879"/>
      <c r="E652" s="879"/>
      <c r="F652" s="879"/>
      <c r="G652" s="879"/>
      <c r="H652" s="879"/>
      <c r="I652" s="879"/>
      <c r="J652" s="879"/>
      <c r="K652" s="879"/>
      <c r="L652" s="879"/>
      <c r="M652" s="879"/>
      <c r="N652" s="879"/>
      <c r="O652" s="879"/>
      <c r="P652" s="879"/>
      <c r="Q652" s="879"/>
      <c r="R652" s="879"/>
      <c r="S652" s="879"/>
      <c r="T652" s="879"/>
      <c r="U652" s="879"/>
      <c r="V652" s="879"/>
      <c r="W652" s="879"/>
    </row>
    <row r="653" spans="1:23" ht="12.75" customHeight="1">
      <c r="A653" s="879"/>
      <c r="B653" s="879"/>
      <c r="C653" s="879"/>
      <c r="D653" s="879"/>
      <c r="E653" s="879"/>
      <c r="F653" s="879"/>
      <c r="G653" s="879"/>
      <c r="H653" s="879"/>
      <c r="I653" s="879"/>
      <c r="J653" s="879"/>
      <c r="K653" s="879"/>
      <c r="L653" s="879"/>
      <c r="M653" s="879"/>
      <c r="N653" s="879"/>
      <c r="O653" s="879"/>
      <c r="P653" s="879"/>
      <c r="Q653" s="879"/>
      <c r="R653" s="879"/>
      <c r="S653" s="879"/>
      <c r="T653" s="879"/>
      <c r="U653" s="879"/>
      <c r="V653" s="879"/>
      <c r="W653" s="879"/>
    </row>
    <row r="654" spans="1:23" ht="12.75" customHeight="1">
      <c r="A654" s="879"/>
      <c r="B654" s="879"/>
      <c r="C654" s="879"/>
      <c r="D654" s="879"/>
      <c r="E654" s="879"/>
      <c r="F654" s="879"/>
      <c r="G654" s="879"/>
      <c r="H654" s="879"/>
      <c r="I654" s="879"/>
      <c r="J654" s="879"/>
      <c r="K654" s="879"/>
      <c r="L654" s="879"/>
      <c r="M654" s="879"/>
      <c r="N654" s="879"/>
      <c r="O654" s="879"/>
      <c r="P654" s="879"/>
      <c r="Q654" s="879"/>
      <c r="R654" s="879"/>
      <c r="S654" s="879"/>
      <c r="T654" s="879"/>
      <c r="U654" s="879"/>
      <c r="V654" s="879"/>
      <c r="W654" s="879"/>
    </row>
    <row r="655" spans="1:23" ht="12.75" customHeight="1">
      <c r="A655" s="879"/>
      <c r="B655" s="879"/>
      <c r="C655" s="879"/>
      <c r="D655" s="879"/>
      <c r="E655" s="879"/>
      <c r="F655" s="879"/>
      <c r="G655" s="879"/>
      <c r="H655" s="879"/>
      <c r="I655" s="879"/>
      <c r="J655" s="879"/>
      <c r="K655" s="879"/>
      <c r="L655" s="879"/>
      <c r="M655" s="879"/>
      <c r="N655" s="879"/>
      <c r="O655" s="879"/>
      <c r="P655" s="879"/>
      <c r="Q655" s="879"/>
      <c r="R655" s="879"/>
      <c r="S655" s="879"/>
      <c r="T655" s="879"/>
      <c r="U655" s="879"/>
      <c r="V655" s="879"/>
      <c r="W655" s="879"/>
    </row>
    <row r="656" spans="1:23" ht="12.75" customHeight="1">
      <c r="A656" s="879"/>
      <c r="B656" s="879"/>
      <c r="C656" s="879"/>
      <c r="D656" s="879"/>
      <c r="E656" s="879"/>
      <c r="F656" s="879"/>
      <c r="G656" s="879"/>
      <c r="H656" s="879"/>
      <c r="I656" s="879"/>
      <c r="J656" s="879"/>
      <c r="K656" s="879"/>
      <c r="L656" s="879"/>
      <c r="M656" s="879"/>
      <c r="N656" s="879"/>
      <c r="O656" s="879"/>
      <c r="P656" s="879"/>
      <c r="Q656" s="879"/>
      <c r="R656" s="879"/>
      <c r="S656" s="879"/>
      <c r="T656" s="879"/>
      <c r="U656" s="879"/>
      <c r="V656" s="879"/>
      <c r="W656" s="879"/>
    </row>
    <row r="657" spans="1:23" ht="12.75" customHeight="1">
      <c r="A657" s="879"/>
      <c r="B657" s="879"/>
      <c r="C657" s="879"/>
      <c r="D657" s="879"/>
      <c r="E657" s="879"/>
      <c r="F657" s="879"/>
      <c r="G657" s="879"/>
      <c r="H657" s="879"/>
      <c r="I657" s="879"/>
      <c r="J657" s="879"/>
      <c r="K657" s="879"/>
      <c r="L657" s="879"/>
      <c r="M657" s="879"/>
      <c r="N657" s="879"/>
      <c r="O657" s="879"/>
      <c r="P657" s="879"/>
      <c r="Q657" s="879"/>
      <c r="R657" s="879"/>
      <c r="S657" s="879"/>
      <c r="T657" s="879"/>
      <c r="U657" s="879"/>
      <c r="V657" s="879"/>
      <c r="W657" s="879"/>
    </row>
    <row r="658" spans="1:23" ht="12.75" customHeight="1">
      <c r="A658" s="879"/>
      <c r="B658" s="879"/>
      <c r="C658" s="879"/>
      <c r="D658" s="879"/>
      <c r="E658" s="879"/>
      <c r="F658" s="879"/>
      <c r="G658" s="879"/>
      <c r="H658" s="879"/>
      <c r="I658" s="879"/>
      <c r="J658" s="879"/>
      <c r="K658" s="879"/>
      <c r="L658" s="879"/>
      <c r="M658" s="879"/>
      <c r="N658" s="879"/>
      <c r="O658" s="879"/>
      <c r="P658" s="879"/>
      <c r="Q658" s="879"/>
      <c r="R658" s="879"/>
      <c r="S658" s="879"/>
      <c r="T658" s="879"/>
      <c r="U658" s="879"/>
      <c r="V658" s="879"/>
      <c r="W658" s="879"/>
    </row>
    <row r="659" spans="1:23" ht="12.75" customHeight="1">
      <c r="A659" s="879"/>
      <c r="B659" s="879"/>
      <c r="C659" s="879"/>
      <c r="D659" s="879"/>
      <c r="E659" s="879"/>
      <c r="F659" s="879"/>
      <c r="G659" s="879"/>
      <c r="H659" s="879"/>
      <c r="I659" s="879"/>
      <c r="J659" s="879"/>
      <c r="K659" s="879"/>
      <c r="L659" s="879"/>
      <c r="M659" s="879"/>
      <c r="N659" s="879"/>
      <c r="O659" s="879"/>
      <c r="P659" s="879"/>
      <c r="Q659" s="879"/>
      <c r="R659" s="879"/>
      <c r="S659" s="879"/>
      <c r="T659" s="879"/>
      <c r="U659" s="879"/>
      <c r="V659" s="879"/>
      <c r="W659" s="879"/>
    </row>
    <row r="660" spans="1:23" ht="12.75" customHeight="1">
      <c r="A660" s="879"/>
      <c r="B660" s="879"/>
      <c r="C660" s="879"/>
      <c r="D660" s="879"/>
      <c r="E660" s="879"/>
      <c r="F660" s="879"/>
      <c r="G660" s="879"/>
      <c r="H660" s="879"/>
      <c r="I660" s="879"/>
      <c r="J660" s="879"/>
      <c r="K660" s="879"/>
      <c r="L660" s="879"/>
      <c r="M660" s="879"/>
      <c r="N660" s="879"/>
      <c r="O660" s="879"/>
      <c r="P660" s="879"/>
      <c r="Q660" s="879"/>
      <c r="R660" s="879"/>
      <c r="S660" s="879"/>
      <c r="T660" s="879"/>
      <c r="U660" s="879"/>
      <c r="V660" s="879"/>
      <c r="W660" s="879"/>
    </row>
    <row r="661" spans="1:23" ht="12.75" customHeight="1">
      <c r="A661" s="879"/>
      <c r="B661" s="879"/>
      <c r="C661" s="879"/>
      <c r="D661" s="879"/>
      <c r="E661" s="879"/>
      <c r="F661" s="879"/>
      <c r="G661" s="879"/>
      <c r="H661" s="879"/>
      <c r="I661" s="879"/>
      <c r="J661" s="879"/>
      <c r="K661" s="879"/>
      <c r="L661" s="879"/>
      <c r="M661" s="879"/>
      <c r="N661" s="879"/>
      <c r="O661" s="879"/>
      <c r="P661" s="879"/>
      <c r="Q661" s="879"/>
      <c r="R661" s="879"/>
      <c r="S661" s="879"/>
      <c r="T661" s="879"/>
      <c r="U661" s="879"/>
      <c r="V661" s="879"/>
      <c r="W661" s="879"/>
    </row>
    <row r="662" spans="1:23" ht="12.75" customHeight="1">
      <c r="A662" s="879"/>
      <c r="B662" s="879"/>
      <c r="C662" s="879"/>
      <c r="D662" s="879"/>
      <c r="E662" s="879"/>
      <c r="F662" s="879"/>
      <c r="G662" s="879"/>
      <c r="H662" s="879"/>
      <c r="I662" s="879"/>
      <c r="J662" s="879"/>
      <c r="K662" s="879"/>
      <c r="L662" s="879"/>
      <c r="M662" s="879"/>
      <c r="N662" s="879"/>
      <c r="O662" s="879"/>
      <c r="P662" s="879"/>
      <c r="Q662" s="879"/>
      <c r="R662" s="879"/>
      <c r="S662" s="879"/>
      <c r="T662" s="879"/>
      <c r="U662" s="879"/>
      <c r="V662" s="879"/>
      <c r="W662" s="879"/>
    </row>
    <row r="663" spans="1:23" ht="12.75" customHeight="1">
      <c r="A663" s="879"/>
      <c r="B663" s="879"/>
      <c r="C663" s="879"/>
      <c r="D663" s="879"/>
      <c r="E663" s="879"/>
      <c r="F663" s="879"/>
      <c r="G663" s="879"/>
      <c r="H663" s="879"/>
      <c r="I663" s="879"/>
      <c r="J663" s="879"/>
      <c r="K663" s="879"/>
      <c r="L663" s="879"/>
      <c r="M663" s="879"/>
      <c r="N663" s="879"/>
      <c r="O663" s="879"/>
      <c r="P663" s="879"/>
      <c r="Q663" s="879"/>
      <c r="R663" s="879"/>
      <c r="S663" s="879"/>
      <c r="T663" s="879"/>
      <c r="U663" s="879"/>
      <c r="V663" s="879"/>
      <c r="W663" s="879"/>
    </row>
    <row r="664" spans="1:23" ht="12.75" customHeight="1">
      <c r="A664" s="879"/>
      <c r="B664" s="879"/>
      <c r="C664" s="879"/>
      <c r="D664" s="879"/>
      <c r="E664" s="879"/>
      <c r="F664" s="879"/>
      <c r="G664" s="879"/>
      <c r="H664" s="879"/>
      <c r="I664" s="879"/>
      <c r="J664" s="879"/>
      <c r="K664" s="879"/>
      <c r="L664" s="879"/>
      <c r="M664" s="879"/>
      <c r="N664" s="879"/>
      <c r="O664" s="879"/>
      <c r="P664" s="879"/>
      <c r="Q664" s="879"/>
      <c r="R664" s="879"/>
      <c r="S664" s="879"/>
      <c r="T664" s="879"/>
      <c r="U664" s="879"/>
      <c r="V664" s="879"/>
      <c r="W664" s="879"/>
    </row>
    <row r="665" spans="1:23" ht="12.75" customHeight="1">
      <c r="A665" s="879"/>
      <c r="B665" s="879"/>
      <c r="C665" s="879"/>
      <c r="D665" s="879"/>
      <c r="E665" s="879"/>
      <c r="F665" s="879"/>
      <c r="G665" s="879"/>
      <c r="H665" s="879"/>
      <c r="I665" s="879"/>
      <c r="J665" s="879"/>
      <c r="K665" s="879"/>
      <c r="L665" s="879"/>
      <c r="M665" s="879"/>
      <c r="N665" s="879"/>
      <c r="O665" s="879"/>
      <c r="P665" s="879"/>
      <c r="Q665" s="879"/>
      <c r="R665" s="879"/>
      <c r="S665" s="879"/>
      <c r="T665" s="879"/>
      <c r="U665" s="879"/>
      <c r="V665" s="879"/>
      <c r="W665" s="879"/>
    </row>
    <row r="666" spans="1:23" ht="12.75" customHeight="1">
      <c r="A666" s="879"/>
      <c r="B666" s="879"/>
      <c r="C666" s="879"/>
      <c r="D666" s="879"/>
      <c r="E666" s="879"/>
      <c r="F666" s="879"/>
      <c r="G666" s="879"/>
      <c r="H666" s="879"/>
      <c r="I666" s="879"/>
      <c r="J666" s="879"/>
      <c r="K666" s="879"/>
      <c r="L666" s="879"/>
      <c r="M666" s="879"/>
      <c r="N666" s="879"/>
      <c r="O666" s="879"/>
      <c r="P666" s="879"/>
      <c r="Q666" s="879"/>
      <c r="R666" s="879"/>
      <c r="S666" s="879"/>
      <c r="T666" s="879"/>
      <c r="U666" s="879"/>
      <c r="V666" s="879"/>
      <c r="W666" s="879"/>
    </row>
    <row r="667" spans="1:23" ht="12.75" customHeight="1">
      <c r="A667" s="879"/>
      <c r="B667" s="879"/>
      <c r="C667" s="879"/>
      <c r="D667" s="879"/>
      <c r="E667" s="879"/>
      <c r="F667" s="879"/>
      <c r="G667" s="879"/>
      <c r="H667" s="879"/>
      <c r="I667" s="879"/>
      <c r="J667" s="879"/>
      <c r="K667" s="879"/>
      <c r="L667" s="879"/>
      <c r="M667" s="879"/>
      <c r="N667" s="879"/>
      <c r="O667" s="879"/>
      <c r="P667" s="879"/>
      <c r="Q667" s="879"/>
      <c r="R667" s="879"/>
      <c r="S667" s="879"/>
      <c r="T667" s="879"/>
      <c r="U667" s="879"/>
      <c r="V667" s="879"/>
      <c r="W667" s="879"/>
    </row>
    <row r="668" spans="1:23" ht="12.75" customHeight="1">
      <c r="A668" s="879"/>
      <c r="B668" s="879"/>
      <c r="C668" s="879"/>
      <c r="D668" s="879"/>
      <c r="E668" s="879"/>
      <c r="F668" s="879"/>
      <c r="G668" s="879"/>
      <c r="H668" s="879"/>
      <c r="I668" s="879"/>
      <c r="J668" s="879"/>
      <c r="K668" s="879"/>
      <c r="L668" s="879"/>
      <c r="M668" s="879"/>
      <c r="N668" s="879"/>
      <c r="O668" s="879"/>
      <c r="P668" s="879"/>
      <c r="Q668" s="879"/>
      <c r="R668" s="879"/>
      <c r="S668" s="879"/>
      <c r="T668" s="879"/>
      <c r="U668" s="879"/>
      <c r="V668" s="879"/>
      <c r="W668" s="879"/>
    </row>
    <row r="669" spans="1:23" ht="12.75" customHeight="1">
      <c r="A669" s="879"/>
      <c r="B669" s="879"/>
      <c r="C669" s="879"/>
      <c r="D669" s="879"/>
      <c r="E669" s="879"/>
      <c r="F669" s="879"/>
      <c r="G669" s="879"/>
      <c r="H669" s="879"/>
      <c r="I669" s="879"/>
      <c r="J669" s="879"/>
      <c r="K669" s="879"/>
      <c r="L669" s="879"/>
      <c r="M669" s="879"/>
      <c r="N669" s="879"/>
      <c r="O669" s="879"/>
      <c r="P669" s="879"/>
      <c r="Q669" s="879"/>
      <c r="R669" s="879"/>
      <c r="S669" s="879"/>
      <c r="T669" s="879"/>
      <c r="U669" s="879"/>
      <c r="V669" s="879"/>
      <c r="W669" s="879"/>
    </row>
    <row r="670" spans="1:23" ht="12.75" customHeight="1">
      <c r="A670" s="879"/>
      <c r="B670" s="879"/>
      <c r="C670" s="879"/>
      <c r="D670" s="879"/>
      <c r="E670" s="879"/>
      <c r="F670" s="879"/>
      <c r="G670" s="879"/>
      <c r="H670" s="879"/>
      <c r="I670" s="879"/>
      <c r="J670" s="879"/>
      <c r="K670" s="879"/>
      <c r="L670" s="879"/>
      <c r="M670" s="879"/>
      <c r="N670" s="879"/>
      <c r="O670" s="879"/>
      <c r="P670" s="879"/>
      <c r="Q670" s="879"/>
      <c r="R670" s="879"/>
      <c r="S670" s="879"/>
      <c r="T670" s="879"/>
      <c r="U670" s="879"/>
      <c r="V670" s="879"/>
      <c r="W670" s="879"/>
    </row>
    <row r="671" spans="1:23" ht="12.75" customHeight="1">
      <c r="A671" s="879"/>
      <c r="B671" s="879"/>
      <c r="C671" s="879"/>
      <c r="D671" s="879"/>
      <c r="E671" s="879"/>
      <c r="F671" s="879"/>
      <c r="G671" s="879"/>
      <c r="H671" s="879"/>
      <c r="I671" s="879"/>
      <c r="J671" s="879"/>
      <c r="K671" s="879"/>
      <c r="L671" s="879"/>
      <c r="M671" s="879"/>
      <c r="N671" s="879"/>
      <c r="O671" s="879"/>
      <c r="P671" s="879"/>
      <c r="Q671" s="879"/>
      <c r="R671" s="879"/>
      <c r="S671" s="879"/>
      <c r="T671" s="879"/>
      <c r="U671" s="879"/>
      <c r="V671" s="879"/>
      <c r="W671" s="879"/>
    </row>
    <row r="672" spans="1:23" ht="12.75" customHeight="1">
      <c r="A672" s="879"/>
      <c r="B672" s="879"/>
      <c r="C672" s="879"/>
      <c r="D672" s="879"/>
      <c r="E672" s="879"/>
      <c r="F672" s="879"/>
      <c r="G672" s="879"/>
      <c r="H672" s="879"/>
      <c r="I672" s="879"/>
      <c r="J672" s="879"/>
      <c r="K672" s="879"/>
      <c r="L672" s="879"/>
      <c r="M672" s="879"/>
      <c r="N672" s="879"/>
      <c r="O672" s="879"/>
      <c r="P672" s="879"/>
      <c r="Q672" s="879"/>
      <c r="R672" s="879"/>
      <c r="S672" s="879"/>
      <c r="T672" s="879"/>
      <c r="U672" s="879"/>
      <c r="V672" s="879"/>
      <c r="W672" s="879"/>
    </row>
    <row r="673" spans="1:23" ht="12.75" customHeight="1">
      <c r="A673" s="879"/>
      <c r="B673" s="879"/>
      <c r="C673" s="879"/>
      <c r="D673" s="879"/>
      <c r="E673" s="879"/>
      <c r="F673" s="879"/>
      <c r="G673" s="879"/>
      <c r="H673" s="879"/>
      <c r="I673" s="879"/>
      <c r="J673" s="879"/>
      <c r="K673" s="879"/>
      <c r="L673" s="879"/>
      <c r="M673" s="879"/>
      <c r="N673" s="879"/>
      <c r="O673" s="879"/>
      <c r="P673" s="879"/>
      <c r="Q673" s="879"/>
      <c r="R673" s="879"/>
      <c r="S673" s="879"/>
      <c r="T673" s="879"/>
      <c r="U673" s="879"/>
      <c r="V673" s="879"/>
      <c r="W673" s="879"/>
    </row>
    <row r="674" spans="1:23" ht="12.75" customHeight="1">
      <c r="A674" s="879"/>
      <c r="B674" s="879"/>
      <c r="C674" s="879"/>
      <c r="D674" s="879"/>
      <c r="E674" s="879"/>
      <c r="F674" s="879"/>
      <c r="G674" s="879"/>
      <c r="H674" s="879"/>
      <c r="I674" s="879"/>
      <c r="J674" s="879"/>
      <c r="K674" s="879"/>
      <c r="L674" s="879"/>
      <c r="M674" s="879"/>
      <c r="N674" s="879"/>
      <c r="O674" s="879"/>
      <c r="P674" s="879"/>
      <c r="Q674" s="879"/>
      <c r="R674" s="879"/>
      <c r="S674" s="879"/>
      <c r="T674" s="879"/>
      <c r="U674" s="879"/>
      <c r="V674" s="879"/>
      <c r="W674" s="879"/>
    </row>
    <row r="675" spans="1:23" ht="12.75" customHeight="1">
      <c r="A675" s="879"/>
      <c r="B675" s="879"/>
      <c r="C675" s="879"/>
      <c r="D675" s="879"/>
      <c r="E675" s="879"/>
      <c r="F675" s="879"/>
      <c r="G675" s="879"/>
      <c r="H675" s="879"/>
      <c r="I675" s="879"/>
      <c r="J675" s="879"/>
      <c r="K675" s="879"/>
      <c r="L675" s="879"/>
      <c r="M675" s="879"/>
      <c r="N675" s="879"/>
      <c r="O675" s="879"/>
      <c r="P675" s="879"/>
      <c r="Q675" s="879"/>
      <c r="R675" s="879"/>
      <c r="S675" s="879"/>
      <c r="T675" s="879"/>
      <c r="U675" s="879"/>
      <c r="V675" s="879"/>
      <c r="W675" s="879"/>
    </row>
    <row r="676" spans="1:23" ht="12.75" customHeight="1">
      <c r="A676" s="879"/>
      <c r="B676" s="879"/>
      <c r="C676" s="879"/>
      <c r="D676" s="879"/>
      <c r="E676" s="879"/>
      <c r="F676" s="879"/>
      <c r="G676" s="879"/>
      <c r="H676" s="879"/>
      <c r="I676" s="879"/>
      <c r="J676" s="879"/>
      <c r="K676" s="879"/>
      <c r="L676" s="879"/>
      <c r="M676" s="879"/>
      <c r="N676" s="879"/>
      <c r="O676" s="879"/>
      <c r="P676" s="879"/>
      <c r="Q676" s="879"/>
      <c r="R676" s="879"/>
      <c r="S676" s="879"/>
      <c r="T676" s="879"/>
      <c r="U676" s="879"/>
      <c r="V676" s="879"/>
      <c r="W676" s="879"/>
    </row>
    <row r="677" spans="1:23" ht="12.75" customHeight="1">
      <c r="A677" s="879"/>
      <c r="B677" s="879"/>
      <c r="C677" s="879"/>
      <c r="D677" s="879"/>
      <c r="E677" s="879"/>
      <c r="F677" s="879"/>
      <c r="G677" s="879"/>
      <c r="H677" s="879"/>
      <c r="I677" s="879"/>
      <c r="J677" s="879"/>
      <c r="K677" s="879"/>
      <c r="L677" s="879"/>
      <c r="M677" s="879"/>
      <c r="N677" s="879"/>
      <c r="O677" s="879"/>
      <c r="P677" s="879"/>
      <c r="Q677" s="879"/>
      <c r="R677" s="879"/>
      <c r="S677" s="879"/>
      <c r="T677" s="879"/>
      <c r="U677" s="879"/>
      <c r="V677" s="879"/>
      <c r="W677" s="879"/>
    </row>
    <row r="678" spans="1:23" ht="12.75" customHeight="1">
      <c r="A678" s="879"/>
      <c r="B678" s="879"/>
      <c r="C678" s="879"/>
      <c r="D678" s="879"/>
      <c r="E678" s="879"/>
      <c r="F678" s="879"/>
      <c r="G678" s="879"/>
      <c r="H678" s="879"/>
      <c r="I678" s="879"/>
      <c r="J678" s="879"/>
      <c r="K678" s="879"/>
      <c r="L678" s="879"/>
      <c r="M678" s="879"/>
      <c r="N678" s="879"/>
      <c r="O678" s="879"/>
      <c r="P678" s="879"/>
      <c r="Q678" s="879"/>
      <c r="R678" s="879"/>
      <c r="S678" s="879"/>
      <c r="T678" s="879"/>
      <c r="U678" s="879"/>
      <c r="V678" s="879"/>
      <c r="W678" s="879"/>
    </row>
    <row r="679" spans="1:23" ht="12.75" customHeight="1">
      <c r="A679" s="879"/>
      <c r="B679" s="879"/>
      <c r="C679" s="879"/>
      <c r="D679" s="879"/>
      <c r="E679" s="879"/>
      <c r="F679" s="879"/>
      <c r="G679" s="879"/>
      <c r="H679" s="879"/>
      <c r="I679" s="879"/>
      <c r="J679" s="879"/>
      <c r="K679" s="879"/>
      <c r="L679" s="879"/>
      <c r="M679" s="879"/>
      <c r="N679" s="879"/>
      <c r="O679" s="879"/>
      <c r="P679" s="879"/>
      <c r="Q679" s="879"/>
      <c r="R679" s="879"/>
      <c r="S679" s="879"/>
      <c r="T679" s="879"/>
      <c r="U679" s="879"/>
      <c r="V679" s="879"/>
      <c r="W679" s="879"/>
    </row>
    <row r="680" spans="1:23" ht="12.75" customHeight="1">
      <c r="A680" s="879"/>
      <c r="B680" s="879"/>
      <c r="C680" s="879"/>
      <c r="D680" s="879"/>
      <c r="E680" s="879"/>
      <c r="F680" s="879"/>
      <c r="G680" s="879"/>
      <c r="H680" s="879"/>
      <c r="I680" s="879"/>
      <c r="J680" s="879"/>
      <c r="K680" s="879"/>
      <c r="L680" s="879"/>
      <c r="M680" s="879"/>
      <c r="N680" s="879"/>
      <c r="O680" s="879"/>
      <c r="P680" s="879"/>
      <c r="Q680" s="879"/>
      <c r="R680" s="879"/>
      <c r="S680" s="879"/>
      <c r="T680" s="879"/>
      <c r="U680" s="879"/>
      <c r="V680" s="879"/>
      <c r="W680" s="879"/>
    </row>
    <row r="681" spans="1:23" ht="12.75" customHeight="1">
      <c r="A681" s="879"/>
      <c r="B681" s="879"/>
      <c r="C681" s="879"/>
      <c r="D681" s="879"/>
      <c r="E681" s="879"/>
      <c r="F681" s="879"/>
      <c r="G681" s="879"/>
      <c r="H681" s="879"/>
      <c r="I681" s="879"/>
      <c r="J681" s="879"/>
      <c r="K681" s="879"/>
      <c r="L681" s="879"/>
      <c r="M681" s="879"/>
      <c r="N681" s="879"/>
      <c r="O681" s="879"/>
      <c r="P681" s="879"/>
      <c r="Q681" s="879"/>
      <c r="R681" s="879"/>
      <c r="S681" s="879"/>
      <c r="T681" s="879"/>
      <c r="U681" s="879"/>
      <c r="V681" s="879"/>
      <c r="W681" s="879"/>
    </row>
    <row r="682" spans="1:23" ht="12.75" customHeight="1">
      <c r="A682" s="879"/>
      <c r="B682" s="879"/>
      <c r="C682" s="879"/>
      <c r="D682" s="879"/>
      <c r="E682" s="879"/>
      <c r="F682" s="879"/>
      <c r="G682" s="879"/>
      <c r="H682" s="879"/>
      <c r="I682" s="879"/>
      <c r="J682" s="879"/>
      <c r="K682" s="879"/>
      <c r="L682" s="879"/>
      <c r="M682" s="879"/>
      <c r="N682" s="879"/>
      <c r="O682" s="879"/>
      <c r="P682" s="879"/>
      <c r="Q682" s="879"/>
      <c r="R682" s="879"/>
      <c r="S682" s="879"/>
      <c r="T682" s="879"/>
      <c r="U682" s="879"/>
      <c r="V682" s="879"/>
      <c r="W682" s="879"/>
    </row>
    <row r="683" spans="1:23" ht="12.75" customHeight="1">
      <c r="A683" s="879"/>
      <c r="B683" s="879"/>
      <c r="C683" s="879"/>
      <c r="D683" s="879"/>
      <c r="E683" s="879"/>
      <c r="F683" s="879"/>
      <c r="G683" s="879"/>
      <c r="H683" s="879"/>
      <c r="I683" s="879"/>
      <c r="J683" s="879"/>
      <c r="K683" s="879"/>
      <c r="L683" s="879"/>
      <c r="M683" s="879"/>
      <c r="N683" s="879"/>
      <c r="O683" s="879"/>
      <c r="P683" s="879"/>
      <c r="Q683" s="879"/>
      <c r="R683" s="879"/>
      <c r="S683" s="879"/>
      <c r="T683" s="879"/>
      <c r="U683" s="879"/>
      <c r="V683" s="879"/>
      <c r="W683" s="879"/>
    </row>
    <row r="684" spans="1:23" ht="12.75" customHeight="1">
      <c r="A684" s="879"/>
      <c r="B684" s="879"/>
      <c r="C684" s="879"/>
      <c r="D684" s="879"/>
      <c r="E684" s="879"/>
      <c r="F684" s="879"/>
      <c r="G684" s="879"/>
      <c r="H684" s="879"/>
      <c r="I684" s="879"/>
      <c r="J684" s="879"/>
      <c r="K684" s="879"/>
      <c r="L684" s="879"/>
      <c r="M684" s="879"/>
      <c r="N684" s="879"/>
      <c r="O684" s="879"/>
      <c r="P684" s="879"/>
      <c r="Q684" s="879"/>
      <c r="R684" s="879"/>
      <c r="S684" s="879"/>
      <c r="T684" s="879"/>
      <c r="U684" s="879"/>
      <c r="V684" s="879"/>
      <c r="W684" s="879"/>
    </row>
    <row r="685" spans="1:23" ht="12.75" customHeight="1">
      <c r="A685" s="879"/>
      <c r="B685" s="879"/>
      <c r="C685" s="879"/>
      <c r="D685" s="879"/>
      <c r="E685" s="879"/>
      <c r="F685" s="879"/>
      <c r="G685" s="879"/>
      <c r="H685" s="879"/>
      <c r="I685" s="879"/>
      <c r="J685" s="879"/>
      <c r="K685" s="879"/>
      <c r="L685" s="879"/>
      <c r="M685" s="879"/>
      <c r="N685" s="879"/>
      <c r="O685" s="879"/>
      <c r="P685" s="879"/>
      <c r="Q685" s="879"/>
      <c r="R685" s="879"/>
      <c r="S685" s="879"/>
      <c r="T685" s="879"/>
      <c r="U685" s="879"/>
      <c r="V685" s="879"/>
      <c r="W685" s="879"/>
    </row>
    <row r="686" spans="1:23" ht="12.75" customHeight="1">
      <c r="A686" s="879"/>
      <c r="B686" s="879"/>
      <c r="C686" s="879"/>
      <c r="D686" s="879"/>
      <c r="E686" s="879"/>
      <c r="F686" s="879"/>
      <c r="G686" s="879"/>
      <c r="H686" s="879"/>
      <c r="I686" s="879"/>
      <c r="J686" s="879"/>
      <c r="K686" s="879"/>
      <c r="L686" s="879"/>
      <c r="M686" s="879"/>
      <c r="N686" s="879"/>
      <c r="O686" s="879"/>
      <c r="P686" s="879"/>
      <c r="Q686" s="879"/>
      <c r="R686" s="879"/>
      <c r="S686" s="879"/>
      <c r="T686" s="879"/>
      <c r="U686" s="879"/>
      <c r="V686" s="879"/>
      <c r="W686" s="879"/>
    </row>
    <row r="687" spans="1:23" ht="12.75" customHeight="1">
      <c r="A687" s="879"/>
      <c r="B687" s="879"/>
      <c r="C687" s="879"/>
      <c r="D687" s="879"/>
      <c r="E687" s="879"/>
      <c r="F687" s="879"/>
      <c r="G687" s="879"/>
      <c r="H687" s="879"/>
      <c r="I687" s="879"/>
      <c r="J687" s="879"/>
      <c r="K687" s="879"/>
      <c r="L687" s="879"/>
      <c r="M687" s="879"/>
      <c r="N687" s="879"/>
      <c r="O687" s="879"/>
      <c r="P687" s="879"/>
      <c r="Q687" s="879"/>
      <c r="R687" s="879"/>
      <c r="S687" s="879"/>
      <c r="T687" s="879"/>
      <c r="U687" s="879"/>
      <c r="V687" s="879"/>
      <c r="W687" s="879"/>
    </row>
    <row r="688" spans="1:23" ht="12.75" customHeight="1">
      <c r="A688" s="879"/>
      <c r="B688" s="879"/>
      <c r="C688" s="879"/>
      <c r="D688" s="879"/>
      <c r="E688" s="879"/>
      <c r="F688" s="879"/>
      <c r="G688" s="879"/>
      <c r="H688" s="879"/>
      <c r="I688" s="879"/>
      <c r="J688" s="879"/>
      <c r="K688" s="879"/>
      <c r="L688" s="879"/>
      <c r="M688" s="879"/>
      <c r="N688" s="879"/>
      <c r="O688" s="879"/>
      <c r="P688" s="879"/>
      <c r="Q688" s="879"/>
      <c r="R688" s="879"/>
      <c r="S688" s="879"/>
      <c r="T688" s="879"/>
      <c r="U688" s="879"/>
      <c r="V688" s="879"/>
      <c r="W688" s="879"/>
    </row>
    <row r="689" spans="1:23" ht="12.75" customHeight="1">
      <c r="A689" s="879"/>
      <c r="B689" s="879"/>
      <c r="C689" s="879"/>
      <c r="D689" s="879"/>
      <c r="E689" s="879"/>
      <c r="F689" s="879"/>
      <c r="G689" s="879"/>
      <c r="H689" s="879"/>
      <c r="I689" s="879"/>
      <c r="J689" s="879"/>
      <c r="K689" s="879"/>
      <c r="L689" s="879"/>
      <c r="M689" s="879"/>
      <c r="N689" s="879"/>
      <c r="O689" s="879"/>
      <c r="P689" s="879"/>
      <c r="Q689" s="879"/>
      <c r="R689" s="879"/>
      <c r="S689" s="879"/>
      <c r="T689" s="879"/>
      <c r="U689" s="879"/>
      <c r="V689" s="879"/>
      <c r="W689" s="879"/>
    </row>
    <row r="690" spans="1:23" ht="12.75" customHeight="1">
      <c r="A690" s="879"/>
      <c r="B690" s="879"/>
      <c r="C690" s="879"/>
      <c r="D690" s="879"/>
      <c r="E690" s="879"/>
      <c r="F690" s="879"/>
      <c r="G690" s="879"/>
      <c r="H690" s="879"/>
      <c r="I690" s="879"/>
      <c r="J690" s="879"/>
      <c r="K690" s="879"/>
      <c r="L690" s="879"/>
      <c r="M690" s="879"/>
      <c r="N690" s="879"/>
      <c r="O690" s="879"/>
      <c r="P690" s="879"/>
      <c r="Q690" s="879"/>
      <c r="R690" s="879"/>
      <c r="S690" s="879"/>
      <c r="T690" s="879"/>
      <c r="U690" s="879"/>
      <c r="V690" s="879"/>
      <c r="W690" s="879"/>
    </row>
    <row r="691" spans="1:23" ht="12.75" customHeight="1">
      <c r="A691" s="879"/>
      <c r="B691" s="879"/>
      <c r="C691" s="879"/>
      <c r="D691" s="879"/>
      <c r="E691" s="879"/>
      <c r="F691" s="879"/>
      <c r="G691" s="879"/>
      <c r="H691" s="879"/>
      <c r="I691" s="879"/>
      <c r="J691" s="879"/>
      <c r="K691" s="879"/>
      <c r="L691" s="879"/>
      <c r="M691" s="879"/>
      <c r="N691" s="879"/>
      <c r="O691" s="879"/>
      <c r="P691" s="879"/>
      <c r="Q691" s="879"/>
      <c r="R691" s="879"/>
      <c r="S691" s="879"/>
      <c r="T691" s="879"/>
      <c r="U691" s="879"/>
      <c r="V691" s="879"/>
      <c r="W691" s="879"/>
    </row>
    <row r="692" spans="1:23" ht="12.75" customHeight="1">
      <c r="A692" s="879"/>
      <c r="B692" s="879"/>
      <c r="C692" s="879"/>
      <c r="D692" s="879"/>
      <c r="E692" s="879"/>
      <c r="F692" s="879"/>
      <c r="G692" s="879"/>
      <c r="H692" s="879"/>
      <c r="I692" s="879"/>
      <c r="J692" s="879"/>
      <c r="K692" s="879"/>
      <c r="L692" s="879"/>
      <c r="M692" s="879"/>
      <c r="N692" s="879"/>
      <c r="O692" s="879"/>
      <c r="P692" s="879"/>
      <c r="Q692" s="879"/>
      <c r="R692" s="879"/>
      <c r="S692" s="879"/>
      <c r="T692" s="879"/>
      <c r="U692" s="879"/>
      <c r="V692" s="879"/>
      <c r="W692" s="879"/>
    </row>
    <row r="693" spans="1:23" ht="12.75" customHeight="1">
      <c r="A693" s="879"/>
      <c r="B693" s="879"/>
      <c r="C693" s="879"/>
      <c r="D693" s="879"/>
      <c r="E693" s="879"/>
      <c r="F693" s="879"/>
      <c r="G693" s="879"/>
      <c r="H693" s="879"/>
      <c r="I693" s="879"/>
      <c r="J693" s="879"/>
      <c r="K693" s="879"/>
      <c r="L693" s="879"/>
      <c r="M693" s="879"/>
      <c r="N693" s="879"/>
      <c r="O693" s="879"/>
      <c r="P693" s="879"/>
      <c r="Q693" s="879"/>
      <c r="R693" s="879"/>
      <c r="S693" s="879"/>
      <c r="T693" s="879"/>
      <c r="U693" s="879"/>
      <c r="V693" s="879"/>
      <c r="W693" s="879"/>
    </row>
    <row r="694" spans="1:23" ht="12.75" customHeight="1">
      <c r="A694" s="879"/>
      <c r="B694" s="879"/>
      <c r="C694" s="879"/>
      <c r="D694" s="879"/>
      <c r="E694" s="879"/>
      <c r="F694" s="879"/>
      <c r="G694" s="879"/>
      <c r="H694" s="879"/>
      <c r="I694" s="879"/>
      <c r="J694" s="879"/>
      <c r="K694" s="879"/>
      <c r="L694" s="879"/>
      <c r="M694" s="879"/>
      <c r="N694" s="879"/>
      <c r="O694" s="879"/>
      <c r="P694" s="879"/>
      <c r="Q694" s="879"/>
      <c r="R694" s="879"/>
      <c r="S694" s="879"/>
      <c r="T694" s="879"/>
      <c r="U694" s="879"/>
      <c r="V694" s="879"/>
      <c r="W694" s="879"/>
    </row>
    <row r="695" spans="1:23" ht="12.75" customHeight="1">
      <c r="A695" s="879"/>
      <c r="B695" s="879"/>
      <c r="C695" s="879"/>
      <c r="D695" s="879"/>
      <c r="E695" s="879"/>
      <c r="F695" s="879"/>
      <c r="G695" s="879"/>
      <c r="H695" s="879"/>
      <c r="I695" s="879"/>
      <c r="J695" s="879"/>
      <c r="K695" s="879"/>
      <c r="L695" s="879"/>
      <c r="M695" s="879"/>
      <c r="N695" s="879"/>
      <c r="O695" s="879"/>
      <c r="P695" s="879"/>
      <c r="Q695" s="879"/>
      <c r="R695" s="879"/>
      <c r="S695" s="879"/>
      <c r="T695" s="879"/>
      <c r="U695" s="879"/>
      <c r="V695" s="879"/>
      <c r="W695" s="879"/>
    </row>
    <row r="696" spans="1:23" ht="12.75" customHeight="1">
      <c r="A696" s="879"/>
      <c r="B696" s="879"/>
      <c r="C696" s="879"/>
      <c r="D696" s="879"/>
      <c r="E696" s="879"/>
      <c r="F696" s="879"/>
      <c r="G696" s="879"/>
      <c r="H696" s="879"/>
      <c r="I696" s="879"/>
      <c r="J696" s="879"/>
      <c r="K696" s="879"/>
      <c r="L696" s="879"/>
      <c r="M696" s="879"/>
      <c r="N696" s="879"/>
      <c r="O696" s="879"/>
      <c r="P696" s="879"/>
      <c r="Q696" s="879"/>
      <c r="R696" s="879"/>
      <c r="S696" s="879"/>
      <c r="T696" s="879"/>
      <c r="U696" s="879"/>
      <c r="V696" s="879"/>
      <c r="W696" s="879"/>
    </row>
    <row r="697" spans="1:23" ht="12.75" customHeight="1">
      <c r="A697" s="879"/>
      <c r="B697" s="879"/>
      <c r="C697" s="879"/>
      <c r="D697" s="879"/>
      <c r="E697" s="879"/>
      <c r="F697" s="879"/>
      <c r="G697" s="879"/>
      <c r="H697" s="879"/>
      <c r="I697" s="879"/>
      <c r="J697" s="879"/>
      <c r="K697" s="879"/>
      <c r="L697" s="879"/>
      <c r="M697" s="879"/>
      <c r="N697" s="879"/>
      <c r="O697" s="879"/>
      <c r="P697" s="879"/>
      <c r="Q697" s="879"/>
      <c r="R697" s="879"/>
      <c r="S697" s="879"/>
      <c r="T697" s="879"/>
      <c r="U697" s="879"/>
      <c r="V697" s="879"/>
      <c r="W697" s="879"/>
    </row>
    <row r="698" spans="1:23" ht="12.75" customHeight="1">
      <c r="A698" s="879"/>
      <c r="B698" s="879"/>
      <c r="C698" s="879"/>
      <c r="D698" s="879"/>
      <c r="E698" s="879"/>
      <c r="F698" s="879"/>
      <c r="G698" s="879"/>
      <c r="H698" s="879"/>
      <c r="I698" s="879"/>
      <c r="J698" s="879"/>
      <c r="K698" s="879"/>
      <c r="L698" s="879"/>
      <c r="M698" s="879"/>
      <c r="N698" s="879"/>
      <c r="O698" s="879"/>
      <c r="P698" s="879"/>
      <c r="Q698" s="879"/>
      <c r="R698" s="879"/>
      <c r="S698" s="879"/>
      <c r="T698" s="879"/>
      <c r="U698" s="879"/>
      <c r="V698" s="879"/>
      <c r="W698" s="879"/>
    </row>
    <row r="699" spans="1:23" ht="12.75" customHeight="1">
      <c r="A699" s="879"/>
      <c r="B699" s="879"/>
      <c r="C699" s="879"/>
      <c r="D699" s="879"/>
      <c r="E699" s="879"/>
      <c r="F699" s="879"/>
      <c r="G699" s="879"/>
      <c r="H699" s="879"/>
      <c r="I699" s="879"/>
      <c r="J699" s="879"/>
      <c r="K699" s="879"/>
      <c r="L699" s="879"/>
      <c r="M699" s="879"/>
      <c r="N699" s="879"/>
      <c r="O699" s="879"/>
      <c r="P699" s="879"/>
      <c r="Q699" s="879"/>
      <c r="R699" s="879"/>
      <c r="S699" s="879"/>
      <c r="T699" s="879"/>
      <c r="U699" s="879"/>
      <c r="V699" s="879"/>
      <c r="W699" s="879"/>
    </row>
    <row r="700" spans="1:23" ht="12.75" customHeight="1">
      <c r="A700" s="879"/>
      <c r="B700" s="879"/>
      <c r="C700" s="879"/>
      <c r="D700" s="879"/>
      <c r="E700" s="879"/>
      <c r="F700" s="879"/>
      <c r="G700" s="879"/>
      <c r="H700" s="879"/>
      <c r="I700" s="879"/>
      <c r="J700" s="879"/>
      <c r="K700" s="879"/>
      <c r="L700" s="879"/>
      <c r="M700" s="879"/>
      <c r="N700" s="879"/>
      <c r="O700" s="879"/>
      <c r="P700" s="879"/>
      <c r="Q700" s="879"/>
      <c r="R700" s="879"/>
      <c r="S700" s="879"/>
      <c r="T700" s="879"/>
      <c r="U700" s="879"/>
      <c r="V700" s="879"/>
      <c r="W700" s="879"/>
    </row>
    <row r="701" spans="1:23" ht="12.75" customHeight="1">
      <c r="A701" s="879"/>
      <c r="B701" s="879"/>
      <c r="C701" s="879"/>
      <c r="D701" s="879"/>
      <c r="E701" s="879"/>
      <c r="F701" s="879"/>
      <c r="G701" s="879"/>
      <c r="H701" s="879"/>
      <c r="I701" s="879"/>
      <c r="J701" s="879"/>
      <c r="K701" s="879"/>
      <c r="L701" s="879"/>
      <c r="M701" s="879"/>
      <c r="N701" s="879"/>
      <c r="O701" s="879"/>
      <c r="P701" s="879"/>
      <c r="Q701" s="879"/>
      <c r="R701" s="879"/>
      <c r="S701" s="879"/>
      <c r="T701" s="879"/>
      <c r="U701" s="879"/>
      <c r="V701" s="879"/>
      <c r="W701" s="879"/>
    </row>
    <row r="702" spans="1:23" ht="12.75" customHeight="1">
      <c r="A702" s="879"/>
      <c r="B702" s="879"/>
      <c r="C702" s="879"/>
      <c r="D702" s="879"/>
      <c r="E702" s="879"/>
      <c r="F702" s="879"/>
      <c r="G702" s="879"/>
      <c r="H702" s="879"/>
      <c r="I702" s="879"/>
      <c r="J702" s="879"/>
      <c r="K702" s="879"/>
      <c r="L702" s="879"/>
      <c r="M702" s="879"/>
      <c r="N702" s="879"/>
      <c r="O702" s="879"/>
      <c r="P702" s="879"/>
      <c r="Q702" s="879"/>
      <c r="R702" s="879"/>
      <c r="S702" s="879"/>
      <c r="T702" s="879"/>
      <c r="U702" s="879"/>
      <c r="V702" s="879"/>
      <c r="W702" s="879"/>
    </row>
    <row r="703" spans="1:23" ht="12.75" customHeight="1">
      <c r="A703" s="879"/>
      <c r="B703" s="879"/>
      <c r="C703" s="879"/>
      <c r="D703" s="879"/>
      <c r="E703" s="879"/>
      <c r="F703" s="879"/>
      <c r="G703" s="879"/>
      <c r="H703" s="879"/>
      <c r="I703" s="879"/>
      <c r="J703" s="879"/>
      <c r="K703" s="879"/>
      <c r="L703" s="879"/>
      <c r="M703" s="879"/>
      <c r="N703" s="879"/>
      <c r="O703" s="879"/>
      <c r="P703" s="879"/>
      <c r="Q703" s="879"/>
      <c r="R703" s="879"/>
      <c r="S703" s="879"/>
      <c r="T703" s="879"/>
      <c r="U703" s="879"/>
      <c r="V703" s="879"/>
      <c r="W703" s="879"/>
    </row>
    <row r="704" spans="1:23" ht="12.75" customHeight="1">
      <c r="A704" s="879"/>
      <c r="B704" s="879"/>
      <c r="C704" s="879"/>
      <c r="D704" s="879"/>
      <c r="E704" s="879"/>
      <c r="F704" s="879"/>
      <c r="G704" s="879"/>
      <c r="H704" s="879"/>
      <c r="I704" s="879"/>
      <c r="J704" s="879"/>
      <c r="K704" s="879"/>
      <c r="L704" s="879"/>
      <c r="M704" s="879"/>
      <c r="N704" s="879"/>
      <c r="O704" s="879"/>
      <c r="P704" s="879"/>
      <c r="Q704" s="879"/>
      <c r="R704" s="879"/>
      <c r="S704" s="879"/>
      <c r="T704" s="879"/>
      <c r="U704" s="879"/>
      <c r="V704" s="879"/>
      <c r="W704" s="879"/>
    </row>
    <row r="705" spans="1:23" ht="12.75" customHeight="1">
      <c r="A705" s="879"/>
      <c r="B705" s="879"/>
      <c r="C705" s="879"/>
      <c r="D705" s="879"/>
      <c r="E705" s="879"/>
      <c r="F705" s="879"/>
      <c r="G705" s="879"/>
      <c r="H705" s="879"/>
      <c r="I705" s="879"/>
      <c r="J705" s="879"/>
      <c r="K705" s="879"/>
      <c r="L705" s="879"/>
      <c r="M705" s="879"/>
      <c r="N705" s="879"/>
      <c r="O705" s="879"/>
      <c r="P705" s="879"/>
      <c r="Q705" s="879"/>
      <c r="R705" s="879"/>
      <c r="S705" s="879"/>
      <c r="T705" s="879"/>
      <c r="U705" s="879"/>
      <c r="V705" s="879"/>
      <c r="W705" s="879"/>
    </row>
    <row r="706" spans="1:23" ht="12.75" customHeight="1">
      <c r="A706" s="879"/>
      <c r="B706" s="879"/>
      <c r="C706" s="879"/>
      <c r="D706" s="879"/>
      <c r="E706" s="879"/>
      <c r="F706" s="879"/>
      <c r="G706" s="879"/>
      <c r="H706" s="879"/>
      <c r="I706" s="879"/>
      <c r="J706" s="879"/>
      <c r="K706" s="879"/>
      <c r="L706" s="879"/>
      <c r="M706" s="879"/>
      <c r="N706" s="879"/>
      <c r="O706" s="879"/>
      <c r="P706" s="879"/>
      <c r="Q706" s="879"/>
      <c r="R706" s="879"/>
      <c r="S706" s="879"/>
      <c r="T706" s="879"/>
      <c r="U706" s="879"/>
      <c r="V706" s="879"/>
      <c r="W706" s="879"/>
    </row>
    <row r="707" spans="1:23" ht="12.75" customHeight="1">
      <c r="A707" s="879"/>
      <c r="B707" s="879"/>
      <c r="C707" s="879"/>
      <c r="D707" s="879"/>
      <c r="E707" s="879"/>
      <c r="F707" s="879"/>
      <c r="G707" s="879"/>
      <c r="H707" s="879"/>
      <c r="I707" s="879"/>
      <c r="J707" s="879"/>
      <c r="K707" s="879"/>
      <c r="L707" s="879"/>
      <c r="M707" s="879"/>
      <c r="N707" s="879"/>
      <c r="O707" s="879"/>
      <c r="P707" s="879"/>
      <c r="Q707" s="879"/>
      <c r="R707" s="879"/>
      <c r="S707" s="879"/>
      <c r="T707" s="879"/>
      <c r="U707" s="879"/>
      <c r="V707" s="879"/>
      <c r="W707" s="879"/>
    </row>
    <row r="708" spans="1:23" ht="12.75" customHeight="1">
      <c r="A708" s="879"/>
      <c r="B708" s="879"/>
      <c r="C708" s="879"/>
      <c r="D708" s="879"/>
      <c r="E708" s="879"/>
      <c r="F708" s="879"/>
      <c r="G708" s="879"/>
      <c r="H708" s="879"/>
      <c r="I708" s="879"/>
      <c r="J708" s="879"/>
      <c r="K708" s="879"/>
      <c r="L708" s="879"/>
      <c r="M708" s="879"/>
      <c r="N708" s="879"/>
      <c r="O708" s="879"/>
      <c r="P708" s="879"/>
      <c r="Q708" s="879"/>
      <c r="R708" s="879"/>
      <c r="S708" s="879"/>
      <c r="T708" s="879"/>
      <c r="U708" s="879"/>
      <c r="V708" s="879"/>
      <c r="W708" s="879"/>
    </row>
    <row r="709" spans="1:23" ht="12.75" customHeight="1">
      <c r="A709" s="879"/>
      <c r="B709" s="879"/>
      <c r="C709" s="879"/>
      <c r="D709" s="879"/>
      <c r="E709" s="879"/>
      <c r="F709" s="879"/>
      <c r="G709" s="879"/>
      <c r="H709" s="879"/>
      <c r="I709" s="879"/>
      <c r="J709" s="879"/>
      <c r="K709" s="879"/>
      <c r="L709" s="879"/>
      <c r="M709" s="879"/>
      <c r="N709" s="879"/>
      <c r="O709" s="879"/>
      <c r="P709" s="879"/>
      <c r="Q709" s="879"/>
      <c r="R709" s="879"/>
      <c r="S709" s="879"/>
      <c r="T709" s="879"/>
      <c r="U709" s="879"/>
      <c r="V709" s="879"/>
      <c r="W709" s="879"/>
    </row>
    <row r="710" spans="1:23" ht="12.75" customHeight="1">
      <c r="A710" s="879"/>
      <c r="B710" s="879"/>
      <c r="C710" s="879"/>
      <c r="D710" s="879"/>
      <c r="E710" s="879"/>
      <c r="F710" s="879"/>
      <c r="G710" s="879"/>
      <c r="H710" s="879"/>
      <c r="I710" s="879"/>
      <c r="J710" s="879"/>
      <c r="K710" s="879"/>
      <c r="L710" s="879"/>
      <c r="M710" s="879"/>
      <c r="N710" s="879"/>
      <c r="O710" s="879"/>
      <c r="P710" s="879"/>
      <c r="Q710" s="879"/>
      <c r="R710" s="879"/>
      <c r="S710" s="879"/>
      <c r="T710" s="879"/>
      <c r="U710" s="879"/>
      <c r="V710" s="879"/>
      <c r="W710" s="879"/>
    </row>
    <row r="711" spans="1:23" ht="12.75" customHeight="1">
      <c r="A711" s="879"/>
      <c r="B711" s="879"/>
      <c r="C711" s="879"/>
      <c r="D711" s="879"/>
      <c r="E711" s="879"/>
      <c r="F711" s="879"/>
      <c r="G711" s="879"/>
      <c r="H711" s="879"/>
      <c r="I711" s="879"/>
      <c r="J711" s="879"/>
      <c r="K711" s="879"/>
      <c r="L711" s="879"/>
      <c r="M711" s="879"/>
      <c r="N711" s="879"/>
      <c r="O711" s="879"/>
      <c r="P711" s="879"/>
      <c r="Q711" s="879"/>
      <c r="R711" s="879"/>
      <c r="S711" s="879"/>
      <c r="T711" s="879"/>
      <c r="U711" s="879"/>
      <c r="V711" s="879"/>
      <c r="W711" s="879"/>
    </row>
    <row r="712" spans="1:23" ht="12.75" customHeight="1">
      <c r="A712" s="879"/>
      <c r="B712" s="879"/>
      <c r="C712" s="879"/>
      <c r="D712" s="879"/>
      <c r="E712" s="879"/>
      <c r="F712" s="879"/>
      <c r="G712" s="879"/>
      <c r="H712" s="879"/>
      <c r="I712" s="879"/>
      <c r="J712" s="879"/>
      <c r="K712" s="879"/>
      <c r="L712" s="879"/>
      <c r="M712" s="879"/>
      <c r="N712" s="879"/>
      <c r="O712" s="879"/>
      <c r="P712" s="879"/>
      <c r="Q712" s="879"/>
      <c r="R712" s="879"/>
      <c r="S712" s="879"/>
      <c r="T712" s="879"/>
      <c r="U712" s="879"/>
      <c r="V712" s="879"/>
      <c r="W712" s="879"/>
    </row>
    <row r="713" spans="1:23" ht="12.75" customHeight="1">
      <c r="A713" s="879"/>
      <c r="B713" s="879"/>
      <c r="C713" s="879"/>
      <c r="D713" s="879"/>
      <c r="E713" s="879"/>
      <c r="F713" s="879"/>
      <c r="G713" s="879"/>
      <c r="H713" s="879"/>
      <c r="I713" s="879"/>
      <c r="J713" s="879"/>
      <c r="K713" s="879"/>
      <c r="L713" s="879"/>
      <c r="M713" s="879"/>
      <c r="N713" s="879"/>
      <c r="O713" s="879"/>
      <c r="P713" s="879"/>
      <c r="Q713" s="879"/>
      <c r="R713" s="879"/>
      <c r="S713" s="879"/>
      <c r="T713" s="879"/>
      <c r="U713" s="879"/>
      <c r="V713" s="879"/>
      <c r="W713" s="879"/>
    </row>
    <row r="714" spans="1:23" ht="12.75" customHeight="1">
      <c r="A714" s="879"/>
      <c r="B714" s="879"/>
      <c r="C714" s="879"/>
      <c r="D714" s="879"/>
      <c r="E714" s="879"/>
      <c r="F714" s="879"/>
      <c r="G714" s="879"/>
      <c r="H714" s="879"/>
      <c r="I714" s="879"/>
      <c r="J714" s="879"/>
      <c r="K714" s="879"/>
      <c r="L714" s="879"/>
      <c r="M714" s="879"/>
      <c r="N714" s="879"/>
      <c r="O714" s="879"/>
      <c r="P714" s="879"/>
      <c r="Q714" s="879"/>
      <c r="R714" s="879"/>
      <c r="S714" s="879"/>
      <c r="T714" s="879"/>
      <c r="U714" s="879"/>
      <c r="V714" s="879"/>
      <c r="W714" s="879"/>
    </row>
    <row r="715" spans="1:23" ht="12.75" customHeight="1">
      <c r="A715" s="879"/>
      <c r="B715" s="879"/>
      <c r="C715" s="879"/>
      <c r="D715" s="879"/>
      <c r="E715" s="879"/>
      <c r="F715" s="879"/>
      <c r="G715" s="879"/>
      <c r="H715" s="879"/>
      <c r="I715" s="879"/>
      <c r="J715" s="879"/>
      <c r="K715" s="879"/>
      <c r="L715" s="879"/>
      <c r="M715" s="879"/>
      <c r="N715" s="879"/>
      <c r="O715" s="879"/>
      <c r="P715" s="879"/>
      <c r="Q715" s="879"/>
      <c r="R715" s="879"/>
      <c r="S715" s="879"/>
      <c r="T715" s="879"/>
      <c r="U715" s="879"/>
      <c r="V715" s="879"/>
      <c r="W715" s="879"/>
    </row>
    <row r="716" spans="1:23" ht="12.75" customHeight="1">
      <c r="A716" s="879"/>
      <c r="B716" s="879"/>
      <c r="C716" s="879"/>
      <c r="D716" s="879"/>
      <c r="E716" s="879"/>
      <c r="F716" s="879"/>
      <c r="G716" s="879"/>
      <c r="H716" s="879"/>
      <c r="I716" s="879"/>
      <c r="J716" s="879"/>
      <c r="K716" s="879"/>
      <c r="L716" s="879"/>
      <c r="M716" s="879"/>
      <c r="N716" s="879"/>
      <c r="O716" s="879"/>
      <c r="P716" s="879"/>
      <c r="Q716" s="879"/>
      <c r="R716" s="879"/>
      <c r="S716" s="879"/>
      <c r="T716" s="879"/>
      <c r="U716" s="879"/>
      <c r="V716" s="879"/>
      <c r="W716" s="879"/>
    </row>
    <row r="717" spans="1:23" ht="12.75" customHeight="1">
      <c r="A717" s="879"/>
      <c r="B717" s="879"/>
      <c r="C717" s="879"/>
      <c r="D717" s="879"/>
      <c r="E717" s="879"/>
      <c r="F717" s="879"/>
      <c r="G717" s="879"/>
      <c r="H717" s="879"/>
      <c r="I717" s="879"/>
      <c r="J717" s="879"/>
      <c r="K717" s="879"/>
      <c r="L717" s="879"/>
      <c r="M717" s="879"/>
      <c r="N717" s="879"/>
      <c r="O717" s="879"/>
      <c r="P717" s="879"/>
      <c r="Q717" s="879"/>
      <c r="R717" s="879"/>
      <c r="S717" s="879"/>
      <c r="T717" s="879"/>
      <c r="U717" s="879"/>
      <c r="V717" s="879"/>
      <c r="W717" s="879"/>
    </row>
    <row r="718" spans="1:23" ht="12.75" customHeight="1">
      <c r="A718" s="879"/>
      <c r="B718" s="879"/>
      <c r="C718" s="879"/>
      <c r="D718" s="879"/>
      <c r="E718" s="879"/>
      <c r="F718" s="879"/>
      <c r="G718" s="879"/>
      <c r="H718" s="879"/>
      <c r="I718" s="879"/>
      <c r="J718" s="879"/>
      <c r="K718" s="879"/>
      <c r="L718" s="879"/>
      <c r="M718" s="879"/>
      <c r="N718" s="879"/>
      <c r="O718" s="879"/>
      <c r="P718" s="879"/>
      <c r="Q718" s="879"/>
      <c r="R718" s="879"/>
      <c r="S718" s="879"/>
      <c r="T718" s="879"/>
      <c r="U718" s="879"/>
      <c r="V718" s="879"/>
      <c r="W718" s="879"/>
    </row>
    <row r="719" spans="1:23" ht="12.75" customHeight="1">
      <c r="A719" s="879"/>
      <c r="B719" s="879"/>
      <c r="C719" s="879"/>
      <c r="D719" s="879"/>
      <c r="E719" s="879"/>
      <c r="F719" s="879"/>
      <c r="G719" s="879"/>
      <c r="H719" s="879"/>
      <c r="I719" s="879"/>
      <c r="J719" s="879"/>
      <c r="K719" s="879"/>
      <c r="L719" s="879"/>
      <c r="M719" s="879"/>
      <c r="N719" s="879"/>
      <c r="O719" s="879"/>
      <c r="P719" s="879"/>
      <c r="Q719" s="879"/>
      <c r="R719" s="879"/>
      <c r="S719" s="879"/>
      <c r="T719" s="879"/>
      <c r="U719" s="879"/>
      <c r="V719" s="879"/>
      <c r="W719" s="879"/>
    </row>
    <row r="720" spans="1:23" ht="12.75" customHeight="1">
      <c r="A720" s="879"/>
      <c r="B720" s="879"/>
      <c r="C720" s="879"/>
      <c r="D720" s="879"/>
      <c r="E720" s="879"/>
      <c r="F720" s="879"/>
      <c r="G720" s="879"/>
      <c r="H720" s="879"/>
      <c r="I720" s="879"/>
      <c r="J720" s="879"/>
      <c r="K720" s="879"/>
      <c r="L720" s="879"/>
      <c r="M720" s="879"/>
      <c r="N720" s="879"/>
      <c r="O720" s="879"/>
      <c r="P720" s="879"/>
      <c r="Q720" s="879"/>
      <c r="R720" s="879"/>
      <c r="S720" s="879"/>
      <c r="T720" s="879"/>
      <c r="U720" s="879"/>
      <c r="V720" s="879"/>
      <c r="W720" s="879"/>
    </row>
    <row r="721" spans="1:23" ht="12.75" customHeight="1">
      <c r="A721" s="879"/>
      <c r="B721" s="879"/>
      <c r="C721" s="879"/>
      <c r="D721" s="879"/>
      <c r="E721" s="879"/>
      <c r="F721" s="879"/>
      <c r="G721" s="879"/>
      <c r="H721" s="879"/>
      <c r="I721" s="879"/>
      <c r="J721" s="879"/>
      <c r="K721" s="879"/>
      <c r="L721" s="879"/>
      <c r="M721" s="879"/>
      <c r="N721" s="879"/>
      <c r="O721" s="879"/>
      <c r="P721" s="879"/>
      <c r="Q721" s="879"/>
      <c r="R721" s="879"/>
      <c r="S721" s="879"/>
      <c r="T721" s="879"/>
      <c r="U721" s="879"/>
      <c r="V721" s="879"/>
      <c r="W721" s="879"/>
    </row>
    <row r="722" spans="1:23" ht="12.75" customHeight="1">
      <c r="A722" s="879"/>
      <c r="B722" s="879"/>
      <c r="C722" s="879"/>
      <c r="D722" s="879"/>
      <c r="E722" s="879"/>
      <c r="F722" s="879"/>
      <c r="G722" s="879"/>
      <c r="H722" s="879"/>
      <c r="I722" s="879"/>
      <c r="J722" s="879"/>
      <c r="K722" s="879"/>
      <c r="L722" s="879"/>
      <c r="M722" s="879"/>
      <c r="N722" s="879"/>
      <c r="O722" s="879"/>
      <c r="P722" s="879"/>
      <c r="Q722" s="879"/>
      <c r="R722" s="879"/>
      <c r="S722" s="879"/>
      <c r="T722" s="879"/>
      <c r="U722" s="879"/>
      <c r="V722" s="879"/>
      <c r="W722" s="879"/>
    </row>
    <row r="723" spans="1:23" ht="12.75" customHeight="1">
      <c r="A723" s="879"/>
      <c r="B723" s="879"/>
      <c r="C723" s="879"/>
      <c r="D723" s="879"/>
      <c r="E723" s="879"/>
      <c r="F723" s="879"/>
      <c r="G723" s="879"/>
      <c r="H723" s="879"/>
      <c r="I723" s="879"/>
      <c r="J723" s="879"/>
      <c r="K723" s="879"/>
      <c r="L723" s="879"/>
      <c r="M723" s="879"/>
      <c r="N723" s="879"/>
      <c r="O723" s="879"/>
      <c r="P723" s="879"/>
      <c r="Q723" s="879"/>
      <c r="R723" s="879"/>
      <c r="S723" s="879"/>
      <c r="T723" s="879"/>
      <c r="U723" s="879"/>
      <c r="V723" s="879"/>
      <c r="W723" s="879"/>
    </row>
    <row r="724" spans="1:23" ht="12.75" customHeight="1">
      <c r="A724" s="879"/>
      <c r="B724" s="879"/>
      <c r="C724" s="879"/>
      <c r="D724" s="879"/>
      <c r="E724" s="879"/>
      <c r="F724" s="879"/>
      <c r="G724" s="879"/>
      <c r="H724" s="879"/>
      <c r="I724" s="879"/>
      <c r="J724" s="879"/>
      <c r="K724" s="879"/>
      <c r="L724" s="879"/>
      <c r="M724" s="879"/>
      <c r="N724" s="879"/>
      <c r="O724" s="879"/>
      <c r="P724" s="879"/>
      <c r="Q724" s="879"/>
      <c r="R724" s="879"/>
      <c r="S724" s="879"/>
      <c r="T724" s="879"/>
      <c r="U724" s="879"/>
      <c r="V724" s="879"/>
      <c r="W724" s="879"/>
    </row>
    <row r="725" spans="1:23" ht="12.75" customHeight="1">
      <c r="A725" s="879"/>
      <c r="B725" s="879"/>
      <c r="C725" s="879"/>
      <c r="D725" s="879"/>
      <c r="E725" s="879"/>
      <c r="F725" s="879"/>
      <c r="G725" s="879"/>
      <c r="H725" s="879"/>
      <c r="I725" s="879"/>
      <c r="J725" s="879"/>
      <c r="K725" s="879"/>
      <c r="L725" s="879"/>
      <c r="M725" s="879"/>
      <c r="N725" s="879"/>
      <c r="O725" s="879"/>
      <c r="P725" s="879"/>
      <c r="Q725" s="879"/>
      <c r="R725" s="879"/>
      <c r="S725" s="879"/>
      <c r="T725" s="879"/>
      <c r="U725" s="879"/>
      <c r="V725" s="879"/>
      <c r="W725" s="879"/>
    </row>
    <row r="726" spans="1:23" ht="12.75" customHeight="1">
      <c r="A726" s="879"/>
      <c r="B726" s="879"/>
      <c r="C726" s="879"/>
      <c r="D726" s="879"/>
      <c r="E726" s="879"/>
      <c r="F726" s="879"/>
      <c r="G726" s="879"/>
      <c r="H726" s="879"/>
      <c r="I726" s="879"/>
      <c r="J726" s="879"/>
      <c r="K726" s="879"/>
      <c r="L726" s="879"/>
      <c r="M726" s="879"/>
      <c r="N726" s="879"/>
      <c r="O726" s="879"/>
      <c r="P726" s="879"/>
      <c r="Q726" s="879"/>
      <c r="R726" s="879"/>
      <c r="S726" s="879"/>
      <c r="T726" s="879"/>
      <c r="U726" s="879"/>
      <c r="V726" s="879"/>
      <c r="W726" s="879"/>
    </row>
    <row r="727" spans="1:23" ht="12.75" customHeight="1">
      <c r="A727" s="879"/>
      <c r="B727" s="879"/>
      <c r="C727" s="879"/>
      <c r="D727" s="879"/>
      <c r="E727" s="879"/>
      <c r="F727" s="879"/>
      <c r="G727" s="879"/>
      <c r="H727" s="879"/>
      <c r="I727" s="879"/>
      <c r="J727" s="879"/>
      <c r="K727" s="879"/>
      <c r="L727" s="879"/>
      <c r="M727" s="879"/>
      <c r="N727" s="879"/>
      <c r="O727" s="879"/>
      <c r="P727" s="879"/>
      <c r="Q727" s="879"/>
      <c r="R727" s="879"/>
      <c r="S727" s="879"/>
      <c r="T727" s="879"/>
      <c r="U727" s="879"/>
      <c r="V727" s="879"/>
      <c r="W727" s="879"/>
    </row>
    <row r="728" spans="1:23" ht="12.75" customHeight="1">
      <c r="A728" s="879"/>
      <c r="B728" s="879"/>
      <c r="C728" s="879"/>
      <c r="D728" s="879"/>
      <c r="E728" s="879"/>
      <c r="F728" s="879"/>
      <c r="G728" s="879"/>
      <c r="H728" s="879"/>
      <c r="I728" s="879"/>
      <c r="J728" s="879"/>
      <c r="K728" s="879"/>
      <c r="L728" s="879"/>
      <c r="M728" s="879"/>
      <c r="N728" s="879"/>
      <c r="O728" s="879"/>
      <c r="P728" s="879"/>
      <c r="Q728" s="879"/>
      <c r="R728" s="879"/>
      <c r="S728" s="879"/>
      <c r="T728" s="879"/>
      <c r="U728" s="879"/>
      <c r="V728" s="879"/>
      <c r="W728" s="879"/>
    </row>
    <row r="729" spans="1:23" ht="12.75" customHeight="1">
      <c r="A729" s="879"/>
      <c r="B729" s="879"/>
      <c r="C729" s="879"/>
      <c r="D729" s="879"/>
      <c r="E729" s="879"/>
      <c r="F729" s="879"/>
      <c r="G729" s="879"/>
      <c r="H729" s="879"/>
      <c r="I729" s="879"/>
      <c r="J729" s="879"/>
      <c r="K729" s="879"/>
      <c r="L729" s="879"/>
      <c r="M729" s="879"/>
      <c r="N729" s="879"/>
      <c r="O729" s="879"/>
      <c r="P729" s="879"/>
      <c r="Q729" s="879"/>
      <c r="R729" s="879"/>
      <c r="S729" s="879"/>
      <c r="T729" s="879"/>
      <c r="U729" s="879"/>
      <c r="V729" s="879"/>
      <c r="W729" s="879"/>
    </row>
    <row r="730" spans="1:23" ht="12.75" customHeight="1">
      <c r="A730" s="879"/>
      <c r="B730" s="879"/>
      <c r="C730" s="879"/>
      <c r="D730" s="879"/>
      <c r="E730" s="879"/>
      <c r="F730" s="879"/>
      <c r="G730" s="879"/>
      <c r="H730" s="879"/>
      <c r="I730" s="879"/>
      <c r="J730" s="879"/>
      <c r="K730" s="879"/>
      <c r="L730" s="879"/>
      <c r="M730" s="879"/>
      <c r="N730" s="879"/>
      <c r="O730" s="879"/>
      <c r="P730" s="879"/>
      <c r="Q730" s="879"/>
      <c r="R730" s="879"/>
      <c r="S730" s="879"/>
      <c r="T730" s="879"/>
      <c r="U730" s="879"/>
      <c r="V730" s="879"/>
      <c r="W730" s="879"/>
    </row>
    <row r="731" spans="1:23" ht="12.75" customHeight="1">
      <c r="A731" s="879"/>
      <c r="B731" s="879"/>
      <c r="C731" s="879"/>
      <c r="D731" s="879"/>
      <c r="E731" s="879"/>
      <c r="F731" s="879"/>
      <c r="G731" s="879"/>
      <c r="H731" s="879"/>
      <c r="I731" s="879"/>
      <c r="J731" s="879"/>
      <c r="K731" s="879"/>
      <c r="L731" s="879"/>
      <c r="M731" s="879"/>
      <c r="N731" s="879"/>
      <c r="O731" s="879"/>
      <c r="P731" s="879"/>
      <c r="Q731" s="879"/>
      <c r="R731" s="879"/>
      <c r="S731" s="879"/>
      <c r="T731" s="879"/>
      <c r="U731" s="879"/>
      <c r="V731" s="879"/>
      <c r="W731" s="879"/>
    </row>
    <row r="732" spans="1:23" ht="12.75" customHeight="1">
      <c r="A732" s="879"/>
      <c r="B732" s="879"/>
      <c r="C732" s="879"/>
      <c r="D732" s="879"/>
      <c r="E732" s="879"/>
      <c r="F732" s="879"/>
      <c r="G732" s="879"/>
      <c r="H732" s="879"/>
      <c r="I732" s="879"/>
      <c r="J732" s="879"/>
      <c r="K732" s="879"/>
      <c r="L732" s="879"/>
      <c r="M732" s="879"/>
      <c r="N732" s="879"/>
      <c r="O732" s="879"/>
      <c r="P732" s="879"/>
      <c r="Q732" s="879"/>
      <c r="R732" s="879"/>
      <c r="S732" s="879"/>
      <c r="T732" s="879"/>
      <c r="U732" s="879"/>
      <c r="V732" s="879"/>
      <c r="W732" s="879"/>
    </row>
    <row r="733" spans="1:23" ht="12.75" customHeight="1">
      <c r="A733" s="879"/>
      <c r="B733" s="879"/>
      <c r="C733" s="879"/>
      <c r="D733" s="879"/>
      <c r="E733" s="879"/>
      <c r="F733" s="879"/>
      <c r="G733" s="879"/>
      <c r="H733" s="879"/>
      <c r="I733" s="879"/>
      <c r="J733" s="879"/>
      <c r="K733" s="879"/>
      <c r="L733" s="879"/>
      <c r="M733" s="879"/>
      <c r="N733" s="879"/>
      <c r="O733" s="879"/>
      <c r="P733" s="879"/>
      <c r="Q733" s="879"/>
      <c r="R733" s="879"/>
      <c r="S733" s="879"/>
      <c r="T733" s="879"/>
      <c r="U733" s="879"/>
      <c r="V733" s="879"/>
      <c r="W733" s="879"/>
    </row>
    <row r="734" spans="1:23" ht="12.75" customHeight="1">
      <c r="A734" s="879"/>
      <c r="B734" s="879"/>
      <c r="C734" s="879"/>
      <c r="D734" s="879"/>
      <c r="E734" s="879"/>
      <c r="F734" s="879"/>
      <c r="G734" s="879"/>
      <c r="H734" s="879"/>
      <c r="I734" s="879"/>
      <c r="J734" s="879"/>
      <c r="K734" s="879"/>
      <c r="L734" s="879"/>
      <c r="M734" s="879"/>
      <c r="N734" s="879"/>
      <c r="O734" s="879"/>
      <c r="P734" s="879"/>
      <c r="Q734" s="879"/>
      <c r="R734" s="879"/>
      <c r="S734" s="879"/>
      <c r="T734" s="879"/>
      <c r="U734" s="879"/>
      <c r="V734" s="879"/>
      <c r="W734" s="879"/>
    </row>
    <row r="735" spans="1:23" ht="12.75" customHeight="1">
      <c r="A735" s="879"/>
      <c r="B735" s="879"/>
      <c r="C735" s="879"/>
      <c r="D735" s="879"/>
      <c r="E735" s="879"/>
      <c r="F735" s="879"/>
      <c r="G735" s="879"/>
      <c r="H735" s="879"/>
      <c r="I735" s="879"/>
      <c r="J735" s="879"/>
      <c r="K735" s="879"/>
      <c r="L735" s="879"/>
      <c r="M735" s="879"/>
      <c r="N735" s="879"/>
      <c r="O735" s="879"/>
      <c r="P735" s="879"/>
      <c r="Q735" s="879"/>
      <c r="R735" s="879"/>
      <c r="S735" s="879"/>
      <c r="T735" s="879"/>
      <c r="U735" s="879"/>
      <c r="V735" s="879"/>
      <c r="W735" s="879"/>
    </row>
    <row r="736" spans="1:23" ht="12.75" customHeight="1">
      <c r="A736" s="879"/>
      <c r="B736" s="879"/>
      <c r="C736" s="879"/>
      <c r="D736" s="879"/>
      <c r="E736" s="879"/>
      <c r="F736" s="879"/>
      <c r="G736" s="879"/>
      <c r="H736" s="879"/>
      <c r="I736" s="879"/>
      <c r="J736" s="879"/>
      <c r="K736" s="879"/>
      <c r="L736" s="879"/>
      <c r="M736" s="879"/>
      <c r="N736" s="879"/>
      <c r="O736" s="879"/>
      <c r="P736" s="879"/>
      <c r="Q736" s="879"/>
      <c r="R736" s="879"/>
      <c r="S736" s="879"/>
      <c r="T736" s="879"/>
      <c r="U736" s="879"/>
      <c r="V736" s="879"/>
      <c r="W736" s="879"/>
    </row>
    <row r="737" spans="1:23" ht="12.75" customHeight="1">
      <c r="A737" s="879"/>
      <c r="B737" s="879"/>
      <c r="C737" s="879"/>
      <c r="D737" s="879"/>
      <c r="E737" s="879"/>
      <c r="F737" s="879"/>
      <c r="G737" s="879"/>
      <c r="H737" s="879"/>
      <c r="I737" s="879"/>
      <c r="J737" s="879"/>
      <c r="K737" s="879"/>
      <c r="L737" s="879"/>
      <c r="M737" s="879"/>
      <c r="N737" s="879"/>
      <c r="O737" s="879"/>
      <c r="P737" s="879"/>
      <c r="Q737" s="879"/>
      <c r="R737" s="879"/>
      <c r="S737" s="879"/>
      <c r="T737" s="879"/>
      <c r="U737" s="879"/>
      <c r="V737" s="879"/>
      <c r="W737" s="879"/>
    </row>
    <row r="738" spans="1:23" ht="12.75" customHeight="1">
      <c r="A738" s="879"/>
      <c r="B738" s="879"/>
      <c r="C738" s="879"/>
      <c r="D738" s="879"/>
      <c r="E738" s="879"/>
      <c r="F738" s="879"/>
      <c r="G738" s="879"/>
      <c r="H738" s="879"/>
      <c r="I738" s="879"/>
      <c r="J738" s="879"/>
      <c r="K738" s="879"/>
      <c r="L738" s="879"/>
      <c r="M738" s="879"/>
      <c r="N738" s="879"/>
      <c r="O738" s="879"/>
      <c r="P738" s="879"/>
      <c r="Q738" s="879"/>
      <c r="R738" s="879"/>
      <c r="S738" s="879"/>
      <c r="T738" s="879"/>
      <c r="U738" s="879"/>
      <c r="V738" s="879"/>
      <c r="W738" s="879"/>
    </row>
    <row r="739" spans="1:23" ht="12.75" customHeight="1">
      <c r="A739" s="879"/>
      <c r="B739" s="879"/>
      <c r="C739" s="879"/>
      <c r="D739" s="879"/>
      <c r="E739" s="879"/>
      <c r="F739" s="879"/>
      <c r="G739" s="879"/>
      <c r="H739" s="879"/>
      <c r="I739" s="879"/>
      <c r="J739" s="879"/>
      <c r="K739" s="879"/>
      <c r="L739" s="879"/>
      <c r="M739" s="879"/>
      <c r="N739" s="879"/>
      <c r="O739" s="879"/>
      <c r="P739" s="879"/>
      <c r="Q739" s="879"/>
      <c r="R739" s="879"/>
      <c r="S739" s="879"/>
      <c r="T739" s="879"/>
      <c r="U739" s="879"/>
      <c r="V739" s="879"/>
      <c r="W739" s="879"/>
    </row>
    <row r="740" spans="1:23" ht="12.75" customHeight="1">
      <c r="A740" s="879"/>
      <c r="B740" s="879"/>
      <c r="C740" s="879"/>
      <c r="D740" s="879"/>
      <c r="E740" s="879"/>
      <c r="F740" s="879"/>
      <c r="G740" s="879"/>
      <c r="H740" s="879"/>
      <c r="I740" s="879"/>
      <c r="J740" s="879"/>
      <c r="K740" s="879"/>
      <c r="L740" s="879"/>
      <c r="M740" s="879"/>
      <c r="N740" s="879"/>
      <c r="O740" s="879"/>
      <c r="P740" s="879"/>
      <c r="Q740" s="879"/>
      <c r="R740" s="879"/>
      <c r="S740" s="879"/>
      <c r="T740" s="879"/>
      <c r="U740" s="879"/>
      <c r="V740" s="879"/>
      <c r="W740" s="879"/>
    </row>
    <row r="741" spans="1:23" ht="12.75" customHeight="1">
      <c r="A741" s="879"/>
      <c r="B741" s="879"/>
      <c r="C741" s="879"/>
      <c r="D741" s="879"/>
      <c r="E741" s="879"/>
      <c r="F741" s="879"/>
      <c r="G741" s="879"/>
      <c r="H741" s="879"/>
      <c r="I741" s="879"/>
      <c r="J741" s="879"/>
      <c r="K741" s="879"/>
      <c r="L741" s="879"/>
      <c r="M741" s="879"/>
      <c r="N741" s="879"/>
      <c r="O741" s="879"/>
      <c r="P741" s="879"/>
      <c r="Q741" s="879"/>
      <c r="R741" s="879"/>
      <c r="S741" s="879"/>
      <c r="T741" s="879"/>
      <c r="U741" s="879"/>
      <c r="V741" s="879"/>
      <c r="W741" s="879"/>
    </row>
    <row r="742" spans="1:23" ht="12.75" customHeight="1">
      <c r="A742" s="879"/>
      <c r="B742" s="879"/>
      <c r="C742" s="879"/>
      <c r="D742" s="879"/>
      <c r="E742" s="879"/>
      <c r="F742" s="879"/>
      <c r="G742" s="879"/>
      <c r="H742" s="879"/>
      <c r="I742" s="879"/>
      <c r="J742" s="879"/>
      <c r="K742" s="879"/>
      <c r="L742" s="879"/>
      <c r="M742" s="879"/>
      <c r="N742" s="879"/>
      <c r="O742" s="879"/>
      <c r="P742" s="879"/>
      <c r="Q742" s="879"/>
      <c r="R742" s="879"/>
      <c r="S742" s="879"/>
      <c r="T742" s="879"/>
      <c r="U742" s="879"/>
      <c r="V742" s="879"/>
      <c r="W742" s="879"/>
    </row>
    <row r="743" spans="1:23" ht="12.75" customHeight="1">
      <c r="A743" s="879"/>
      <c r="B743" s="879"/>
      <c r="C743" s="879"/>
      <c r="D743" s="879"/>
      <c r="E743" s="879"/>
      <c r="F743" s="879"/>
      <c r="G743" s="879"/>
      <c r="H743" s="879"/>
      <c r="I743" s="879"/>
      <c r="J743" s="879"/>
      <c r="K743" s="879"/>
      <c r="L743" s="879"/>
      <c r="M743" s="879"/>
      <c r="N743" s="879"/>
      <c r="O743" s="879"/>
      <c r="P743" s="879"/>
      <c r="Q743" s="879"/>
      <c r="R743" s="879"/>
      <c r="S743" s="879"/>
      <c r="T743" s="879"/>
      <c r="U743" s="879"/>
      <c r="V743" s="879"/>
      <c r="W743" s="879"/>
    </row>
    <row r="744" spans="1:23" ht="12.75" customHeight="1">
      <c r="A744" s="879"/>
      <c r="B744" s="879"/>
      <c r="C744" s="879"/>
      <c r="D744" s="879"/>
      <c r="E744" s="879"/>
      <c r="F744" s="879"/>
      <c r="G744" s="879"/>
      <c r="H744" s="879"/>
      <c r="I744" s="879"/>
      <c r="J744" s="879"/>
      <c r="K744" s="879"/>
      <c r="L744" s="879"/>
      <c r="M744" s="879"/>
      <c r="N744" s="879"/>
      <c r="O744" s="879"/>
      <c r="P744" s="879"/>
      <c r="Q744" s="879"/>
      <c r="R744" s="879"/>
      <c r="S744" s="879"/>
      <c r="T744" s="879"/>
      <c r="U744" s="879"/>
      <c r="V744" s="879"/>
      <c r="W744" s="879"/>
    </row>
    <row r="745" spans="1:23" ht="12.75" customHeight="1">
      <c r="A745" s="879"/>
      <c r="B745" s="879"/>
      <c r="C745" s="879"/>
      <c r="D745" s="879"/>
      <c r="E745" s="879"/>
      <c r="F745" s="879"/>
      <c r="G745" s="879"/>
      <c r="H745" s="879"/>
      <c r="I745" s="879"/>
      <c r="J745" s="879"/>
      <c r="K745" s="879"/>
      <c r="L745" s="879"/>
      <c r="M745" s="879"/>
      <c r="N745" s="879"/>
      <c r="O745" s="879"/>
      <c r="P745" s="879"/>
      <c r="Q745" s="879"/>
      <c r="R745" s="879"/>
      <c r="S745" s="879"/>
      <c r="T745" s="879"/>
      <c r="U745" s="879"/>
      <c r="V745" s="879"/>
      <c r="W745" s="879"/>
    </row>
    <row r="746" spans="1:23" ht="12.75" customHeight="1">
      <c r="A746" s="879"/>
      <c r="B746" s="879"/>
      <c r="C746" s="879"/>
      <c r="D746" s="879"/>
      <c r="E746" s="879"/>
      <c r="F746" s="879"/>
      <c r="G746" s="879"/>
      <c r="H746" s="879"/>
      <c r="I746" s="879"/>
      <c r="J746" s="879"/>
      <c r="K746" s="879"/>
      <c r="L746" s="879"/>
      <c r="M746" s="879"/>
      <c r="N746" s="879"/>
      <c r="O746" s="879"/>
      <c r="P746" s="879"/>
      <c r="Q746" s="879"/>
      <c r="R746" s="879"/>
      <c r="S746" s="879"/>
      <c r="T746" s="879"/>
      <c r="U746" s="879"/>
      <c r="V746" s="879"/>
      <c r="W746" s="879"/>
    </row>
    <row r="747" spans="1:23" ht="12.75" customHeight="1">
      <c r="A747" s="879"/>
      <c r="B747" s="879"/>
      <c r="C747" s="879"/>
      <c r="D747" s="879"/>
      <c r="E747" s="879"/>
      <c r="F747" s="879"/>
      <c r="G747" s="879"/>
      <c r="H747" s="879"/>
      <c r="I747" s="879"/>
      <c r="J747" s="879"/>
      <c r="K747" s="879"/>
      <c r="L747" s="879"/>
      <c r="M747" s="879"/>
      <c r="N747" s="879"/>
      <c r="O747" s="879"/>
      <c r="P747" s="879"/>
      <c r="Q747" s="879"/>
      <c r="R747" s="879"/>
      <c r="S747" s="879"/>
      <c r="T747" s="879"/>
      <c r="U747" s="879"/>
      <c r="V747" s="879"/>
      <c r="W747" s="879"/>
    </row>
    <row r="748" spans="1:23" ht="12.75" customHeight="1">
      <c r="A748" s="879"/>
      <c r="B748" s="879"/>
      <c r="C748" s="879"/>
      <c r="D748" s="879"/>
      <c r="E748" s="879"/>
      <c r="F748" s="879"/>
      <c r="G748" s="879"/>
      <c r="H748" s="879"/>
      <c r="I748" s="879"/>
      <c r="J748" s="879"/>
      <c r="K748" s="879"/>
      <c r="L748" s="879"/>
      <c r="M748" s="879"/>
      <c r="N748" s="879"/>
      <c r="O748" s="879"/>
      <c r="P748" s="879"/>
      <c r="Q748" s="879"/>
      <c r="R748" s="879"/>
      <c r="S748" s="879"/>
      <c r="T748" s="879"/>
      <c r="U748" s="879"/>
      <c r="V748" s="879"/>
      <c r="W748" s="879"/>
    </row>
    <row r="749" spans="1:23" ht="12.75" customHeight="1">
      <c r="A749" s="879"/>
      <c r="B749" s="879"/>
      <c r="C749" s="879"/>
      <c r="D749" s="879"/>
      <c r="E749" s="879"/>
      <c r="F749" s="879"/>
      <c r="G749" s="879"/>
      <c r="H749" s="879"/>
      <c r="I749" s="879"/>
      <c r="J749" s="879"/>
      <c r="K749" s="879"/>
      <c r="L749" s="879"/>
      <c r="M749" s="879"/>
      <c r="N749" s="879"/>
      <c r="O749" s="879"/>
      <c r="P749" s="879"/>
      <c r="Q749" s="879"/>
      <c r="R749" s="879"/>
      <c r="S749" s="879"/>
      <c r="T749" s="879"/>
      <c r="U749" s="879"/>
      <c r="V749" s="879"/>
      <c r="W749" s="879"/>
    </row>
    <row r="750" spans="1:23" ht="12.75" customHeight="1">
      <c r="A750" s="879"/>
      <c r="B750" s="879"/>
      <c r="C750" s="879"/>
      <c r="D750" s="879"/>
      <c r="E750" s="879"/>
      <c r="F750" s="879"/>
      <c r="G750" s="879"/>
      <c r="H750" s="879"/>
      <c r="I750" s="879"/>
      <c r="J750" s="879"/>
      <c r="K750" s="879"/>
      <c r="L750" s="879"/>
      <c r="M750" s="879"/>
      <c r="N750" s="879"/>
      <c r="O750" s="879"/>
      <c r="P750" s="879"/>
      <c r="Q750" s="879"/>
      <c r="R750" s="879"/>
      <c r="S750" s="879"/>
      <c r="T750" s="879"/>
      <c r="U750" s="879"/>
      <c r="V750" s="879"/>
      <c r="W750" s="879"/>
    </row>
    <row r="751" spans="1:23" ht="12.75" customHeight="1">
      <c r="A751" s="879"/>
      <c r="B751" s="879"/>
      <c r="C751" s="879"/>
      <c r="D751" s="879"/>
      <c r="E751" s="879"/>
      <c r="F751" s="879"/>
      <c r="G751" s="879"/>
      <c r="H751" s="879"/>
      <c r="I751" s="879"/>
      <c r="J751" s="879"/>
      <c r="K751" s="879"/>
      <c r="L751" s="879"/>
      <c r="M751" s="879"/>
      <c r="N751" s="879"/>
      <c r="O751" s="879"/>
      <c r="P751" s="879"/>
      <c r="Q751" s="879"/>
      <c r="R751" s="879"/>
      <c r="S751" s="879"/>
      <c r="T751" s="879"/>
      <c r="U751" s="879"/>
      <c r="V751" s="879"/>
      <c r="W751" s="879"/>
    </row>
    <row r="752" spans="1:23" ht="12.75" customHeight="1">
      <c r="A752" s="879"/>
      <c r="B752" s="879"/>
      <c r="C752" s="879"/>
      <c r="D752" s="879"/>
      <c r="E752" s="879"/>
      <c r="F752" s="879"/>
      <c r="G752" s="879"/>
      <c r="H752" s="879"/>
      <c r="I752" s="879"/>
      <c r="J752" s="879"/>
      <c r="K752" s="879"/>
      <c r="L752" s="879"/>
      <c r="M752" s="879"/>
      <c r="N752" s="879"/>
      <c r="O752" s="879"/>
      <c r="P752" s="879"/>
      <c r="Q752" s="879"/>
      <c r="R752" s="879"/>
      <c r="S752" s="879"/>
      <c r="T752" s="879"/>
      <c r="U752" s="879"/>
      <c r="V752" s="879"/>
      <c r="W752" s="879"/>
    </row>
    <row r="753" spans="1:23" ht="12.75" customHeight="1">
      <c r="A753" s="879"/>
      <c r="B753" s="879"/>
      <c r="C753" s="879"/>
      <c r="D753" s="879"/>
      <c r="E753" s="879"/>
      <c r="F753" s="879"/>
      <c r="G753" s="879"/>
      <c r="H753" s="879"/>
      <c r="I753" s="879"/>
      <c r="J753" s="879"/>
      <c r="K753" s="879"/>
      <c r="L753" s="879"/>
      <c r="M753" s="879"/>
      <c r="N753" s="879"/>
      <c r="O753" s="879"/>
      <c r="P753" s="879"/>
      <c r="Q753" s="879"/>
      <c r="R753" s="879"/>
      <c r="S753" s="879"/>
      <c r="T753" s="879"/>
      <c r="U753" s="879"/>
      <c r="V753" s="879"/>
      <c r="W753" s="879"/>
    </row>
    <row r="754" spans="1:23" ht="12.75" customHeight="1">
      <c r="A754" s="879"/>
      <c r="B754" s="879"/>
      <c r="C754" s="879"/>
      <c r="D754" s="879"/>
      <c r="E754" s="879"/>
      <c r="F754" s="879"/>
      <c r="G754" s="879"/>
      <c r="H754" s="879"/>
      <c r="I754" s="879"/>
      <c r="J754" s="879"/>
      <c r="K754" s="879"/>
      <c r="L754" s="879"/>
      <c r="M754" s="879"/>
      <c r="N754" s="879"/>
      <c r="O754" s="879"/>
      <c r="P754" s="879"/>
      <c r="Q754" s="879"/>
      <c r="R754" s="879"/>
      <c r="S754" s="879"/>
      <c r="T754" s="879"/>
      <c r="U754" s="879"/>
      <c r="V754" s="879"/>
      <c r="W754" s="879"/>
    </row>
    <row r="755" spans="1:23" ht="12.75" customHeight="1">
      <c r="A755" s="879"/>
      <c r="B755" s="879"/>
      <c r="C755" s="879"/>
      <c r="D755" s="879"/>
      <c r="E755" s="879"/>
      <c r="F755" s="879"/>
      <c r="G755" s="879"/>
      <c r="H755" s="879"/>
      <c r="I755" s="879"/>
      <c r="J755" s="879"/>
      <c r="K755" s="879"/>
      <c r="L755" s="879"/>
      <c r="M755" s="879"/>
      <c r="N755" s="879"/>
      <c r="O755" s="879"/>
      <c r="P755" s="879"/>
      <c r="Q755" s="879"/>
      <c r="R755" s="879"/>
      <c r="S755" s="879"/>
      <c r="T755" s="879"/>
      <c r="U755" s="879"/>
      <c r="V755" s="879"/>
      <c r="W755" s="879"/>
    </row>
    <row r="756" spans="1:23" ht="12.75" customHeight="1">
      <c r="A756" s="879"/>
      <c r="B756" s="879"/>
      <c r="C756" s="879"/>
      <c r="D756" s="879"/>
      <c r="E756" s="879"/>
      <c r="F756" s="879"/>
      <c r="G756" s="879"/>
      <c r="H756" s="879"/>
      <c r="I756" s="879"/>
      <c r="J756" s="879"/>
      <c r="K756" s="879"/>
      <c r="L756" s="879"/>
      <c r="M756" s="879"/>
      <c r="N756" s="879"/>
      <c r="O756" s="879"/>
      <c r="P756" s="879"/>
      <c r="Q756" s="879"/>
      <c r="R756" s="879"/>
      <c r="S756" s="879"/>
      <c r="T756" s="879"/>
      <c r="U756" s="879"/>
      <c r="V756" s="879"/>
      <c r="W756" s="879"/>
    </row>
    <row r="757" spans="1:23" ht="12.75" customHeight="1">
      <c r="A757" s="879"/>
      <c r="B757" s="879"/>
      <c r="C757" s="879"/>
      <c r="D757" s="879"/>
      <c r="E757" s="879"/>
      <c r="F757" s="879"/>
      <c r="G757" s="879"/>
      <c r="H757" s="879"/>
      <c r="I757" s="879"/>
      <c r="J757" s="879"/>
      <c r="K757" s="879"/>
      <c r="L757" s="879"/>
      <c r="M757" s="879"/>
      <c r="N757" s="879"/>
      <c r="O757" s="879"/>
      <c r="P757" s="879"/>
      <c r="Q757" s="879"/>
      <c r="R757" s="879"/>
      <c r="S757" s="879"/>
      <c r="T757" s="879"/>
      <c r="U757" s="879"/>
      <c r="V757" s="879"/>
      <c r="W757" s="879"/>
    </row>
    <row r="758" spans="1:23" ht="12.75" customHeight="1">
      <c r="A758" s="879"/>
      <c r="B758" s="879"/>
      <c r="C758" s="879"/>
      <c r="D758" s="879"/>
      <c r="E758" s="879"/>
      <c r="F758" s="879"/>
      <c r="G758" s="879"/>
      <c r="H758" s="879"/>
      <c r="I758" s="879"/>
      <c r="J758" s="879"/>
      <c r="K758" s="879"/>
      <c r="L758" s="879"/>
      <c r="M758" s="879"/>
      <c r="N758" s="879"/>
      <c r="O758" s="879"/>
      <c r="P758" s="879"/>
      <c r="Q758" s="879"/>
      <c r="R758" s="879"/>
      <c r="S758" s="879"/>
      <c r="T758" s="879"/>
      <c r="U758" s="879"/>
      <c r="V758" s="879"/>
      <c r="W758" s="879"/>
    </row>
    <row r="759" spans="1:23" ht="12.75" customHeight="1">
      <c r="A759" s="879"/>
      <c r="B759" s="879"/>
      <c r="C759" s="879"/>
      <c r="D759" s="879"/>
      <c r="E759" s="879"/>
      <c r="F759" s="879"/>
      <c r="G759" s="879"/>
      <c r="H759" s="879"/>
      <c r="I759" s="879"/>
      <c r="J759" s="879"/>
      <c r="K759" s="879"/>
      <c r="L759" s="879"/>
      <c r="M759" s="879"/>
      <c r="N759" s="879"/>
      <c r="O759" s="879"/>
      <c r="P759" s="879"/>
      <c r="Q759" s="879"/>
      <c r="R759" s="879"/>
      <c r="S759" s="879"/>
      <c r="T759" s="879"/>
      <c r="U759" s="879"/>
      <c r="V759" s="879"/>
      <c r="W759" s="879"/>
    </row>
    <row r="760" spans="1:23" ht="12.75" customHeight="1">
      <c r="A760" s="879"/>
      <c r="B760" s="879"/>
      <c r="C760" s="879"/>
      <c r="D760" s="879"/>
      <c r="E760" s="879"/>
      <c r="F760" s="879"/>
      <c r="G760" s="879"/>
      <c r="H760" s="879"/>
      <c r="I760" s="879"/>
      <c r="J760" s="879"/>
      <c r="K760" s="879"/>
      <c r="L760" s="879"/>
      <c r="M760" s="879"/>
      <c r="N760" s="879"/>
      <c r="O760" s="879"/>
      <c r="P760" s="879"/>
      <c r="Q760" s="879"/>
      <c r="R760" s="879"/>
      <c r="S760" s="879"/>
      <c r="T760" s="879"/>
      <c r="U760" s="879"/>
      <c r="V760" s="879"/>
      <c r="W760" s="879"/>
    </row>
    <row r="761" spans="1:23" ht="12.75" customHeight="1">
      <c r="A761" s="879"/>
      <c r="B761" s="879"/>
      <c r="C761" s="879"/>
      <c r="D761" s="879"/>
      <c r="E761" s="879"/>
      <c r="F761" s="879"/>
      <c r="G761" s="879"/>
      <c r="H761" s="879"/>
      <c r="I761" s="879"/>
      <c r="J761" s="879"/>
      <c r="K761" s="879"/>
      <c r="L761" s="879"/>
      <c r="M761" s="879"/>
      <c r="N761" s="879"/>
      <c r="O761" s="879"/>
      <c r="P761" s="879"/>
      <c r="Q761" s="879"/>
      <c r="R761" s="879"/>
      <c r="S761" s="879"/>
      <c r="T761" s="879"/>
      <c r="U761" s="879"/>
      <c r="V761" s="879"/>
      <c r="W761" s="879"/>
    </row>
    <row r="762" spans="1:23" ht="12.75" customHeight="1">
      <c r="A762" s="879"/>
      <c r="B762" s="879"/>
      <c r="C762" s="879"/>
      <c r="D762" s="879"/>
      <c r="E762" s="879"/>
      <c r="F762" s="879"/>
      <c r="G762" s="879"/>
      <c r="H762" s="879"/>
      <c r="I762" s="879"/>
      <c r="J762" s="879"/>
      <c r="K762" s="879"/>
      <c r="L762" s="879"/>
      <c r="M762" s="879"/>
      <c r="N762" s="879"/>
      <c r="O762" s="879"/>
      <c r="P762" s="879"/>
      <c r="Q762" s="879"/>
      <c r="R762" s="879"/>
      <c r="S762" s="879"/>
      <c r="T762" s="879"/>
      <c r="U762" s="879"/>
      <c r="V762" s="879"/>
      <c r="W762" s="879"/>
    </row>
    <row r="763" spans="1:23" ht="12.75" customHeight="1">
      <c r="A763" s="879"/>
      <c r="B763" s="879"/>
      <c r="C763" s="879"/>
      <c r="D763" s="879"/>
      <c r="E763" s="879"/>
      <c r="F763" s="879"/>
      <c r="G763" s="879"/>
      <c r="H763" s="879"/>
      <c r="I763" s="879"/>
      <c r="J763" s="879"/>
      <c r="K763" s="879"/>
      <c r="L763" s="879"/>
      <c r="M763" s="879"/>
      <c r="N763" s="879"/>
      <c r="O763" s="879"/>
      <c r="P763" s="879"/>
      <c r="Q763" s="879"/>
      <c r="R763" s="879"/>
      <c r="S763" s="879"/>
      <c r="T763" s="879"/>
      <c r="U763" s="879"/>
      <c r="V763" s="879"/>
      <c r="W763" s="879"/>
    </row>
    <row r="764" spans="1:23" ht="12.75" customHeight="1">
      <c r="A764" s="879"/>
      <c r="B764" s="879"/>
      <c r="C764" s="879"/>
      <c r="D764" s="879"/>
      <c r="E764" s="879"/>
      <c r="F764" s="879"/>
      <c r="G764" s="879"/>
      <c r="H764" s="879"/>
      <c r="I764" s="879"/>
      <c r="J764" s="879"/>
      <c r="K764" s="879"/>
      <c r="L764" s="879"/>
      <c r="M764" s="879"/>
      <c r="N764" s="879"/>
      <c r="O764" s="879"/>
      <c r="P764" s="879"/>
      <c r="Q764" s="879"/>
      <c r="R764" s="879"/>
      <c r="S764" s="879"/>
      <c r="T764" s="879"/>
      <c r="U764" s="879"/>
      <c r="V764" s="879"/>
      <c r="W764" s="879"/>
    </row>
    <row r="765" spans="1:23" ht="12.75" customHeight="1">
      <c r="A765" s="879"/>
      <c r="B765" s="879"/>
      <c r="C765" s="879"/>
      <c r="D765" s="879"/>
      <c r="E765" s="879"/>
      <c r="F765" s="879"/>
      <c r="G765" s="879"/>
      <c r="H765" s="879"/>
      <c r="I765" s="879"/>
      <c r="J765" s="879"/>
      <c r="K765" s="879"/>
      <c r="L765" s="879"/>
      <c r="M765" s="879"/>
      <c r="N765" s="879"/>
      <c r="O765" s="879"/>
      <c r="P765" s="879"/>
      <c r="Q765" s="879"/>
      <c r="R765" s="879"/>
      <c r="S765" s="879"/>
      <c r="T765" s="879"/>
      <c r="U765" s="879"/>
      <c r="V765" s="879"/>
      <c r="W765" s="879"/>
    </row>
    <row r="766" spans="1:23" ht="12.75" customHeight="1">
      <c r="A766" s="879"/>
      <c r="B766" s="879"/>
      <c r="C766" s="879"/>
      <c r="D766" s="879"/>
      <c r="E766" s="879"/>
      <c r="F766" s="879"/>
      <c r="G766" s="879"/>
      <c r="H766" s="879"/>
      <c r="I766" s="879"/>
      <c r="J766" s="879"/>
      <c r="K766" s="879"/>
      <c r="L766" s="879"/>
      <c r="M766" s="879"/>
      <c r="N766" s="879"/>
      <c r="O766" s="879"/>
      <c r="P766" s="879"/>
      <c r="Q766" s="879"/>
      <c r="R766" s="879"/>
      <c r="S766" s="879"/>
      <c r="T766" s="879"/>
      <c r="U766" s="879"/>
      <c r="V766" s="879"/>
      <c r="W766" s="879"/>
    </row>
  </sheetData>
  <sheetProtection algorithmName="SHA-512" hashValue="l5Wje8gRhWwYPXUD9WtHw9iMJoEZfTfcP9Rk943lJk6B5MF8es2IK6VA2W4thTpbAXb6Q+JQAhkKpjDUuSYE8Q==" saltValue="/qRRptkf3fakBqwkgmgAYw==" spinCount="100000" sheet="1" objects="1" scenarios="1"/>
  <mergeCells count="24">
    <mergeCell ref="E46:F46"/>
    <mergeCell ref="E47:F47"/>
    <mergeCell ref="D15:D16"/>
    <mergeCell ref="F56:H56"/>
    <mergeCell ref="F57:H57"/>
    <mergeCell ref="E50:F50"/>
    <mergeCell ref="E51:F51"/>
    <mergeCell ref="E48:F48"/>
    <mergeCell ref="E49:F49"/>
    <mergeCell ref="A39:C39"/>
    <mergeCell ref="C41:C42"/>
    <mergeCell ref="D41:D42"/>
    <mergeCell ref="E41:E42"/>
    <mergeCell ref="F2:H2"/>
    <mergeCell ref="F3:H3"/>
    <mergeCell ref="F4:H4"/>
    <mergeCell ref="F5:H5"/>
    <mergeCell ref="F6:H6"/>
    <mergeCell ref="A14:A16"/>
    <mergeCell ref="B14:D14"/>
    <mergeCell ref="E14:E15"/>
    <mergeCell ref="G14:G16"/>
    <mergeCell ref="F41:F42"/>
    <mergeCell ref="G41:G42"/>
  </mergeCells>
  <conditionalFormatting sqref="F13 G11:H12">
    <cfRule type="expression" dxfId="0" priority="1">
      <formula>#REF!=1</formula>
    </cfRule>
  </conditionalFormatting>
  <pageMargins left="0.7" right="0.7" top="0.75" bottom="0.75" header="0.3" footer="0.3"/>
  <pageSetup paperSize="9" scale="87" orientation="portrait" r:id="rId1"/>
  <rowBreaks count="5" manualBreakCount="5">
    <brk id="81" max="11" man="1"/>
    <brk id="104" max="11" man="1"/>
    <brk id="125" max="11" man="1"/>
    <brk id="142" max="11" man="1"/>
    <brk id="173" max="11" man="1"/>
  </rowBreaks>
  <ignoredErrors>
    <ignoredError sqref="C18:C31 D18:D29" unlocked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23891-D49B-4EDF-86C5-0E66F42DEBB1}">
  <sheetPr codeName="Feuil9"/>
  <dimension ref="A1:AH95"/>
  <sheetViews>
    <sheetView showGridLines="0" showRowColHeaders="0" zoomScale="99" zoomScaleNormal="99" zoomScaleSheetLayoutView="96" workbookViewId="0">
      <selection activeCell="AB20" sqref="AB20"/>
    </sheetView>
  </sheetViews>
  <sheetFormatPr baseColWidth="10" defaultColWidth="11.453125" defaultRowHeight="14.5"/>
  <cols>
    <col min="1" max="4" width="4" customWidth="1"/>
    <col min="5" max="5" width="4.26953125" customWidth="1"/>
    <col min="6" max="6" width="6.1796875" customWidth="1"/>
    <col min="7" max="8" width="5.54296875" customWidth="1"/>
    <col min="9" max="9" width="5.453125" customWidth="1"/>
    <col min="10" max="10" width="3" customWidth="1"/>
    <col min="11" max="11" width="6.1796875" customWidth="1"/>
    <col min="12" max="12" width="5.453125" customWidth="1"/>
    <col min="13" max="14" width="5.81640625" customWidth="1"/>
    <col min="15" max="16" width="5.26953125" customWidth="1"/>
    <col min="17" max="17" width="3.7265625" customWidth="1"/>
    <col min="18" max="19" width="5.54296875" customWidth="1"/>
    <col min="20" max="21" width="5.81640625" customWidth="1"/>
    <col min="22" max="22" width="4.81640625" customWidth="1"/>
    <col min="23" max="23" width="4.54296875" customWidth="1"/>
    <col min="24" max="24" width="4" customWidth="1"/>
    <col min="25" max="26" width="4.7265625" customWidth="1"/>
  </cols>
  <sheetData>
    <row r="1" spans="1:34" ht="9" customHeight="1">
      <c r="Z1" s="169"/>
    </row>
    <row r="2" spans="1:34" ht="14.15" customHeight="1">
      <c r="R2" s="1"/>
      <c r="S2" s="1"/>
      <c r="T2" s="2"/>
      <c r="U2" s="3"/>
      <c r="V2" s="1966"/>
      <c r="W2" s="1966"/>
      <c r="X2" s="1966"/>
      <c r="Z2" s="4"/>
      <c r="AA2" s="4"/>
    </row>
    <row r="3" spans="1:34" ht="14.15" customHeight="1" thickBot="1"/>
    <row r="4" spans="1:34" ht="14.15" customHeight="1">
      <c r="N4" s="1967" t="s">
        <v>208</v>
      </c>
      <c r="O4" s="1968"/>
      <c r="P4" s="1968"/>
      <c r="Q4" s="1968"/>
      <c r="R4" s="1969" t="str">
        <f>IF(Data!F6="","",Data!F6)</f>
        <v>BBC BALBOA</v>
      </c>
      <c r="S4" s="1969"/>
      <c r="T4" s="1969"/>
      <c r="U4" s="1969"/>
      <c r="V4" s="1969"/>
      <c r="W4" s="1969"/>
      <c r="X4" s="1970"/>
      <c r="Z4" s="5"/>
      <c r="AA4" s="5"/>
      <c r="AB4" s="5"/>
    </row>
    <row r="5" spans="1:34" ht="14.15" customHeight="1">
      <c r="N5" s="1971" t="s">
        <v>37</v>
      </c>
      <c r="O5" s="1972"/>
      <c r="P5" s="1972"/>
      <c r="Q5" s="1972"/>
      <c r="R5" s="1973" t="str">
        <f>IF(Data!F8="","",Data!F8)</f>
        <v>SHREDDED TYRES</v>
      </c>
      <c r="S5" s="1973"/>
      <c r="T5" s="1974"/>
      <c r="U5" s="1974"/>
      <c r="V5" s="1973"/>
      <c r="W5" s="1973"/>
      <c r="X5" s="1975"/>
    </row>
    <row r="6" spans="1:34" ht="14.15" customHeight="1">
      <c r="N6" s="1971" t="s">
        <v>120</v>
      </c>
      <c r="O6" s="1972"/>
      <c r="P6" s="1972"/>
      <c r="Q6" s="1972"/>
      <c r="R6" s="1976">
        <f>IF(Data!F16="","",Data!F16)</f>
        <v>6315.79</v>
      </c>
      <c r="S6" s="1977"/>
      <c r="T6" s="1978" t="str">
        <f>IF(R6="","","MT  Dated")</f>
        <v>MT  Dated</v>
      </c>
      <c r="U6" s="1978"/>
      <c r="V6" s="1979">
        <f>IF(Data!F18="","",Data!F18)</f>
        <v>44709</v>
      </c>
      <c r="W6" s="1979"/>
      <c r="X6" s="1980"/>
    </row>
    <row r="7" spans="1:34" ht="15" customHeight="1">
      <c r="N7" s="1971" t="s">
        <v>40</v>
      </c>
      <c r="O7" s="1972"/>
      <c r="P7" s="1972"/>
      <c r="Q7" s="1972"/>
      <c r="R7" s="1973" t="str">
        <f>IF(Data!F12="","",Data!F12)</f>
        <v>SKJERKOYA  NORWAY</v>
      </c>
      <c r="S7" s="1973"/>
      <c r="T7" s="1981"/>
      <c r="U7" s="1981"/>
      <c r="V7" s="1973"/>
      <c r="W7" s="1973"/>
      <c r="X7" s="1975"/>
    </row>
    <row r="8" spans="1:34" ht="14.15" customHeight="1" thickBot="1">
      <c r="N8" s="1982" t="s">
        <v>209</v>
      </c>
      <c r="O8" s="1983"/>
      <c r="P8" s="1983"/>
      <c r="Q8" s="1983"/>
      <c r="R8" s="1984" t="str">
        <f>IF(Data!F14="","",Data!F14)</f>
        <v>CASABLANCA</v>
      </c>
      <c r="S8" s="1984"/>
      <c r="T8" s="1984"/>
      <c r="U8" s="1984"/>
      <c r="V8" s="1984"/>
      <c r="W8" s="1984"/>
      <c r="X8" s="1985"/>
    </row>
    <row r="9" spans="1:34" ht="12.75" customHeight="1">
      <c r="E9" s="6"/>
    </row>
    <row r="10" spans="1:34" ht="21" customHeight="1">
      <c r="F10" s="1986" t="s">
        <v>121</v>
      </c>
      <c r="G10" s="1986"/>
      <c r="H10" s="1986"/>
      <c r="I10" s="1986"/>
      <c r="J10" s="1986"/>
      <c r="K10" s="1986"/>
      <c r="L10" s="1986"/>
      <c r="M10" s="1986"/>
      <c r="N10" s="1986"/>
      <c r="O10" s="1986"/>
      <c r="P10" s="1986"/>
      <c r="Q10" s="1986"/>
      <c r="R10" s="1986"/>
      <c r="S10" s="1986"/>
      <c r="X10" s="7"/>
    </row>
    <row r="11" spans="1:34" ht="17.25" customHeight="1" thickBot="1"/>
    <row r="12" spans="1:34" s="1" customFormat="1" ht="16.5" customHeight="1">
      <c r="A12" s="445" t="s">
        <v>30</v>
      </c>
      <c r="B12" s="25"/>
      <c r="C12" s="25"/>
      <c r="D12" s="25"/>
      <c r="E12" s="26" t="s">
        <v>122</v>
      </c>
      <c r="F12" s="29" t="str">
        <f>IF(Data!F2="","",Data!F2)</f>
        <v>ANTIGUA &amp; BARBUDA</v>
      </c>
      <c r="G12" s="29"/>
      <c r="H12" s="29"/>
      <c r="I12" s="29"/>
      <c r="J12" s="446"/>
      <c r="K12" s="25" t="s">
        <v>123</v>
      </c>
      <c r="L12" s="25"/>
      <c r="M12" s="26" t="s">
        <v>122</v>
      </c>
      <c r="N12" s="1987">
        <f>IF(Data!S20="","",Data!S20)</f>
        <v>89.99</v>
      </c>
      <c r="O12" s="1987"/>
      <c r="P12" s="29"/>
      <c r="Q12" s="446"/>
      <c r="R12" s="25" t="s">
        <v>47</v>
      </c>
      <c r="S12" s="25"/>
      <c r="T12" s="25"/>
      <c r="U12" s="26" t="s">
        <v>122</v>
      </c>
      <c r="V12" s="1962">
        <f>IF(Data!T26="","",Data!T26)</f>
        <v>1</v>
      </c>
      <c r="W12" s="1962"/>
      <c r="X12" s="1963"/>
    </row>
    <row r="13" spans="1:34" s="1" customFormat="1" ht="16.5" customHeight="1">
      <c r="A13" s="65" t="s">
        <v>33</v>
      </c>
      <c r="B13" s="12"/>
      <c r="C13" s="12"/>
      <c r="D13" s="12"/>
      <c r="E13" s="13" t="s">
        <v>122</v>
      </c>
      <c r="F13" s="14" t="str">
        <f>IF(Data!F4="","",Data!F4)</f>
        <v>ST. JOHN'S</v>
      </c>
      <c r="G13" s="14"/>
      <c r="H13" s="14"/>
      <c r="I13" s="14"/>
      <c r="J13" s="161"/>
      <c r="K13" s="12" t="s">
        <v>124</v>
      </c>
      <c r="L13" s="12"/>
      <c r="M13" s="13" t="s">
        <v>122</v>
      </c>
      <c r="N13" s="1988">
        <f>IF(Data!S22="","",Data!S22)</f>
        <v>99</v>
      </c>
      <c r="O13" s="1988"/>
      <c r="P13" s="14"/>
      <c r="Q13" s="161"/>
      <c r="R13" s="12" t="s">
        <v>213</v>
      </c>
      <c r="S13" s="12"/>
      <c r="T13" s="12"/>
      <c r="U13" s="12"/>
      <c r="V13" s="1964">
        <f>IF(Data!T28="","",Data!T28)</f>
        <v>23</v>
      </c>
      <c r="W13" s="1964"/>
      <c r="X13" s="1965"/>
      <c r="AC13" s="161"/>
      <c r="AD13" s="161"/>
      <c r="AE13" s="161"/>
      <c r="AF13" s="161"/>
      <c r="AG13" s="161"/>
      <c r="AH13" s="161"/>
    </row>
    <row r="14" spans="1:34" s="1" customFormat="1" ht="16.5" customHeight="1">
      <c r="A14" s="65" t="s">
        <v>125</v>
      </c>
      <c r="B14" s="12"/>
      <c r="C14" s="12"/>
      <c r="D14" s="12"/>
      <c r="E14" s="13" t="s">
        <v>122</v>
      </c>
      <c r="F14" s="1996">
        <f>IF(Data!G20="","",Data!G20)</f>
        <v>6310</v>
      </c>
      <c r="G14" s="1996"/>
      <c r="H14" s="1996"/>
      <c r="I14" s="14"/>
      <c r="J14" s="447"/>
      <c r="K14" s="12" t="s">
        <v>126</v>
      </c>
      <c r="L14" s="12"/>
      <c r="M14" s="13" t="s">
        <v>122</v>
      </c>
      <c r="N14" s="1988">
        <f>IF(Data!S24="","",Data!S24)</f>
        <v>16.5</v>
      </c>
      <c r="O14" s="1988"/>
      <c r="P14" s="14"/>
      <c r="Q14" s="161"/>
      <c r="R14" s="12" t="s">
        <v>127</v>
      </c>
      <c r="S14" s="12"/>
      <c r="T14" s="12"/>
      <c r="U14" s="16" t="s">
        <v>214</v>
      </c>
      <c r="V14" s="1988">
        <f>IF(Data!G24="","",Data!G24)</f>
        <v>7</v>
      </c>
      <c r="W14" s="1988"/>
      <c r="X14" s="1997"/>
      <c r="AC14" s="2012"/>
      <c r="AD14" s="2012"/>
      <c r="AE14" s="2012"/>
      <c r="AF14" s="2012"/>
      <c r="AG14" s="2012"/>
      <c r="AH14" s="2012"/>
    </row>
    <row r="15" spans="1:34" s="1" customFormat="1" ht="16.5" customHeight="1">
      <c r="A15" s="65" t="s">
        <v>128</v>
      </c>
      <c r="B15" s="12"/>
      <c r="C15" s="12"/>
      <c r="D15" s="12"/>
      <c r="E15" s="13" t="s">
        <v>122</v>
      </c>
      <c r="F15" s="1996">
        <f>IF(Data!G22="","",Data!G22)</f>
        <v>2841</v>
      </c>
      <c r="G15" s="1996"/>
      <c r="H15" s="1996"/>
      <c r="I15" s="14"/>
      <c r="J15" s="447"/>
      <c r="K15" s="12" t="s">
        <v>27</v>
      </c>
      <c r="L15" s="12"/>
      <c r="M15" s="13" t="s">
        <v>122</v>
      </c>
      <c r="N15" s="1998">
        <f>IF(Data!G30="","",Data!G30)</f>
        <v>3253.8</v>
      </c>
      <c r="O15" s="1998"/>
      <c r="P15" s="14"/>
      <c r="Q15" s="161"/>
      <c r="R15" s="12" t="s">
        <v>215</v>
      </c>
      <c r="S15" s="12"/>
      <c r="T15" s="12"/>
      <c r="U15" s="12"/>
      <c r="V15" s="1988">
        <f>IF(Data!G28="","",Data!G28)</f>
        <v>8097.4</v>
      </c>
      <c r="W15" s="1988"/>
      <c r="X15" s="1997"/>
      <c r="AC15" s="2012"/>
      <c r="AD15" s="2013"/>
      <c r="AE15" s="2013"/>
      <c r="AF15" s="2013"/>
      <c r="AG15" s="2013"/>
      <c r="AH15" s="2013"/>
    </row>
    <row r="16" spans="1:34" ht="5.25" customHeight="1" thickBot="1">
      <c r="A16" s="448"/>
      <c r="B16" s="449"/>
      <c r="C16" s="449"/>
      <c r="D16" s="449"/>
      <c r="E16" s="449"/>
      <c r="F16" s="449"/>
      <c r="G16" s="449"/>
      <c r="H16" s="449"/>
      <c r="I16" s="449"/>
      <c r="J16" s="449"/>
      <c r="K16" s="449"/>
      <c r="L16" s="449"/>
      <c r="M16" s="449"/>
      <c r="N16" s="449"/>
      <c r="O16" s="449"/>
      <c r="P16" s="449"/>
      <c r="Q16" s="449"/>
      <c r="R16" s="449"/>
      <c r="S16" s="449"/>
      <c r="T16" s="450"/>
      <c r="U16" s="450"/>
      <c r="V16" s="449"/>
      <c r="W16" s="449"/>
      <c r="X16" s="451"/>
      <c r="AC16" s="2014"/>
      <c r="AD16" s="2013"/>
      <c r="AE16" s="2013"/>
      <c r="AF16" s="2013"/>
      <c r="AG16" s="2013"/>
      <c r="AH16" s="2013"/>
    </row>
    <row r="17" spans="1:34" ht="5.25" customHeight="1">
      <c r="A17" s="452"/>
      <c r="B17" s="446"/>
      <c r="C17" s="446"/>
      <c r="D17" s="446"/>
      <c r="E17" s="446"/>
      <c r="F17" s="446"/>
      <c r="G17" s="446"/>
      <c r="H17" s="446"/>
      <c r="I17" s="446"/>
      <c r="J17" s="446"/>
      <c r="K17" s="446"/>
      <c r="L17" s="446"/>
      <c r="M17" s="446"/>
      <c r="N17" s="446"/>
      <c r="O17" s="446"/>
      <c r="P17" s="446"/>
      <c r="Q17" s="446"/>
      <c r="R17" s="446"/>
      <c r="S17" s="446"/>
      <c r="T17" s="453"/>
      <c r="U17" s="453"/>
      <c r="V17" s="446"/>
      <c r="W17" s="446"/>
      <c r="X17" s="454"/>
      <c r="AC17" s="2014"/>
      <c r="AD17" s="2013"/>
      <c r="AE17" s="2013"/>
      <c r="AF17" s="2013"/>
      <c r="AG17" s="2013"/>
      <c r="AH17" s="2013"/>
    </row>
    <row r="18" spans="1:34" s="1" customFormat="1" ht="16.5" customHeight="1">
      <c r="A18" s="1990" t="s">
        <v>31</v>
      </c>
      <c r="B18" s="1991"/>
      <c r="C18" s="1991"/>
      <c r="D18" s="1991"/>
      <c r="E18" s="1991"/>
      <c r="F18" s="1991"/>
      <c r="G18" s="1992">
        <f>IF(Data!S2="","",Data!S2)</f>
        <v>1</v>
      </c>
      <c r="H18" s="1992"/>
      <c r="I18" s="17" t="s">
        <v>32</v>
      </c>
      <c r="J18" s="1993">
        <f>Data!W2</f>
        <v>0</v>
      </c>
      <c r="K18" s="1993"/>
      <c r="L18" s="161"/>
      <c r="M18" s="161"/>
      <c r="N18" s="1994" t="s">
        <v>36</v>
      </c>
      <c r="O18" s="1994"/>
      <c r="P18" s="1994"/>
      <c r="Q18" s="1994"/>
      <c r="R18" s="1994"/>
      <c r="S18" s="1994"/>
      <c r="T18" s="1992">
        <f>Data!S6</f>
        <v>1</v>
      </c>
      <c r="U18" s="1992"/>
      <c r="V18" s="17" t="s">
        <v>32</v>
      </c>
      <c r="W18" s="1993">
        <f>Data!W6</f>
        <v>0</v>
      </c>
      <c r="X18" s="1995"/>
      <c r="Y18" s="161"/>
      <c r="AC18" s="161"/>
      <c r="AD18" s="161"/>
      <c r="AE18" s="161"/>
      <c r="AF18" s="161"/>
      <c r="AG18" s="161"/>
      <c r="AH18" s="161"/>
    </row>
    <row r="19" spans="1:34" s="1" customFormat="1" ht="16.5" customHeight="1">
      <c r="A19" s="2005" t="s">
        <v>34</v>
      </c>
      <c r="B19" s="2006"/>
      <c r="C19" s="2006"/>
      <c r="D19" s="2006"/>
      <c r="E19" s="2006"/>
      <c r="F19" s="2006"/>
      <c r="G19" s="2003">
        <f>IF(Data!S4="","",Data!S4)</f>
        <v>1</v>
      </c>
      <c r="H19" s="2003"/>
      <c r="I19" s="18" t="s">
        <v>32</v>
      </c>
      <c r="J19" s="2007">
        <f>Data!W4</f>
        <v>0</v>
      </c>
      <c r="K19" s="2007"/>
      <c r="L19" s="161"/>
      <c r="M19" s="161"/>
      <c r="N19" s="2008" t="s">
        <v>38</v>
      </c>
      <c r="O19" s="2006"/>
      <c r="P19" s="2006"/>
      <c r="Q19" s="2006"/>
      <c r="R19" s="2006"/>
      <c r="S19" s="2006"/>
      <c r="T19" s="2003">
        <f>Data!S8</f>
        <v>1</v>
      </c>
      <c r="U19" s="2003"/>
      <c r="V19" s="18" t="s">
        <v>32</v>
      </c>
      <c r="W19" s="2004">
        <f>Data!W8</f>
        <v>0</v>
      </c>
      <c r="X19" s="2009"/>
      <c r="Y19" s="161"/>
    </row>
    <row r="20" spans="1:34" s="1" customFormat="1" ht="16.5" customHeight="1">
      <c r="A20" s="2001" t="s">
        <v>210</v>
      </c>
      <c r="B20" s="2002"/>
      <c r="C20" s="2002"/>
      <c r="D20" s="2002"/>
      <c r="E20" s="2002"/>
      <c r="F20" s="2002"/>
      <c r="G20" s="2003">
        <f>IF(Data!S10="","",Data!S10)</f>
        <v>1</v>
      </c>
      <c r="H20" s="2003"/>
      <c r="I20" s="18" t="s">
        <v>32</v>
      </c>
      <c r="J20" s="2004" t="str">
        <f>Data!W10</f>
        <v/>
      </c>
      <c r="K20" s="2004"/>
      <c r="L20" s="161"/>
      <c r="M20" s="161"/>
      <c r="N20" s="1994" t="s">
        <v>42</v>
      </c>
      <c r="O20" s="1994"/>
      <c r="P20" s="1994"/>
      <c r="Q20" s="1994"/>
      <c r="R20" s="1994"/>
      <c r="S20" s="1994"/>
      <c r="T20" s="2003">
        <f>Data!S14</f>
        <v>1</v>
      </c>
      <c r="U20" s="2003"/>
      <c r="V20" s="18" t="s">
        <v>32</v>
      </c>
      <c r="W20" s="1999" t="str">
        <f>Data!W14</f>
        <v/>
      </c>
      <c r="X20" s="2000"/>
    </row>
    <row r="21" spans="1:34" s="1" customFormat="1" ht="16.5" customHeight="1">
      <c r="A21" s="2010" t="s">
        <v>641</v>
      </c>
      <c r="B21" s="2011"/>
      <c r="C21" s="2011"/>
      <c r="D21" s="2011"/>
      <c r="E21" s="2011"/>
      <c r="F21" s="2011"/>
      <c r="G21" s="2003">
        <f>Data!S10</f>
        <v>1</v>
      </c>
      <c r="H21" s="2003"/>
      <c r="I21" s="18" t="s">
        <v>32</v>
      </c>
      <c r="J21" s="1999" t="str">
        <f>Data!W10</f>
        <v/>
      </c>
      <c r="K21" s="1999"/>
      <c r="L21" s="161"/>
      <c r="M21" s="161"/>
      <c r="N21" s="2002" t="s">
        <v>45</v>
      </c>
      <c r="O21" s="2002"/>
      <c r="P21" s="2002"/>
      <c r="Q21" s="2002"/>
      <c r="R21" s="2002"/>
      <c r="S21" s="160"/>
      <c r="T21" s="2003">
        <f>Data!S16</f>
        <v>1</v>
      </c>
      <c r="U21" s="2003"/>
      <c r="V21" s="18" t="s">
        <v>32</v>
      </c>
      <c r="W21" s="1999" t="str">
        <f>Data!W16</f>
        <v>1</v>
      </c>
      <c r="X21" s="2000"/>
    </row>
    <row r="22" spans="1:34" ht="6" customHeight="1" thickBot="1">
      <c r="A22" s="455"/>
      <c r="B22" s="456"/>
      <c r="C22" s="456"/>
      <c r="D22" s="456"/>
      <c r="E22" s="456"/>
      <c r="F22" s="457"/>
      <c r="G22" s="458"/>
      <c r="H22" s="458"/>
      <c r="I22" s="459"/>
      <c r="J22" s="458"/>
      <c r="K22" s="458"/>
      <c r="L22" s="457"/>
      <c r="M22" s="457"/>
      <c r="N22" s="456"/>
      <c r="O22" s="456"/>
      <c r="P22" s="456"/>
      <c r="Q22" s="456"/>
      <c r="R22" s="456"/>
      <c r="S22" s="458"/>
      <c r="T22" s="458"/>
      <c r="U22" s="459"/>
      <c r="V22" s="458"/>
      <c r="W22" s="458"/>
      <c r="X22" s="460"/>
    </row>
    <row r="23" spans="1:34" ht="4.5" customHeight="1" thickBot="1">
      <c r="A23" s="21"/>
      <c r="B23" s="21"/>
      <c r="C23" s="21"/>
      <c r="D23" s="21"/>
      <c r="E23" s="21"/>
      <c r="G23" s="22"/>
      <c r="H23" s="22"/>
      <c r="I23" s="23"/>
      <c r="J23" s="22"/>
      <c r="K23" s="22"/>
      <c r="N23" s="21"/>
      <c r="O23" s="21"/>
      <c r="P23" s="21"/>
      <c r="Q23" s="21"/>
      <c r="R23" s="21"/>
      <c r="S23" s="22"/>
      <c r="T23" s="22"/>
      <c r="U23" s="23"/>
      <c r="V23" s="22"/>
      <c r="W23" s="22"/>
    </row>
    <row r="24" spans="1:34" ht="16.5" customHeight="1" thickBot="1">
      <c r="A24" s="2025" t="s">
        <v>129</v>
      </c>
      <c r="B24" s="2026"/>
      <c r="C24" s="2026"/>
      <c r="D24" s="2026"/>
      <c r="E24" s="2026"/>
      <c r="F24" s="2026"/>
      <c r="G24" s="2026"/>
      <c r="H24" s="2026"/>
      <c r="I24" s="2026"/>
      <c r="J24" s="2027"/>
      <c r="K24" s="24" t="s">
        <v>130</v>
      </c>
      <c r="L24" s="2028" t="s">
        <v>2</v>
      </c>
      <c r="M24" s="2028"/>
      <c r="N24" s="2028"/>
      <c r="O24" s="2028"/>
      <c r="P24" s="2028"/>
      <c r="Q24" s="2029"/>
      <c r="R24" s="2030" t="s">
        <v>3</v>
      </c>
      <c r="S24" s="2028"/>
      <c r="T24" s="2028"/>
      <c r="U24" s="2028"/>
      <c r="V24" s="2028"/>
      <c r="W24" s="2028"/>
      <c r="X24" s="2031"/>
    </row>
    <row r="25" spans="1:34" ht="16.5" customHeight="1">
      <c r="A25" s="2032" t="s">
        <v>205</v>
      </c>
      <c r="B25" s="2033"/>
      <c r="C25" s="2033"/>
      <c r="D25" s="2033"/>
      <c r="E25" s="2033"/>
      <c r="F25" s="2034"/>
      <c r="G25" s="25"/>
      <c r="H25" s="25"/>
      <c r="I25" s="26" t="s">
        <v>39</v>
      </c>
      <c r="J25" s="27"/>
      <c r="K25" s="28" t="s">
        <v>131</v>
      </c>
      <c r="L25" s="29"/>
      <c r="M25" s="2035">
        <f>IF(Data!H148="","",Data!H148)</f>
        <v>696</v>
      </c>
      <c r="N25" s="2035"/>
      <c r="O25" s="30"/>
      <c r="P25" s="29"/>
      <c r="Q25" s="31"/>
      <c r="R25" s="32"/>
      <c r="S25" s="29"/>
      <c r="T25" s="2035">
        <f>Data!N148</f>
        <v>323</v>
      </c>
      <c r="U25" s="2035"/>
      <c r="V25" s="30"/>
      <c r="W25" s="29"/>
      <c r="X25" s="33"/>
    </row>
    <row r="26" spans="1:34" ht="16.5" customHeight="1">
      <c r="A26" s="2018"/>
      <c r="B26" s="2019"/>
      <c r="C26" s="2019"/>
      <c r="D26" s="2019"/>
      <c r="E26" s="2019"/>
      <c r="F26" s="2020"/>
      <c r="G26" s="12"/>
      <c r="H26" s="12"/>
      <c r="I26" s="13" t="s">
        <v>132</v>
      </c>
      <c r="J26" s="34"/>
      <c r="K26" s="35" t="s">
        <v>131</v>
      </c>
      <c r="L26" s="14"/>
      <c r="M26" s="1961">
        <f>IF(Data!H149="","",Data!H149)</f>
        <v>680</v>
      </c>
      <c r="N26" s="1961"/>
      <c r="O26" s="36"/>
      <c r="P26" s="14"/>
      <c r="Q26" s="15"/>
      <c r="R26" s="37"/>
      <c r="S26" s="14"/>
      <c r="T26" s="1961">
        <f>Data!N149</f>
        <v>323</v>
      </c>
      <c r="U26" s="1961"/>
      <c r="V26" s="36"/>
      <c r="W26" s="14"/>
      <c r="X26" s="38"/>
    </row>
    <row r="27" spans="1:34" ht="16.5" customHeight="1">
      <c r="A27" s="2018"/>
      <c r="B27" s="2019"/>
      <c r="C27" s="2019"/>
      <c r="D27" s="2019"/>
      <c r="E27" s="2019"/>
      <c r="F27" s="2020"/>
      <c r="G27" s="12"/>
      <c r="H27" s="12"/>
      <c r="I27" s="13" t="s">
        <v>133</v>
      </c>
      <c r="J27" s="39"/>
      <c r="K27" s="40" t="s">
        <v>131</v>
      </c>
      <c r="L27" s="41"/>
      <c r="M27" s="1960">
        <f>IF(Data!H150="","",Data!H150)</f>
        <v>688</v>
      </c>
      <c r="N27" s="1960"/>
      <c r="O27" s="42"/>
      <c r="P27" s="41"/>
      <c r="Q27" s="43"/>
      <c r="R27" s="44"/>
      <c r="S27" s="41"/>
      <c r="T27" s="1961">
        <f>Data!N150</f>
        <v>323</v>
      </c>
      <c r="U27" s="1961"/>
      <c r="V27" s="42"/>
      <c r="W27" s="41"/>
      <c r="X27" s="45"/>
    </row>
    <row r="28" spans="1:34" ht="16.5" customHeight="1">
      <c r="A28" s="2018"/>
      <c r="B28" s="2019"/>
      <c r="C28" s="2019"/>
      <c r="D28" s="2019"/>
      <c r="E28" s="2019"/>
      <c r="F28" s="2020"/>
      <c r="G28" s="12"/>
      <c r="H28" s="12"/>
      <c r="I28" s="13" t="s">
        <v>134</v>
      </c>
      <c r="J28" s="34"/>
      <c r="K28" s="35" t="s">
        <v>131</v>
      </c>
      <c r="L28" s="14"/>
      <c r="M28" s="1961">
        <f>IF(Data!H151="","",Data!H151)</f>
        <v>-0.37366743598197605</v>
      </c>
      <c r="N28" s="1961"/>
      <c r="O28" s="36"/>
      <c r="P28" s="14"/>
      <c r="Q28" s="15"/>
      <c r="R28" s="37"/>
      <c r="S28" s="14"/>
      <c r="T28" s="1961">
        <f>Data!N151</f>
        <v>2.6070344982582312</v>
      </c>
      <c r="U28" s="1961"/>
      <c r="V28" s="36"/>
      <c r="W28" s="14"/>
      <c r="X28" s="38"/>
    </row>
    <row r="29" spans="1:34" ht="16.5" customHeight="1">
      <c r="A29" s="2021"/>
      <c r="B29" s="2022"/>
      <c r="C29" s="2022"/>
      <c r="D29" s="2022"/>
      <c r="E29" s="2022"/>
      <c r="F29" s="2023"/>
      <c r="G29" s="46"/>
      <c r="H29" s="46"/>
      <c r="I29" s="47" t="s">
        <v>135</v>
      </c>
      <c r="J29" s="48"/>
      <c r="K29" s="49" t="s">
        <v>131</v>
      </c>
      <c r="L29" s="50"/>
      <c r="M29" s="1989">
        <f>IF(Data!H152="","",Data!H152)</f>
        <v>687.63</v>
      </c>
      <c r="N29" s="1989"/>
      <c r="O29" s="51"/>
      <c r="P29" s="50"/>
      <c r="Q29" s="52"/>
      <c r="R29" s="53"/>
      <c r="S29" s="50"/>
      <c r="T29" s="1989">
        <f>Data!N152</f>
        <v>325.61</v>
      </c>
      <c r="U29" s="1989"/>
      <c r="V29" s="51"/>
      <c r="W29" s="50"/>
      <c r="X29" s="54"/>
    </row>
    <row r="30" spans="1:34" ht="16.5" customHeight="1">
      <c r="A30" s="2015" t="s">
        <v>206</v>
      </c>
      <c r="B30" s="2016"/>
      <c r="C30" s="2016"/>
      <c r="D30" s="2016"/>
      <c r="E30" s="2016"/>
      <c r="F30" s="2017"/>
      <c r="G30" s="8"/>
      <c r="H30" s="8"/>
      <c r="I30" s="9" t="s">
        <v>39</v>
      </c>
      <c r="J30" s="8"/>
      <c r="K30" s="55" t="s">
        <v>131</v>
      </c>
      <c r="L30" s="10"/>
      <c r="M30" s="2024">
        <f>Data!H154</f>
        <v>722</v>
      </c>
      <c r="N30" s="2024"/>
      <c r="O30" s="56"/>
      <c r="P30" s="10"/>
      <c r="Q30" s="10"/>
      <c r="R30" s="57"/>
      <c r="S30" s="10"/>
      <c r="T30" s="2024">
        <f>Data!N154</f>
        <v>555</v>
      </c>
      <c r="U30" s="2024"/>
      <c r="V30" s="56"/>
      <c r="W30" s="10"/>
      <c r="X30" s="58"/>
    </row>
    <row r="31" spans="1:34" ht="16.5" customHeight="1">
      <c r="A31" s="2018"/>
      <c r="B31" s="2019"/>
      <c r="C31" s="2019"/>
      <c r="D31" s="2019"/>
      <c r="E31" s="2019"/>
      <c r="F31" s="2020"/>
      <c r="G31" s="12"/>
      <c r="H31" s="12"/>
      <c r="I31" s="13" t="s">
        <v>132</v>
      </c>
      <c r="J31" s="12"/>
      <c r="K31" s="35" t="s">
        <v>131</v>
      </c>
      <c r="L31" s="14"/>
      <c r="M31" s="1961">
        <f>Data!H155</f>
        <v>722</v>
      </c>
      <c r="N31" s="1961"/>
      <c r="O31" s="36"/>
      <c r="P31" s="14"/>
      <c r="Q31" s="14"/>
      <c r="R31" s="37"/>
      <c r="S31" s="14"/>
      <c r="T31" s="1961">
        <f>Data!N155</f>
        <v>555</v>
      </c>
      <c r="U31" s="1961"/>
      <c r="V31" s="36"/>
      <c r="W31" s="14"/>
      <c r="X31" s="38"/>
    </row>
    <row r="32" spans="1:34" ht="16.5" customHeight="1">
      <c r="A32" s="2018"/>
      <c r="B32" s="2019"/>
      <c r="C32" s="2019"/>
      <c r="D32" s="2019"/>
      <c r="E32" s="2019"/>
      <c r="F32" s="2020"/>
      <c r="G32" s="12"/>
      <c r="H32" s="12"/>
      <c r="I32" s="13" t="s">
        <v>133</v>
      </c>
      <c r="J32" s="12"/>
      <c r="K32" s="35" t="s">
        <v>131</v>
      </c>
      <c r="L32" s="14"/>
      <c r="M32" s="1961">
        <f>Data!H156</f>
        <v>722</v>
      </c>
      <c r="N32" s="1961"/>
      <c r="O32" s="36"/>
      <c r="P32" s="14"/>
      <c r="Q32" s="14"/>
      <c r="R32" s="37"/>
      <c r="S32" s="14"/>
      <c r="T32" s="1961">
        <f>Data!N156</f>
        <v>555</v>
      </c>
      <c r="U32" s="1961"/>
      <c r="V32" s="36"/>
      <c r="W32" s="14"/>
      <c r="X32" s="38"/>
    </row>
    <row r="33" spans="1:24" ht="16.5" customHeight="1">
      <c r="A33" s="2018"/>
      <c r="B33" s="2019"/>
      <c r="C33" s="2019"/>
      <c r="D33" s="2019"/>
      <c r="E33" s="2019"/>
      <c r="F33" s="2020"/>
      <c r="G33" s="12"/>
      <c r="H33" s="12"/>
      <c r="I33" s="13" t="s">
        <v>134</v>
      </c>
      <c r="J33" s="12"/>
      <c r="K33" s="35" t="s">
        <v>131</v>
      </c>
      <c r="L33" s="14"/>
      <c r="M33" s="1961">
        <f>Data!H157</f>
        <v>-0.7473348719639521</v>
      </c>
      <c r="N33" s="1961"/>
      <c r="O33" s="36"/>
      <c r="P33" s="14"/>
      <c r="Q33" s="14"/>
      <c r="R33" s="37"/>
      <c r="S33" s="14"/>
      <c r="T33" s="1961">
        <f>Data!N157</f>
        <v>5.2140689965164624</v>
      </c>
      <c r="U33" s="1961"/>
      <c r="V33" s="36"/>
      <c r="W33" s="14"/>
      <c r="X33" s="38"/>
    </row>
    <row r="34" spans="1:24" ht="16.5" customHeight="1">
      <c r="A34" s="2021"/>
      <c r="B34" s="2022"/>
      <c r="C34" s="2022"/>
      <c r="D34" s="2022"/>
      <c r="E34" s="2022"/>
      <c r="F34" s="2023"/>
      <c r="G34" s="46"/>
      <c r="H34" s="46"/>
      <c r="I34" s="47" t="s">
        <v>136</v>
      </c>
      <c r="J34" s="46"/>
      <c r="K34" s="49" t="s">
        <v>131</v>
      </c>
      <c r="L34" s="50"/>
      <c r="M34" s="1989">
        <f>Data!H158</f>
        <v>721.25</v>
      </c>
      <c r="N34" s="1989"/>
      <c r="O34" s="51"/>
      <c r="P34" s="50"/>
      <c r="Q34" s="50"/>
      <c r="R34" s="53"/>
      <c r="S34" s="50"/>
      <c r="T34" s="1989">
        <f>Data!N158</f>
        <v>560.21</v>
      </c>
      <c r="U34" s="1989"/>
      <c r="V34" s="51"/>
      <c r="W34" s="50"/>
      <c r="X34" s="54"/>
    </row>
    <row r="35" spans="1:24" ht="16.5" customHeight="1">
      <c r="A35" s="2015" t="s">
        <v>207</v>
      </c>
      <c r="B35" s="2016"/>
      <c r="C35" s="2016"/>
      <c r="D35" s="2016"/>
      <c r="E35" s="2016"/>
      <c r="F35" s="2017"/>
      <c r="G35" s="8"/>
      <c r="H35" s="8"/>
      <c r="I35" s="9" t="s">
        <v>39</v>
      </c>
      <c r="J35" s="59"/>
      <c r="K35" s="55" t="s">
        <v>131</v>
      </c>
      <c r="L35" s="10"/>
      <c r="M35" s="2024">
        <f>Data!H160</f>
        <v>700</v>
      </c>
      <c r="N35" s="2024"/>
      <c r="O35" s="56"/>
      <c r="P35" s="10"/>
      <c r="Q35" s="11"/>
      <c r="R35" s="57"/>
      <c r="S35" s="10"/>
      <c r="T35" s="2024">
        <f>Data!N160</f>
        <v>444</v>
      </c>
      <c r="U35" s="2024"/>
      <c r="V35" s="56"/>
      <c r="W35" s="10"/>
      <c r="X35" s="58"/>
    </row>
    <row r="36" spans="1:24" ht="16.5" customHeight="1">
      <c r="A36" s="2018"/>
      <c r="B36" s="2019"/>
      <c r="C36" s="2019"/>
      <c r="D36" s="2019"/>
      <c r="E36" s="2019"/>
      <c r="F36" s="2020"/>
      <c r="G36" s="12"/>
      <c r="H36" s="12"/>
      <c r="I36" s="13" t="s">
        <v>132</v>
      </c>
      <c r="J36" s="34"/>
      <c r="K36" s="35" t="s">
        <v>131</v>
      </c>
      <c r="L36" s="14"/>
      <c r="M36" s="1961">
        <f>Data!H161</f>
        <v>720</v>
      </c>
      <c r="N36" s="1961"/>
      <c r="O36" s="36"/>
      <c r="P36" s="14"/>
      <c r="Q36" s="15"/>
      <c r="R36" s="37"/>
      <c r="S36" s="14"/>
      <c r="T36" s="1961">
        <f>Data!N161</f>
        <v>444</v>
      </c>
      <c r="U36" s="1961"/>
      <c r="V36" s="36"/>
      <c r="W36" s="14"/>
      <c r="X36" s="38"/>
    </row>
    <row r="37" spans="1:24" ht="16.5" customHeight="1">
      <c r="A37" s="2018"/>
      <c r="B37" s="2019"/>
      <c r="C37" s="2019"/>
      <c r="D37" s="2019"/>
      <c r="E37" s="2019"/>
      <c r="F37" s="2020"/>
      <c r="G37" s="12"/>
      <c r="H37" s="12"/>
      <c r="I37" s="13" t="s">
        <v>133</v>
      </c>
      <c r="J37" s="34"/>
      <c r="K37" s="35" t="s">
        <v>131</v>
      </c>
      <c r="L37" s="14"/>
      <c r="M37" s="1961">
        <f>Data!H162</f>
        <v>710</v>
      </c>
      <c r="N37" s="1961"/>
      <c r="O37" s="36"/>
      <c r="P37" s="14"/>
      <c r="Q37" s="15"/>
      <c r="R37" s="37"/>
      <c r="S37" s="14"/>
      <c r="T37" s="1961">
        <f>Data!N162</f>
        <v>444</v>
      </c>
      <c r="U37" s="1961"/>
      <c r="V37" s="36"/>
      <c r="W37" s="14"/>
      <c r="X37" s="38"/>
    </row>
    <row r="38" spans="1:24" ht="16.5" customHeight="1">
      <c r="A38" s="2018"/>
      <c r="B38" s="2019"/>
      <c r="C38" s="2019"/>
      <c r="D38" s="2019"/>
      <c r="E38" s="2019"/>
      <c r="F38" s="2020"/>
      <c r="G38" s="12"/>
      <c r="H38" s="12"/>
      <c r="I38" s="60" t="s">
        <v>137</v>
      </c>
      <c r="J38" s="34"/>
      <c r="K38" s="35" t="s">
        <v>131</v>
      </c>
      <c r="L38" s="14"/>
      <c r="M38" s="1961">
        <f>Data!H163</f>
        <v>0</v>
      </c>
      <c r="N38" s="1961"/>
      <c r="O38" s="36"/>
      <c r="P38" s="14"/>
      <c r="Q38" s="15"/>
      <c r="R38" s="37"/>
      <c r="S38" s="14"/>
      <c r="T38" s="1961">
        <f>Data!N163</f>
        <v>0</v>
      </c>
      <c r="U38" s="1961"/>
      <c r="V38" s="36"/>
      <c r="W38" s="14"/>
      <c r="X38" s="38"/>
    </row>
    <row r="39" spans="1:24" ht="16.5" customHeight="1">
      <c r="A39" s="2021"/>
      <c r="B39" s="2022"/>
      <c r="C39" s="2022"/>
      <c r="D39" s="2022"/>
      <c r="E39" s="2022"/>
      <c r="F39" s="2023"/>
      <c r="G39" s="46"/>
      <c r="H39" s="46"/>
      <c r="I39" s="61" t="s">
        <v>138</v>
      </c>
      <c r="J39" s="48"/>
      <c r="K39" s="49" t="s">
        <v>131</v>
      </c>
      <c r="L39" s="50"/>
      <c r="M39" s="1989">
        <f>Data!H164</f>
        <v>710</v>
      </c>
      <c r="N39" s="1989"/>
      <c r="O39" s="51"/>
      <c r="P39" s="50"/>
      <c r="Q39" s="52"/>
      <c r="R39" s="53"/>
      <c r="S39" s="50"/>
      <c r="T39" s="1989">
        <f>Data!N164</f>
        <v>444</v>
      </c>
      <c r="U39" s="1989"/>
      <c r="V39" s="51"/>
      <c r="W39" s="50"/>
      <c r="X39" s="54"/>
    </row>
    <row r="40" spans="1:24" ht="16.5" customHeight="1">
      <c r="A40" s="62"/>
      <c r="B40" s="63"/>
      <c r="C40" s="63"/>
      <c r="D40" s="63"/>
      <c r="E40" s="63"/>
      <c r="F40" s="63"/>
      <c r="G40" s="63"/>
      <c r="H40" s="63"/>
      <c r="I40" s="64" t="s">
        <v>139</v>
      </c>
      <c r="J40" s="63"/>
      <c r="K40" s="40" t="s">
        <v>131</v>
      </c>
      <c r="L40" s="41"/>
      <c r="M40" s="1960">
        <f>Data!H166</f>
        <v>704.44</v>
      </c>
      <c r="N40" s="1960"/>
      <c r="O40" s="41"/>
      <c r="P40" s="41"/>
      <c r="Q40" s="43"/>
      <c r="R40" s="44"/>
      <c r="S40" s="41"/>
      <c r="T40" s="1960">
        <f>Data!N166</f>
        <v>442.91</v>
      </c>
      <c r="U40" s="1960"/>
      <c r="V40" s="41"/>
      <c r="W40" s="41"/>
      <c r="X40" s="45"/>
    </row>
    <row r="41" spans="1:24" ht="16.5" customHeight="1">
      <c r="A41" s="65"/>
      <c r="B41" s="12"/>
      <c r="C41" s="12"/>
      <c r="D41" s="12"/>
      <c r="E41" s="12"/>
      <c r="F41" s="12"/>
      <c r="G41" s="12"/>
      <c r="H41" s="12"/>
      <c r="I41" s="66" t="s">
        <v>140</v>
      </c>
      <c r="J41" s="12"/>
      <c r="K41" s="35" t="s">
        <v>131</v>
      </c>
      <c r="L41" s="14"/>
      <c r="M41" s="1961">
        <f>Data!H167</f>
        <v>707.22</v>
      </c>
      <c r="N41" s="1961"/>
      <c r="O41" s="14"/>
      <c r="P41" s="14"/>
      <c r="Q41" s="15"/>
      <c r="R41" s="37"/>
      <c r="S41" s="14"/>
      <c r="T41" s="1961">
        <f>Data!N167</f>
        <v>443.45500000000004</v>
      </c>
      <c r="U41" s="1961"/>
      <c r="V41" s="14"/>
      <c r="W41" s="14"/>
      <c r="X41" s="38"/>
    </row>
    <row r="42" spans="1:24" ht="16.5" customHeight="1">
      <c r="A42" s="67"/>
      <c r="B42" s="68"/>
      <c r="C42" s="68"/>
      <c r="D42" s="68"/>
      <c r="E42" s="68"/>
      <c r="F42" s="68"/>
      <c r="G42" s="46"/>
      <c r="H42" s="46"/>
      <c r="I42" s="69" t="s">
        <v>141</v>
      </c>
      <c r="J42" s="46"/>
      <c r="K42" s="49" t="s">
        <v>44</v>
      </c>
      <c r="L42" s="50"/>
      <c r="M42" s="1989">
        <f>Data!H168</f>
        <v>708.61</v>
      </c>
      <c r="N42" s="1989"/>
      <c r="O42" s="51"/>
      <c r="P42" s="50"/>
      <c r="Q42" s="52"/>
      <c r="R42" s="53"/>
      <c r="S42" s="50"/>
      <c r="T42" s="1989">
        <f>Data!N168</f>
        <v>443.72750000000002</v>
      </c>
      <c r="U42" s="1989"/>
      <c r="V42" s="51"/>
      <c r="W42" s="50"/>
      <c r="X42" s="54"/>
    </row>
    <row r="43" spans="1:24" ht="16.5" customHeight="1">
      <c r="A43" s="70"/>
      <c r="B43" s="71"/>
      <c r="C43" s="71"/>
      <c r="D43" s="63"/>
      <c r="E43" s="63"/>
      <c r="F43" s="63"/>
      <c r="G43" s="63"/>
      <c r="H43" s="63"/>
      <c r="I43" s="64" t="s">
        <v>142</v>
      </c>
      <c r="J43" s="39"/>
      <c r="K43" s="40" t="s">
        <v>44</v>
      </c>
      <c r="L43" s="1998">
        <f>Data!H170</f>
        <v>11992.5</v>
      </c>
      <c r="M43" s="1998"/>
      <c r="N43" s="1998"/>
      <c r="O43" s="41"/>
      <c r="P43" s="41"/>
      <c r="Q43" s="43"/>
      <c r="R43" s="44"/>
      <c r="S43" s="1998">
        <f>Data!M170</f>
        <v>3277.5</v>
      </c>
      <c r="T43" s="2054"/>
      <c r="U43" s="2054"/>
      <c r="V43" s="41"/>
      <c r="W43" s="41"/>
      <c r="X43" s="45"/>
    </row>
    <row r="44" spans="1:24" ht="16.5" customHeight="1">
      <c r="A44" s="72"/>
      <c r="B44" s="73"/>
      <c r="C44" s="73"/>
      <c r="D44" s="12"/>
      <c r="E44" s="12"/>
      <c r="F44" s="12"/>
      <c r="G44" s="12"/>
      <c r="H44" s="12"/>
      <c r="I44" s="66" t="s">
        <v>143</v>
      </c>
      <c r="J44" s="34"/>
      <c r="K44" s="35" t="s">
        <v>44</v>
      </c>
      <c r="L44" s="2055">
        <f>Data!H175</f>
        <v>41.695</v>
      </c>
      <c r="M44" s="2055"/>
      <c r="N44" s="2055"/>
      <c r="O44" s="14"/>
      <c r="P44" s="14"/>
      <c r="Q44" s="15"/>
      <c r="R44" s="37"/>
      <c r="S44" s="2055">
        <f>Data!M175</f>
        <v>12.279</v>
      </c>
      <c r="T44" s="2053"/>
      <c r="U44" s="2053"/>
      <c r="V44" s="14"/>
      <c r="W44" s="14"/>
      <c r="X44" s="38"/>
    </row>
    <row r="45" spans="1:24" ht="16.5" customHeight="1">
      <c r="A45" s="72"/>
      <c r="B45" s="73"/>
      <c r="C45" s="73"/>
      <c r="D45" s="12"/>
      <c r="E45" s="12"/>
      <c r="F45" s="12"/>
      <c r="G45" s="12"/>
      <c r="H45" s="12"/>
      <c r="I45" s="66" t="s">
        <v>144</v>
      </c>
      <c r="J45" s="34"/>
      <c r="K45" s="35" t="s">
        <v>44</v>
      </c>
      <c r="L45" s="1988">
        <f>IF(L43="","",+L43+L44)</f>
        <v>12034.195</v>
      </c>
      <c r="M45" s="2053"/>
      <c r="N45" s="2053"/>
      <c r="O45" s="14"/>
      <c r="P45" s="14"/>
      <c r="Q45" s="15"/>
      <c r="R45" s="37"/>
      <c r="S45" s="1988">
        <f>IF(S43="","",+S43+S44)</f>
        <v>3289.779</v>
      </c>
      <c r="T45" s="2053"/>
      <c r="U45" s="2053"/>
      <c r="V45" s="14"/>
      <c r="W45" s="14"/>
      <c r="X45" s="38"/>
    </row>
    <row r="46" spans="1:24" ht="16.5" customHeight="1">
      <c r="A46" s="72"/>
      <c r="B46" s="73"/>
      <c r="C46" s="73"/>
      <c r="D46" s="12"/>
      <c r="E46" s="12"/>
      <c r="F46" s="12"/>
      <c r="G46" s="12"/>
      <c r="H46" s="12"/>
      <c r="I46" s="66" t="s">
        <v>145</v>
      </c>
      <c r="J46" s="34"/>
      <c r="K46" s="35" t="s">
        <v>146</v>
      </c>
      <c r="L46" s="2057">
        <f>Data!H179</f>
        <v>1.0249999999999999</v>
      </c>
      <c r="M46" s="2057"/>
      <c r="N46" s="2057"/>
      <c r="O46" s="74"/>
      <c r="P46" s="14"/>
      <c r="Q46" s="15"/>
      <c r="R46" s="37"/>
      <c r="S46" s="2057">
        <f>Data!N179</f>
        <v>1.0249999999999999</v>
      </c>
      <c r="T46" s="2053"/>
      <c r="U46" s="2053"/>
      <c r="V46" s="74"/>
      <c r="W46" s="14"/>
      <c r="X46" s="38"/>
    </row>
    <row r="47" spans="1:24" ht="16.5" customHeight="1">
      <c r="A47" s="72"/>
      <c r="B47" s="73"/>
      <c r="C47" s="73"/>
      <c r="D47" s="12"/>
      <c r="E47" s="12"/>
      <c r="F47" s="12"/>
      <c r="G47" s="12"/>
      <c r="H47" s="12"/>
      <c r="I47" s="66" t="s">
        <v>147</v>
      </c>
      <c r="J47" s="34"/>
      <c r="K47" s="35" t="s">
        <v>44</v>
      </c>
      <c r="L47" s="1988">
        <f>IF(L46="","",ROUND(L45*L46/Data!K62,3))</f>
        <v>12034.195</v>
      </c>
      <c r="M47" s="2053"/>
      <c r="N47" s="2053"/>
      <c r="O47" s="14"/>
      <c r="P47" s="14"/>
      <c r="Q47" s="15"/>
      <c r="R47" s="37"/>
      <c r="T47" s="2056">
        <f>IF(S46="","",ROUND(S45*S46/Data!K62,3))</f>
        <v>3289.779</v>
      </c>
      <c r="U47" s="2056"/>
      <c r="V47" s="2056"/>
      <c r="W47" s="14"/>
      <c r="X47" s="38"/>
    </row>
    <row r="48" spans="1:24" ht="16.5" customHeight="1">
      <c r="A48" s="72"/>
      <c r="B48" s="73"/>
      <c r="C48" s="73"/>
      <c r="D48" s="12"/>
      <c r="E48" s="12"/>
      <c r="F48" s="12"/>
      <c r="G48" s="12"/>
      <c r="H48" s="12"/>
      <c r="I48" s="66" t="s">
        <v>148</v>
      </c>
      <c r="J48" s="34"/>
      <c r="K48" s="35" t="s">
        <v>44</v>
      </c>
      <c r="L48" s="1988">
        <f>Data!H144</f>
        <v>175.07499999999999</v>
      </c>
      <c r="M48" s="2053"/>
      <c r="N48" s="2053"/>
      <c r="O48" s="14"/>
      <c r="P48" s="14"/>
      <c r="Q48" s="15"/>
      <c r="R48" s="37"/>
      <c r="S48" s="1988">
        <f>Data!N144</f>
        <v>47</v>
      </c>
      <c r="T48" s="2053"/>
      <c r="U48" s="2053"/>
      <c r="V48" s="75"/>
      <c r="W48" s="14"/>
      <c r="X48" s="38"/>
    </row>
    <row r="49" spans="1:24" ht="16.5" customHeight="1" thickBot="1">
      <c r="A49" s="76"/>
      <c r="B49" s="77"/>
      <c r="C49" s="77"/>
      <c r="D49" s="78"/>
      <c r="E49" s="78"/>
      <c r="F49" s="78"/>
      <c r="G49" s="78"/>
      <c r="H49" s="78"/>
      <c r="I49" s="79" t="s">
        <v>149</v>
      </c>
      <c r="J49" s="80"/>
      <c r="K49" s="81" t="s">
        <v>44</v>
      </c>
      <c r="L49" s="2042">
        <f>IF(L47="","",+L47-L48)</f>
        <v>11859.119999999999</v>
      </c>
      <c r="M49" s="2043"/>
      <c r="N49" s="2043"/>
      <c r="O49" s="82"/>
      <c r="P49" s="82"/>
      <c r="Q49" s="83"/>
      <c r="R49" s="84"/>
      <c r="S49" s="2042">
        <f>IF(T47="","",T47-S48)</f>
        <v>3242.779</v>
      </c>
      <c r="T49" s="2043"/>
      <c r="U49" s="2043"/>
      <c r="V49" s="85"/>
      <c r="W49" s="82"/>
      <c r="X49" s="86"/>
    </row>
    <row r="50" spans="1:24" ht="9.75" customHeight="1" thickBot="1">
      <c r="L50" s="87"/>
      <c r="M50" s="87"/>
      <c r="N50" s="87"/>
      <c r="O50" s="87"/>
      <c r="P50" s="87"/>
      <c r="Q50" s="87"/>
      <c r="R50" s="87"/>
      <c r="S50" s="87"/>
      <c r="T50" s="87"/>
      <c r="U50" s="87"/>
      <c r="V50" s="87"/>
      <c r="W50" s="87"/>
      <c r="X50" s="87"/>
    </row>
    <row r="51" spans="1:24" ht="12.75" customHeight="1">
      <c r="A51" s="88"/>
      <c r="B51" s="89"/>
      <c r="C51" s="2044" t="str">
        <f>IF(O51="","Total Cargo Un/loaded",IF(L49-S49&lt;0,"Total Cargo Loaded on Board","Total Cargo Discharged"))</f>
        <v>Total Cargo Discharged</v>
      </c>
      <c r="D51" s="2044"/>
      <c r="E51" s="2044"/>
      <c r="F51" s="2044"/>
      <c r="G51" s="2044"/>
      <c r="H51" s="2044"/>
      <c r="I51" s="2044"/>
      <c r="J51" s="90"/>
      <c r="L51" s="87"/>
      <c r="M51" s="87"/>
      <c r="N51" s="87"/>
      <c r="O51" s="2046">
        <f>IF(S49="","",ABS(L49-S49))</f>
        <v>8616.3409999999985</v>
      </c>
      <c r="P51" s="2047"/>
      <c r="Q51" s="2047"/>
      <c r="R51" s="2047"/>
      <c r="S51" s="2050" t="str">
        <f>IF(O51="","","MT")</f>
        <v>MT</v>
      </c>
      <c r="T51" s="91"/>
      <c r="U51" s="92"/>
      <c r="V51" s="87"/>
      <c r="W51" s="87"/>
      <c r="X51" s="87"/>
    </row>
    <row r="52" spans="1:24" ht="9" customHeight="1" thickBot="1">
      <c r="A52" s="93"/>
      <c r="B52" s="19"/>
      <c r="C52" s="2045"/>
      <c r="D52" s="2045"/>
      <c r="E52" s="2045"/>
      <c r="F52" s="2045"/>
      <c r="G52" s="2045"/>
      <c r="H52" s="2045"/>
      <c r="I52" s="2045"/>
      <c r="J52" s="20"/>
      <c r="L52" s="87"/>
      <c r="M52" s="87"/>
      <c r="N52" s="87"/>
      <c r="O52" s="2048"/>
      <c r="P52" s="2049"/>
      <c r="Q52" s="2049"/>
      <c r="R52" s="2049"/>
      <c r="S52" s="2051"/>
      <c r="T52" s="91"/>
      <c r="U52" s="87"/>
      <c r="V52" s="87"/>
      <c r="W52" s="87"/>
      <c r="X52" s="87"/>
    </row>
    <row r="53" spans="1:24" ht="9" customHeight="1">
      <c r="C53" s="94"/>
      <c r="D53" s="94"/>
      <c r="E53" s="94"/>
      <c r="F53" s="94"/>
      <c r="G53" s="94"/>
      <c r="H53" s="94"/>
      <c r="I53" s="94"/>
    </row>
    <row r="54" spans="1:24" ht="11.25" customHeight="1">
      <c r="A54" s="2052" t="s">
        <v>150</v>
      </c>
      <c r="B54" s="2052"/>
      <c r="C54" s="2052"/>
      <c r="D54" s="2052"/>
      <c r="E54" s="2052"/>
      <c r="F54" s="2052"/>
      <c r="G54" s="2052"/>
      <c r="H54" s="2052"/>
      <c r="I54" s="2052"/>
      <c r="J54" s="2052"/>
      <c r="K54" s="2052"/>
      <c r="L54" s="2052"/>
      <c r="M54" s="2052"/>
      <c r="N54" s="2052"/>
      <c r="O54" s="2052"/>
      <c r="P54" s="2052"/>
      <c r="Q54" s="2052"/>
      <c r="R54" s="2052"/>
      <c r="S54" s="2052"/>
      <c r="T54" s="2052"/>
      <c r="U54" s="2052"/>
      <c r="V54" s="2052"/>
      <c r="W54" s="2052"/>
      <c r="X54" s="2052"/>
    </row>
    <row r="55" spans="1:24" ht="13.5" customHeight="1">
      <c r="A55" s="2052"/>
      <c r="B55" s="2052"/>
      <c r="C55" s="2052"/>
      <c r="D55" s="2052"/>
      <c r="E55" s="2052"/>
      <c r="F55" s="2052"/>
      <c r="G55" s="2052"/>
      <c r="H55" s="2052"/>
      <c r="I55" s="2052"/>
      <c r="J55" s="2052"/>
      <c r="K55" s="2052"/>
      <c r="L55" s="2052"/>
      <c r="M55" s="2052"/>
      <c r="N55" s="2052"/>
      <c r="O55" s="2052"/>
      <c r="P55" s="2052"/>
      <c r="Q55" s="2052"/>
      <c r="R55" s="2052"/>
      <c r="S55" s="2052"/>
      <c r="T55" s="2052"/>
      <c r="U55" s="2052"/>
      <c r="V55" s="2052"/>
      <c r="W55" s="2052"/>
      <c r="X55" s="2052"/>
    </row>
    <row r="56" spans="1:24" ht="5.25" customHeight="1" thickBot="1">
      <c r="A56" s="95"/>
      <c r="B56" s="95"/>
      <c r="C56" s="95"/>
      <c r="D56" s="95"/>
      <c r="E56" s="95"/>
      <c r="F56" s="95"/>
      <c r="G56" s="95"/>
      <c r="H56" s="95"/>
      <c r="I56" s="95"/>
      <c r="J56" s="95"/>
      <c r="K56" s="95"/>
      <c r="L56" s="95"/>
      <c r="M56" s="95"/>
      <c r="N56" s="95"/>
      <c r="O56" s="95"/>
      <c r="P56" s="95"/>
      <c r="Q56" s="95"/>
      <c r="R56" s="95"/>
      <c r="S56" s="95"/>
      <c r="T56" s="95"/>
      <c r="U56" s="95"/>
      <c r="V56" s="95"/>
      <c r="W56" s="95"/>
      <c r="X56" s="95"/>
    </row>
    <row r="57" spans="1:24">
      <c r="A57" s="461" t="s">
        <v>105</v>
      </c>
      <c r="B57" s="462"/>
      <c r="C57" s="463"/>
      <c r="D57" s="463"/>
      <c r="E57" s="446"/>
      <c r="F57" s="446"/>
      <c r="G57" s="446"/>
      <c r="H57" s="446"/>
      <c r="I57" s="463"/>
      <c r="J57" s="463"/>
      <c r="K57" s="463"/>
      <c r="L57" s="463"/>
      <c r="M57" s="463"/>
      <c r="N57" s="463"/>
      <c r="O57" s="463"/>
      <c r="P57" s="463"/>
      <c r="Q57" s="463"/>
      <c r="R57" s="463"/>
      <c r="S57" s="463"/>
      <c r="T57" s="463"/>
      <c r="U57" s="463"/>
      <c r="V57" s="463"/>
      <c r="W57" s="463"/>
      <c r="X57" s="464"/>
    </row>
    <row r="58" spans="1:24" ht="16.5" customHeight="1">
      <c r="A58" s="2036" t="str">
        <f>IF([6]Données!B190="","",[6]Données!B190)</f>
        <v/>
      </c>
      <c r="B58" s="2037"/>
      <c r="C58" s="2037"/>
      <c r="D58" s="2037"/>
      <c r="E58" s="2037"/>
      <c r="F58" s="2037"/>
      <c r="G58" s="2037"/>
      <c r="H58" s="2037"/>
      <c r="I58" s="2037"/>
      <c r="J58" s="2037"/>
      <c r="K58" s="2037"/>
      <c r="L58" s="2037"/>
      <c r="M58" s="2037"/>
      <c r="N58" s="2037"/>
      <c r="O58" s="2037"/>
      <c r="P58" s="2037"/>
      <c r="Q58" s="2037"/>
      <c r="R58" s="2037"/>
      <c r="S58" s="2037"/>
      <c r="T58" s="2037"/>
      <c r="U58" s="2037"/>
      <c r="V58" s="2037"/>
      <c r="W58" s="2037"/>
      <c r="X58" s="2038"/>
    </row>
    <row r="59" spans="1:24" ht="16.5" customHeight="1">
      <c r="A59" s="2036" t="str">
        <f>IF([6]Données!B191="","",[6]Données!B191)</f>
        <v/>
      </c>
      <c r="B59" s="2037"/>
      <c r="C59" s="2037"/>
      <c r="D59" s="2037"/>
      <c r="E59" s="2037"/>
      <c r="F59" s="2037"/>
      <c r="G59" s="2037"/>
      <c r="H59" s="2037"/>
      <c r="I59" s="2037"/>
      <c r="J59" s="2037"/>
      <c r="K59" s="2037"/>
      <c r="L59" s="2037"/>
      <c r="M59" s="2037"/>
      <c r="N59" s="2037"/>
      <c r="O59" s="2037"/>
      <c r="P59" s="2037"/>
      <c r="Q59" s="2037"/>
      <c r="R59" s="2037"/>
      <c r="S59" s="2037"/>
      <c r="T59" s="2037"/>
      <c r="U59" s="2037"/>
      <c r="V59" s="2037"/>
      <c r="W59" s="2037"/>
      <c r="X59" s="2038"/>
    </row>
    <row r="60" spans="1:24" ht="16.5" customHeight="1" thickBot="1">
      <c r="A60" s="2039" t="str">
        <f>IF([6]Données!B192="","",[6]Données!B192)</f>
        <v/>
      </c>
      <c r="B60" s="2040"/>
      <c r="C60" s="2040"/>
      <c r="D60" s="2040"/>
      <c r="E60" s="2040"/>
      <c r="F60" s="2040"/>
      <c r="G60" s="2040"/>
      <c r="H60" s="2040"/>
      <c r="I60" s="2040"/>
      <c r="J60" s="2040"/>
      <c r="K60" s="2040"/>
      <c r="L60" s="2040"/>
      <c r="M60" s="2040"/>
      <c r="N60" s="2040"/>
      <c r="O60" s="2040"/>
      <c r="P60" s="2040"/>
      <c r="Q60" s="2040"/>
      <c r="R60" s="2040"/>
      <c r="S60" s="2040"/>
      <c r="T60" s="2040"/>
      <c r="U60" s="2040"/>
      <c r="V60" s="2040"/>
      <c r="W60" s="2040"/>
      <c r="X60" s="2041"/>
    </row>
    <row r="61" spans="1:24" ht="16.5" customHeight="1">
      <c r="A61" s="96"/>
      <c r="B61" s="96"/>
      <c r="C61" s="96"/>
      <c r="D61" s="96"/>
      <c r="E61" s="96"/>
      <c r="F61" s="96"/>
      <c r="G61" s="96"/>
      <c r="H61" s="96"/>
      <c r="I61" s="96"/>
      <c r="J61" s="96"/>
      <c r="K61" s="96"/>
      <c r="L61" s="96"/>
      <c r="M61" s="96"/>
      <c r="N61" s="96"/>
      <c r="O61" s="96"/>
      <c r="P61" s="96"/>
      <c r="Q61" s="96"/>
      <c r="R61" s="96"/>
      <c r="S61" s="96"/>
      <c r="T61" s="96"/>
      <c r="U61" s="96"/>
      <c r="V61" s="96"/>
      <c r="W61" s="96"/>
      <c r="X61" s="96"/>
    </row>
    <row r="62" spans="1:24" s="97" customFormat="1" ht="13.5" customHeight="1">
      <c r="D62" s="98" t="s">
        <v>621</v>
      </c>
      <c r="F62" s="99"/>
      <c r="G62" s="99"/>
      <c r="H62" s="100"/>
      <c r="I62" s="100"/>
      <c r="J62" s="100"/>
      <c r="K62" s="100"/>
      <c r="L62" s="100"/>
      <c r="M62" s="100"/>
      <c r="N62" s="100"/>
      <c r="O62" s="100"/>
      <c r="P62" s="100"/>
      <c r="Q62" s="100"/>
      <c r="R62" s="100"/>
      <c r="T62" s="98" t="s">
        <v>151</v>
      </c>
    </row>
    <row r="63" spans="1:24" s="97" customFormat="1" ht="12.75" customHeight="1">
      <c r="M63" s="97" t="s">
        <v>152</v>
      </c>
    </row>
    <row r="64" spans="1:24" s="101" customFormat="1" ht="12.75" customHeight="1"/>
    <row r="65" spans="1:24" s="101" customFormat="1" ht="12.75" customHeight="1"/>
    <row r="66" spans="1:24" s="101" customFormat="1" ht="12.75" customHeight="1"/>
    <row r="67" spans="1:24" s="97" customFormat="1" ht="14.25" customHeight="1"/>
    <row r="68" spans="1:24" ht="11.25" customHeight="1">
      <c r="A68" s="102"/>
      <c r="E68" s="103"/>
      <c r="F68" s="103"/>
      <c r="G68" s="99"/>
      <c r="H68" s="99"/>
    </row>
    <row r="69" spans="1:24" ht="4" customHeight="1">
      <c r="A69" s="102"/>
      <c r="E69" s="103"/>
      <c r="F69" s="103"/>
      <c r="G69" s="99"/>
      <c r="H69" s="99"/>
    </row>
    <row r="70" spans="1:24" ht="11.5" customHeight="1">
      <c r="A70" s="104"/>
      <c r="B70" s="104"/>
      <c r="D70" s="105"/>
      <c r="E70" s="104"/>
      <c r="F70" s="104"/>
      <c r="J70" s="104"/>
      <c r="L70" s="105"/>
      <c r="M70" s="104"/>
      <c r="P70" s="106"/>
      <c r="Q70" s="104"/>
      <c r="R70" s="104"/>
      <c r="S70" s="104"/>
      <c r="T70" s="104"/>
      <c r="U70" s="104"/>
      <c r="V70" s="104"/>
      <c r="W70" s="104"/>
      <c r="X70" s="104"/>
    </row>
    <row r="71" spans="1:24" ht="8.25" customHeight="1">
      <c r="A71" s="104"/>
      <c r="B71" s="104"/>
      <c r="C71" s="104"/>
      <c r="G71" s="107"/>
      <c r="H71" s="107"/>
      <c r="I71" s="104"/>
      <c r="M71" s="106"/>
      <c r="P71" s="104"/>
      <c r="Q71" s="104"/>
      <c r="R71" s="104"/>
      <c r="S71" s="104"/>
      <c r="T71" s="104"/>
      <c r="U71" s="104"/>
      <c r="V71" s="104"/>
      <c r="W71" s="104"/>
      <c r="X71" s="104"/>
    </row>
    <row r="72" spans="1:24" ht="9.75" customHeight="1">
      <c r="A72" s="104"/>
      <c r="B72" s="104"/>
      <c r="C72" s="104"/>
      <c r="D72" s="104"/>
      <c r="E72" s="104"/>
      <c r="F72" s="104"/>
      <c r="G72" s="104"/>
      <c r="H72" s="104"/>
      <c r="I72" s="108"/>
      <c r="J72" s="107"/>
      <c r="K72" s="107"/>
      <c r="L72" s="109"/>
      <c r="M72" s="109"/>
      <c r="N72" s="109"/>
      <c r="O72" s="104"/>
      <c r="P72" s="104"/>
      <c r="Q72" s="104"/>
      <c r="R72" s="104"/>
      <c r="S72" s="104"/>
      <c r="T72" s="104"/>
      <c r="U72" s="104"/>
      <c r="W72" s="110"/>
      <c r="X72" s="104"/>
    </row>
    <row r="95" ht="12.75" customHeight="1"/>
  </sheetData>
  <sheetProtection algorithmName="SHA-512" hashValue="Jk4mxAqU2RWBbeqnGHwO1RELAd+oG1+LdOYGhKNlRGjW92/DuMFiqfK/Iv+SPgI5kGKmkwri/iTKViZOLqSsDQ==" saltValue="DhfE7GYsVpU2ccwsX1etJA==" spinCount="100000" sheet="1" objects="1" scenarios="1"/>
  <protectedRanges>
    <protectedRange password="E509" sqref="E63:E67 T64:T67 C63:C67 F62:R67 S63:S67 A62:B67 A32:A35 Z2 D10 F10:V10 D62 U62:X67 S22:U23 C51 A9:C10 O51 S51 E9:E10 N4:N8 T4:W5 T62 A18:E23 A43:G49 K15 R24 L24:M24 V50:X61 D52:I53 P52:R53 T52:T53 P4:Q5 P7:Q8 V6:W6 R4:R8 A1:F8 U7:V8 A24:A30 B35:B42 B24:B29 C24:G42 A37:A42 I30:I49 U51:U61 A54:T61 N28:N53 D64:D67 L43:L49 T28:T42 T47 N11 N16:N17 R12:R15 V22:W24 O25:O49 V25:V49 M25:N27 M28:M42 U28:U49 T25:U27 G21:K23 G18:I20 T20:X21 T18:V19 AC14:AG17 N18:R23 S43:S46 S48:S49" name="Plage1_1"/>
  </protectedRanges>
  <mergeCells count="115">
    <mergeCell ref="A35:F39"/>
    <mergeCell ref="L47:N47"/>
    <mergeCell ref="L48:N48"/>
    <mergeCell ref="S48:U48"/>
    <mergeCell ref="L43:N43"/>
    <mergeCell ref="S43:U43"/>
    <mergeCell ref="L44:N44"/>
    <mergeCell ref="S44:U44"/>
    <mergeCell ref="L45:N45"/>
    <mergeCell ref="S45:U45"/>
    <mergeCell ref="T37:U37"/>
    <mergeCell ref="M38:N38"/>
    <mergeCell ref="T38:U38"/>
    <mergeCell ref="M39:N39"/>
    <mergeCell ref="T39:U39"/>
    <mergeCell ref="T47:V47"/>
    <mergeCell ref="M42:N42"/>
    <mergeCell ref="T42:U42"/>
    <mergeCell ref="L46:N46"/>
    <mergeCell ref="S46:U46"/>
    <mergeCell ref="M35:N35"/>
    <mergeCell ref="T35:U35"/>
    <mergeCell ref="M36:N36"/>
    <mergeCell ref="T36:U36"/>
    <mergeCell ref="A58:X58"/>
    <mergeCell ref="A59:X59"/>
    <mergeCell ref="A60:X60"/>
    <mergeCell ref="L49:N49"/>
    <mergeCell ref="S49:U49"/>
    <mergeCell ref="C51:I52"/>
    <mergeCell ref="O51:R52"/>
    <mergeCell ref="S51:S52"/>
    <mergeCell ref="A54:X55"/>
    <mergeCell ref="AC14:AH14"/>
    <mergeCell ref="AC15:AH15"/>
    <mergeCell ref="AC16:AH16"/>
    <mergeCell ref="AC17:AH17"/>
    <mergeCell ref="N21:R21"/>
    <mergeCell ref="A30:F34"/>
    <mergeCell ref="M30:N30"/>
    <mergeCell ref="T30:U30"/>
    <mergeCell ref="M31:N31"/>
    <mergeCell ref="T31:U31"/>
    <mergeCell ref="M32:N32"/>
    <mergeCell ref="T32:U32"/>
    <mergeCell ref="M33:N33"/>
    <mergeCell ref="T33:U33"/>
    <mergeCell ref="M34:N34"/>
    <mergeCell ref="T34:U34"/>
    <mergeCell ref="A24:J24"/>
    <mergeCell ref="L24:Q24"/>
    <mergeCell ref="R24:X24"/>
    <mergeCell ref="A25:F29"/>
    <mergeCell ref="M25:N25"/>
    <mergeCell ref="T25:U25"/>
    <mergeCell ref="M26:N26"/>
    <mergeCell ref="T26:U26"/>
    <mergeCell ref="W18:X18"/>
    <mergeCell ref="F14:H14"/>
    <mergeCell ref="N14:O14"/>
    <mergeCell ref="V14:X14"/>
    <mergeCell ref="F15:H15"/>
    <mergeCell ref="N15:O15"/>
    <mergeCell ref="V15:X15"/>
    <mergeCell ref="W21:X21"/>
    <mergeCell ref="A20:F20"/>
    <mergeCell ref="G20:H20"/>
    <mergeCell ref="J20:K20"/>
    <mergeCell ref="N20:S20"/>
    <mergeCell ref="T20:U20"/>
    <mergeCell ref="W20:X20"/>
    <mergeCell ref="A19:F19"/>
    <mergeCell ref="G19:H19"/>
    <mergeCell ref="J19:K19"/>
    <mergeCell ref="N19:S19"/>
    <mergeCell ref="T19:U19"/>
    <mergeCell ref="W19:X19"/>
    <mergeCell ref="A21:F21"/>
    <mergeCell ref="G21:H21"/>
    <mergeCell ref="J21:K21"/>
    <mergeCell ref="T21:U21"/>
    <mergeCell ref="T27:U27"/>
    <mergeCell ref="M28:N28"/>
    <mergeCell ref="T28:U28"/>
    <mergeCell ref="M29:N29"/>
    <mergeCell ref="T29:U29"/>
    <mergeCell ref="A18:F18"/>
    <mergeCell ref="G18:H18"/>
    <mergeCell ref="J18:K18"/>
    <mergeCell ref="N18:S18"/>
    <mergeCell ref="T18:U18"/>
    <mergeCell ref="M40:N40"/>
    <mergeCell ref="T40:U40"/>
    <mergeCell ref="M41:N41"/>
    <mergeCell ref="T41:U41"/>
    <mergeCell ref="M37:N37"/>
    <mergeCell ref="V12:X12"/>
    <mergeCell ref="V13:X13"/>
    <mergeCell ref="V2:X2"/>
    <mergeCell ref="N4:Q4"/>
    <mergeCell ref="R4:X4"/>
    <mergeCell ref="N5:Q5"/>
    <mergeCell ref="R5:X5"/>
    <mergeCell ref="N6:Q6"/>
    <mergeCell ref="R6:S6"/>
    <mergeCell ref="T6:U6"/>
    <mergeCell ref="V6:X6"/>
    <mergeCell ref="N7:Q7"/>
    <mergeCell ref="R7:X7"/>
    <mergeCell ref="N8:Q8"/>
    <mergeCell ref="R8:X8"/>
    <mergeCell ref="F10:S10"/>
    <mergeCell ref="N12:O12"/>
    <mergeCell ref="N13:O13"/>
    <mergeCell ref="M27:N27"/>
  </mergeCells>
  <dataValidations count="1">
    <dataValidation errorStyle="information" allowBlank="1" prompt="##:##" sqref="J18:J20 W18:W19" xr:uid="{E20BEA3D-35B8-4DBC-975C-5854A1328544}"/>
  </dataValidations>
  <printOptions horizontalCentered="1" verticalCentered="1"/>
  <pageMargins left="0" right="0" top="0" bottom="0" header="0" footer="0"/>
  <pageSetup paperSize="9" scale="8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8A9B0-463C-4DA7-9050-199AF5F49332}">
  <sheetPr codeName="Feuil10"/>
  <dimension ref="A1:X61"/>
  <sheetViews>
    <sheetView showGridLines="0" showRowColHeaders="0" zoomScaleNormal="100" workbookViewId="0">
      <selection activeCell="F8" sqref="F8"/>
    </sheetView>
  </sheetViews>
  <sheetFormatPr baseColWidth="10" defaultColWidth="11.453125" defaultRowHeight="14.5"/>
  <cols>
    <col min="1" max="7" width="5.7265625" customWidth="1"/>
    <col min="8" max="8" width="6.7265625" customWidth="1"/>
    <col min="9" max="16" width="6.26953125" customWidth="1"/>
    <col min="17" max="26" width="5.7265625" customWidth="1"/>
  </cols>
  <sheetData>
    <row r="1" spans="1:24" ht="15" customHeight="1">
      <c r="S1" s="169"/>
    </row>
    <row r="2" spans="1:24" ht="15" customHeight="1"/>
    <row r="3" spans="1:24" ht="15" customHeight="1">
      <c r="H3" s="2058" t="str">
        <f>+[6]Données!B6</f>
        <v xml:space="preserve">Vessel </v>
      </c>
      <c r="I3" s="2059"/>
      <c r="J3" s="2060"/>
      <c r="K3" s="2071" t="str">
        <f>Data!F6</f>
        <v>BBC BALBOA</v>
      </c>
      <c r="L3" s="2071"/>
      <c r="M3" s="2071"/>
      <c r="N3" s="2071"/>
      <c r="O3" s="2071"/>
      <c r="P3" s="2071"/>
      <c r="Q3" s="2072"/>
    </row>
    <row r="4" spans="1:24" ht="15" customHeight="1">
      <c r="H4" s="2061" t="str">
        <f>+[6]Données!B8</f>
        <v>Cargo</v>
      </c>
      <c r="I4" s="2062"/>
      <c r="J4" s="2063"/>
      <c r="K4" s="1973" t="str">
        <f>Data!F8</f>
        <v>SHREDDED TYRES</v>
      </c>
      <c r="L4" s="1973"/>
      <c r="M4" s="1974"/>
      <c r="N4" s="1974"/>
      <c r="O4" s="1973"/>
      <c r="P4" s="1973"/>
      <c r="Q4" s="2073"/>
    </row>
    <row r="5" spans="1:24" ht="15" customHeight="1">
      <c r="H5" s="2061" t="s">
        <v>120</v>
      </c>
      <c r="I5" s="2062"/>
      <c r="J5" s="2063"/>
      <c r="K5" s="1976">
        <f>Data!F16</f>
        <v>6315.79</v>
      </c>
      <c r="L5" s="1977"/>
      <c r="M5" s="1978" t="str">
        <f>IF(K5="","","MT  Dated")</f>
        <v>MT  Dated</v>
      </c>
      <c r="N5" s="1978"/>
      <c r="O5" s="1979">
        <f>Data!F18</f>
        <v>44709</v>
      </c>
      <c r="P5" s="1979"/>
      <c r="Q5" s="2074"/>
    </row>
    <row r="6" spans="1:24" ht="15" customHeight="1">
      <c r="H6" s="2061" t="str">
        <f>+[6]Données!B12</f>
        <v>Port of Loading</v>
      </c>
      <c r="I6" s="2062"/>
      <c r="J6" s="2063"/>
      <c r="K6" s="1973" t="str">
        <f>Data!F12</f>
        <v>SKJERKOYA  NORWAY</v>
      </c>
      <c r="L6" s="1973"/>
      <c r="M6" s="1981"/>
      <c r="N6" s="1981"/>
      <c r="O6" s="1973"/>
      <c r="P6" s="1973"/>
      <c r="Q6" s="2073"/>
    </row>
    <row r="7" spans="1:24" ht="15" customHeight="1">
      <c r="H7" s="2080" t="str">
        <f>+[6]Données!B14</f>
        <v>Port of Discharge</v>
      </c>
      <c r="I7" s="2081"/>
      <c r="J7" s="2082"/>
      <c r="K7" s="2087" t="str">
        <f>Data!F14</f>
        <v>CASABLANCA</v>
      </c>
      <c r="L7" s="2087"/>
      <c r="M7" s="2087"/>
      <c r="N7" s="2087"/>
      <c r="O7" s="2087"/>
      <c r="P7" s="2087"/>
      <c r="Q7" s="2088"/>
    </row>
    <row r="8" spans="1:24" ht="10.5" customHeight="1"/>
    <row r="9" spans="1:24" ht="10.5" customHeight="1">
      <c r="E9" s="6"/>
    </row>
    <row r="10" spans="1:24" ht="21" customHeight="1">
      <c r="E10" s="1986" t="s">
        <v>153</v>
      </c>
      <c r="F10" s="1986"/>
      <c r="G10" s="1986"/>
      <c r="H10" s="1986"/>
      <c r="I10" s="1986"/>
      <c r="J10" s="1986"/>
      <c r="K10" s="1986"/>
      <c r="L10" s="1986"/>
      <c r="M10" s="1986"/>
      <c r="N10" s="6"/>
      <c r="O10" s="6"/>
      <c r="P10" s="115" t="s">
        <v>154</v>
      </c>
      <c r="R10" s="6"/>
      <c r="S10" s="6"/>
      <c r="X10" s="7"/>
    </row>
    <row r="11" spans="1:24" ht="21.75" customHeight="1">
      <c r="E11" s="2083" t="s">
        <v>155</v>
      </c>
      <c r="F11" s="2083"/>
      <c r="G11" s="2083"/>
      <c r="H11" s="2083"/>
      <c r="I11" s="2083"/>
      <c r="J11" s="2083"/>
      <c r="K11" s="2083"/>
      <c r="L11" s="2083"/>
      <c r="M11" s="2083"/>
    </row>
    <row r="12" spans="1:24" ht="9" customHeight="1"/>
    <row r="13" spans="1:24" ht="14.25" customHeight="1">
      <c r="H13" s="116" t="s">
        <v>130</v>
      </c>
      <c r="I13" s="2084" t="s">
        <v>2</v>
      </c>
      <c r="J13" s="2085"/>
      <c r="K13" s="2085"/>
      <c r="L13" s="2086"/>
      <c r="M13" s="2084" t="s">
        <v>3</v>
      </c>
      <c r="N13" s="2085"/>
      <c r="O13" s="2085"/>
      <c r="P13" s="2086"/>
    </row>
    <row r="14" spans="1:24" ht="14.25" customHeight="1">
      <c r="A14" s="2064" t="s">
        <v>156</v>
      </c>
      <c r="B14" s="2065"/>
      <c r="C14" s="2065"/>
      <c r="D14" s="2065"/>
      <c r="E14" s="2065"/>
      <c r="F14" s="2065"/>
      <c r="G14" s="2066"/>
      <c r="H14" s="117" t="s">
        <v>131</v>
      </c>
      <c r="I14" s="2067">
        <f>Data!H88</f>
        <v>34</v>
      </c>
      <c r="J14" s="2068"/>
      <c r="K14" s="165" t="str">
        <f>Data!K88</f>
        <v>A</v>
      </c>
      <c r="L14" s="119"/>
      <c r="M14" s="2069">
        <f>Data!N88</f>
        <v>232</v>
      </c>
      <c r="N14" s="2070"/>
      <c r="O14" s="118" t="str">
        <f>Data!Q38</f>
        <v>F</v>
      </c>
      <c r="P14" s="119"/>
    </row>
    <row r="15" spans="1:24" ht="14.25" customHeight="1">
      <c r="A15" s="2075" t="s">
        <v>157</v>
      </c>
      <c r="B15" s="2076"/>
      <c r="C15" s="2076"/>
      <c r="D15" s="2076"/>
      <c r="E15" s="2076"/>
      <c r="F15" s="2076"/>
      <c r="G15" s="2077"/>
      <c r="H15" s="120" t="s">
        <v>131</v>
      </c>
      <c r="I15" s="2078">
        <f>Data!I38</f>
        <v>100</v>
      </c>
      <c r="J15" s="2079"/>
      <c r="K15" s="121" t="str">
        <f>Data!K38</f>
        <v>A</v>
      </c>
      <c r="L15" s="112"/>
      <c r="M15" s="2078">
        <f>Data!O38</f>
        <v>100</v>
      </c>
      <c r="N15" s="2079"/>
      <c r="O15" s="121" t="str">
        <f>Data!Q42</f>
        <v>A</v>
      </c>
      <c r="P15" s="112"/>
    </row>
    <row r="16" spans="1:24" ht="14.25" customHeight="1">
      <c r="A16" s="2089" t="s">
        <v>158</v>
      </c>
      <c r="B16" s="2090"/>
      <c r="C16" s="2090"/>
      <c r="D16" s="2090"/>
      <c r="E16" s="2090"/>
      <c r="F16" s="2090"/>
      <c r="G16" s="2091"/>
      <c r="H16" s="120" t="s">
        <v>131</v>
      </c>
      <c r="I16" s="2078">
        <f>Data!I42</f>
        <v>0</v>
      </c>
      <c r="J16" s="2079"/>
      <c r="K16" s="121" t="str">
        <f>Data!K42</f>
        <v>A</v>
      </c>
      <c r="L16" s="112"/>
      <c r="M16" s="2094">
        <f>Data!O42</f>
        <v>0</v>
      </c>
      <c r="N16" s="2095"/>
      <c r="O16" s="121" t="str">
        <f>Data!Q40</f>
        <v>F</v>
      </c>
      <c r="P16" s="112"/>
    </row>
    <row r="17" spans="1:16" ht="14.25" customHeight="1">
      <c r="A17" s="2089" t="s">
        <v>159</v>
      </c>
      <c r="B17" s="2090"/>
      <c r="C17" s="2090"/>
      <c r="D17" s="2090"/>
      <c r="E17" s="2090"/>
      <c r="F17" s="2090"/>
      <c r="G17" s="2091"/>
      <c r="H17" s="120" t="s">
        <v>131</v>
      </c>
      <c r="I17" s="2078">
        <f>Data!I40</f>
        <v>200</v>
      </c>
      <c r="J17" s="2079"/>
      <c r="K17" s="121" t="str">
        <f>Data!K40</f>
        <v>A</v>
      </c>
      <c r="L17" s="112"/>
      <c r="M17" s="2092">
        <f>Data!O40</f>
        <v>200</v>
      </c>
      <c r="N17" s="2093"/>
      <c r="O17" s="121"/>
      <c r="P17" s="112"/>
    </row>
    <row r="18" spans="1:16" ht="14.25" customHeight="1">
      <c r="A18" s="2089" t="s">
        <v>160</v>
      </c>
      <c r="B18" s="2090"/>
      <c r="C18" s="2090"/>
      <c r="D18" s="2090"/>
      <c r="E18" s="2090"/>
      <c r="F18" s="2090"/>
      <c r="G18" s="2091"/>
      <c r="H18" s="120" t="s">
        <v>131</v>
      </c>
      <c r="I18" s="2078">
        <f>Data!H151</f>
        <v>-0.37366743598197605</v>
      </c>
      <c r="J18" s="2079"/>
      <c r="K18" s="122"/>
      <c r="L18" s="112"/>
      <c r="M18" s="2092">
        <f>Data!N151</f>
        <v>2.6070344982582312</v>
      </c>
      <c r="N18" s="2093"/>
      <c r="O18" s="111"/>
      <c r="P18" s="112"/>
    </row>
    <row r="19" spans="1:16" ht="14.25" customHeight="1">
      <c r="A19" s="2089" t="s">
        <v>161</v>
      </c>
      <c r="B19" s="2090"/>
      <c r="C19" s="2090"/>
      <c r="D19" s="2090"/>
      <c r="E19" s="2090"/>
      <c r="F19" s="2090"/>
      <c r="G19" s="2091"/>
      <c r="H19" s="120" t="s">
        <v>131</v>
      </c>
      <c r="I19" s="2078">
        <f>Data!H163</f>
        <v>0</v>
      </c>
      <c r="J19" s="2079"/>
      <c r="K19" s="122"/>
      <c r="L19" s="112"/>
      <c r="M19" s="2092">
        <f>Data!N163</f>
        <v>0</v>
      </c>
      <c r="N19" s="2093"/>
      <c r="O19" s="111"/>
      <c r="P19" s="112"/>
    </row>
    <row r="20" spans="1:16" ht="14.25" customHeight="1">
      <c r="A20" s="2089" t="s">
        <v>162</v>
      </c>
      <c r="B20" s="2090"/>
      <c r="C20" s="2090"/>
      <c r="D20" s="2090"/>
      <c r="E20" s="2090"/>
      <c r="F20" s="2090"/>
      <c r="G20" s="2091"/>
      <c r="H20" s="120" t="s">
        <v>131</v>
      </c>
      <c r="I20" s="2078">
        <f>Data!H157</f>
        <v>-0.7473348719639521</v>
      </c>
      <c r="J20" s="2079"/>
      <c r="K20" s="122"/>
      <c r="L20" s="112"/>
      <c r="M20" s="2078">
        <f>Data!N157</f>
        <v>5.2140689965164624</v>
      </c>
      <c r="N20" s="2079"/>
      <c r="O20" s="111"/>
      <c r="P20" s="112"/>
    </row>
    <row r="21" spans="1:16" ht="14.25" customHeight="1">
      <c r="A21" s="2089" t="s">
        <v>163</v>
      </c>
      <c r="B21" s="2090"/>
      <c r="C21" s="2090"/>
      <c r="D21" s="2090"/>
      <c r="E21" s="2090"/>
      <c r="F21" s="2090"/>
      <c r="G21" s="2091"/>
      <c r="H21" s="120" t="s">
        <v>131</v>
      </c>
      <c r="I21" s="2078">
        <f>Data!H152</f>
        <v>687.63</v>
      </c>
      <c r="J21" s="2079"/>
      <c r="K21" s="122"/>
      <c r="L21" s="112"/>
      <c r="M21" s="2078">
        <f>Data!N152</f>
        <v>325.61</v>
      </c>
      <c r="N21" s="2079"/>
      <c r="O21" s="111"/>
      <c r="P21" s="112"/>
    </row>
    <row r="22" spans="1:16" ht="14.25" customHeight="1">
      <c r="A22" s="2089" t="s">
        <v>164</v>
      </c>
      <c r="B22" s="2090"/>
      <c r="C22" s="2090"/>
      <c r="D22" s="2090"/>
      <c r="E22" s="2090"/>
      <c r="F22" s="2090"/>
      <c r="G22" s="2091"/>
      <c r="H22" s="120" t="s">
        <v>131</v>
      </c>
      <c r="I22" s="2078">
        <f>Data!H164</f>
        <v>710</v>
      </c>
      <c r="J22" s="2079"/>
      <c r="K22" s="122"/>
      <c r="L22" s="112"/>
      <c r="M22" s="2078">
        <f>Data!N164</f>
        <v>444</v>
      </c>
      <c r="N22" s="2079"/>
      <c r="O22" s="111"/>
      <c r="P22" s="112"/>
    </row>
    <row r="23" spans="1:16" ht="14.25" customHeight="1">
      <c r="A23" s="2089" t="s">
        <v>165</v>
      </c>
      <c r="B23" s="2090"/>
      <c r="C23" s="2090"/>
      <c r="D23" s="2090"/>
      <c r="E23" s="2090"/>
      <c r="F23" s="2090"/>
      <c r="G23" s="2091"/>
      <c r="H23" s="120" t="s">
        <v>131</v>
      </c>
      <c r="I23" s="2078">
        <f>Data!H158</f>
        <v>721.25</v>
      </c>
      <c r="J23" s="2079"/>
      <c r="K23" s="122"/>
      <c r="L23" s="112"/>
      <c r="M23" s="2078">
        <f>Data!N158</f>
        <v>560.21</v>
      </c>
      <c r="N23" s="2079"/>
      <c r="O23" s="111"/>
      <c r="P23" s="112"/>
    </row>
    <row r="24" spans="1:16" ht="14.25" customHeight="1">
      <c r="A24" s="2089" t="s">
        <v>166</v>
      </c>
      <c r="B24" s="2090"/>
      <c r="C24" s="2090"/>
      <c r="D24" s="2090"/>
      <c r="E24" s="2090"/>
      <c r="F24" s="2090"/>
      <c r="G24" s="2091"/>
      <c r="H24" s="120" t="s">
        <v>131</v>
      </c>
      <c r="I24" s="2078">
        <f>Data!H89</f>
        <v>33.619999999999997</v>
      </c>
      <c r="J24" s="2079"/>
      <c r="K24" s="166" t="str">
        <f>Data!K89</f>
        <v>A</v>
      </c>
      <c r="L24" s="112"/>
      <c r="M24" s="2078">
        <f>Data!N89</f>
        <v>234.6</v>
      </c>
      <c r="N24" s="2079"/>
      <c r="O24" s="166" t="str">
        <f>Data!Q89</f>
        <v>A</v>
      </c>
      <c r="P24" s="112"/>
    </row>
    <row r="25" spans="1:16" ht="14.25" customHeight="1">
      <c r="A25" s="2089" t="s">
        <v>167</v>
      </c>
      <c r="B25" s="2090"/>
      <c r="C25" s="2090"/>
      <c r="D25" s="2090"/>
      <c r="E25" s="2090"/>
      <c r="F25" s="2090"/>
      <c r="G25" s="2091"/>
      <c r="H25" s="120" t="s">
        <v>131</v>
      </c>
      <c r="I25" s="2078">
        <f>Data!H168</f>
        <v>708.61</v>
      </c>
      <c r="J25" s="2079"/>
      <c r="K25" s="122"/>
      <c r="L25" s="112"/>
      <c r="M25" s="2078">
        <f>Data!N168</f>
        <v>443.72750000000002</v>
      </c>
      <c r="N25" s="2079"/>
      <c r="O25" s="111"/>
      <c r="P25" s="112"/>
    </row>
    <row r="26" spans="1:16" ht="14.25" customHeight="1">
      <c r="A26" s="2089" t="s">
        <v>168</v>
      </c>
      <c r="B26" s="2090"/>
      <c r="C26" s="2090"/>
      <c r="D26" s="2090"/>
      <c r="E26" s="2090"/>
      <c r="F26" s="2090"/>
      <c r="G26" s="2091"/>
      <c r="H26" s="120" t="s">
        <v>131</v>
      </c>
      <c r="I26" s="2078">
        <f>Data!H202</f>
        <v>5.5599999999999454</v>
      </c>
      <c r="J26" s="2079"/>
      <c r="K26" s="122"/>
      <c r="L26" s="112"/>
      <c r="M26" s="2078">
        <f>Data!L202</f>
        <v>1.089999999999975</v>
      </c>
      <c r="N26" s="2079"/>
      <c r="O26" s="111"/>
      <c r="P26" s="112"/>
    </row>
    <row r="27" spans="1:16" ht="14.25" customHeight="1">
      <c r="A27" s="2096" t="s">
        <v>169</v>
      </c>
      <c r="B27" s="2097"/>
      <c r="C27" s="2097"/>
      <c r="D27" s="2097"/>
      <c r="E27" s="2097"/>
      <c r="F27" s="2097"/>
      <c r="G27" s="2098"/>
      <c r="H27" s="123" t="s">
        <v>170</v>
      </c>
      <c r="I27" s="2078" t="str">
        <f>Data!H203</f>
        <v>Sag</v>
      </c>
      <c r="J27" s="2079"/>
      <c r="K27" s="113"/>
      <c r="L27" s="114"/>
      <c r="M27" s="2099" t="str">
        <f>Data!L203</f>
        <v>Sag</v>
      </c>
      <c r="N27" s="2100"/>
      <c r="O27" s="113"/>
      <c r="P27" s="114"/>
    </row>
    <row r="28" spans="1:16" ht="14.25" customHeight="1">
      <c r="A28" s="2064" t="s">
        <v>171</v>
      </c>
      <c r="B28" s="2104"/>
      <c r="C28" s="2104"/>
      <c r="D28" s="2104"/>
      <c r="E28" s="2104"/>
      <c r="F28" s="2104"/>
      <c r="G28" s="2105"/>
      <c r="H28" s="117" t="s">
        <v>44</v>
      </c>
      <c r="I28" s="2106">
        <f>Data!H170</f>
        <v>11992.5</v>
      </c>
      <c r="J28" s="2107"/>
      <c r="K28" s="124"/>
      <c r="L28" s="119"/>
      <c r="M28" s="2108">
        <f>Data!M170</f>
        <v>3277.5</v>
      </c>
      <c r="N28" s="2109"/>
      <c r="O28" s="125"/>
      <c r="P28" s="119"/>
    </row>
    <row r="29" spans="1:16" ht="14.25" customHeight="1">
      <c r="A29" s="2089" t="s">
        <v>1</v>
      </c>
      <c r="B29" s="2090"/>
      <c r="C29" s="2090"/>
      <c r="D29" s="2090"/>
      <c r="E29" s="2090"/>
      <c r="F29" s="2090"/>
      <c r="G29" s="2091"/>
      <c r="H29" s="120" t="s">
        <v>131</v>
      </c>
      <c r="I29" s="2103">
        <f>Data!I75</f>
        <v>571.5</v>
      </c>
      <c r="J29" s="2110"/>
      <c r="K29" s="126"/>
      <c r="L29" s="112"/>
      <c r="M29" s="2078">
        <f>Data!O75</f>
        <v>54</v>
      </c>
      <c r="N29" s="2079"/>
      <c r="O29" s="111"/>
      <c r="P29" s="112"/>
    </row>
    <row r="30" spans="1:16" ht="14.25" customHeight="1">
      <c r="A30" s="2089" t="s">
        <v>172</v>
      </c>
      <c r="B30" s="2090"/>
      <c r="C30" s="2090"/>
      <c r="D30" s="2090"/>
      <c r="E30" s="2090"/>
      <c r="F30" s="2090"/>
      <c r="G30" s="2091"/>
      <c r="H30" s="127" t="s">
        <v>170</v>
      </c>
      <c r="I30" s="2101" t="str">
        <f>Data!K75</f>
        <v>A</v>
      </c>
      <c r="J30" s="2102"/>
      <c r="K30" s="111"/>
      <c r="L30" s="112"/>
      <c r="M30" s="2078" t="str">
        <f>Data!Q75</f>
        <v>F</v>
      </c>
      <c r="N30" s="2079"/>
      <c r="O30" s="111"/>
      <c r="P30" s="112"/>
    </row>
    <row r="31" spans="1:16" ht="14.25" customHeight="1">
      <c r="A31" s="2089" t="s">
        <v>4</v>
      </c>
      <c r="B31" s="2090"/>
      <c r="C31" s="2090"/>
      <c r="D31" s="2090"/>
      <c r="E31" s="2090"/>
      <c r="F31" s="2090"/>
      <c r="G31" s="2091"/>
      <c r="H31" s="120" t="s">
        <v>173</v>
      </c>
      <c r="I31" s="2103">
        <f>Data!I70</f>
        <v>19.059999999999999</v>
      </c>
      <c r="J31" s="2102"/>
      <c r="K31" s="126"/>
      <c r="L31" s="112"/>
      <c r="M31" s="2078">
        <f>Data!O70</f>
        <v>13</v>
      </c>
      <c r="N31" s="2079"/>
      <c r="O31" s="111"/>
      <c r="P31" s="128"/>
    </row>
    <row r="32" spans="1:16" ht="14.25" customHeight="1">
      <c r="A32" s="2089" t="s">
        <v>174</v>
      </c>
      <c r="B32" s="2090"/>
      <c r="C32" s="2090"/>
      <c r="D32" s="2090"/>
      <c r="E32" s="2090"/>
      <c r="F32" s="2090"/>
      <c r="G32" s="2091"/>
      <c r="H32" s="120" t="s">
        <v>44</v>
      </c>
      <c r="I32" s="2103">
        <f>Data!I80</f>
        <v>169.97</v>
      </c>
      <c r="J32" s="2102"/>
      <c r="K32" s="126"/>
      <c r="L32" s="112"/>
      <c r="M32" s="2078">
        <f>Data!O80</f>
        <v>55</v>
      </c>
      <c r="N32" s="2079"/>
      <c r="O32" s="111"/>
      <c r="P32" s="112"/>
    </row>
    <row r="33" spans="1:16" ht="14.25" customHeight="1">
      <c r="A33" s="2089" t="s">
        <v>175</v>
      </c>
      <c r="B33" s="2090"/>
      <c r="C33" s="2090"/>
      <c r="D33" s="2090"/>
      <c r="E33" s="2090"/>
      <c r="F33" s="2090"/>
      <c r="G33" s="2091"/>
      <c r="H33" s="120" t="s">
        <v>44</v>
      </c>
      <c r="I33" s="2103">
        <f>Data!I82</f>
        <v>154.04</v>
      </c>
      <c r="J33" s="2102"/>
      <c r="K33" s="126"/>
      <c r="L33" s="112"/>
      <c r="M33" s="2078">
        <f>Data!O82</f>
        <v>45</v>
      </c>
      <c r="N33" s="2079"/>
      <c r="O33" s="111"/>
      <c r="P33" s="112"/>
    </row>
    <row r="34" spans="1:16" ht="14.25" customHeight="1">
      <c r="A34" s="2111" t="s">
        <v>176</v>
      </c>
      <c r="B34" s="2112"/>
      <c r="C34" s="2112"/>
      <c r="D34" s="2112"/>
      <c r="E34" s="2112"/>
      <c r="F34" s="2112"/>
      <c r="G34" s="2113"/>
      <c r="H34" s="129" t="s">
        <v>44</v>
      </c>
      <c r="I34" s="2114">
        <f>Data!I83</f>
        <v>15.930000000000007</v>
      </c>
      <c r="J34" s="2115"/>
      <c r="K34" s="130"/>
      <c r="L34" s="114"/>
      <c r="M34" s="2092">
        <f>Data!O83</f>
        <v>10</v>
      </c>
      <c r="N34" s="2093"/>
      <c r="O34" s="113"/>
      <c r="P34" s="114"/>
    </row>
    <row r="35" spans="1:16" ht="14.25" customHeight="1">
      <c r="A35" s="2075" t="s">
        <v>97</v>
      </c>
      <c r="B35" s="2116"/>
      <c r="C35" s="2116"/>
      <c r="D35" s="2116"/>
      <c r="E35" s="2116"/>
      <c r="F35" s="2116"/>
      <c r="G35" s="2117"/>
      <c r="H35" s="117" t="s">
        <v>44</v>
      </c>
      <c r="I35" s="2106">
        <f>Data!H173</f>
        <v>40.695</v>
      </c>
      <c r="J35" s="2107"/>
      <c r="K35" s="124"/>
      <c r="L35" s="131"/>
      <c r="M35" s="2067">
        <f>Data!M173</f>
        <v>-18.300999999999998</v>
      </c>
      <c r="N35" s="2068"/>
      <c r="O35" s="125"/>
      <c r="P35" s="131"/>
    </row>
    <row r="36" spans="1:16" ht="14.25" customHeight="1">
      <c r="A36" s="2089" t="s">
        <v>98</v>
      </c>
      <c r="B36" s="2090"/>
      <c r="C36" s="2090"/>
      <c r="D36" s="2090"/>
      <c r="E36" s="2090"/>
      <c r="F36" s="2090"/>
      <c r="G36" s="2091"/>
      <c r="H36" s="120" t="s">
        <v>44</v>
      </c>
      <c r="I36" s="2103">
        <f>Data!H174</f>
        <v>1</v>
      </c>
      <c r="J36" s="2102"/>
      <c r="K36" s="126"/>
      <c r="L36" s="112"/>
      <c r="M36" s="2078">
        <f>Data!M174</f>
        <v>30.58</v>
      </c>
      <c r="N36" s="2079"/>
      <c r="O36" s="111"/>
      <c r="P36" s="112"/>
    </row>
    <row r="37" spans="1:16" ht="14.25" customHeight="1">
      <c r="A37" s="2089" t="s">
        <v>99</v>
      </c>
      <c r="B37" s="2090"/>
      <c r="C37" s="2090"/>
      <c r="D37" s="2090"/>
      <c r="E37" s="2090"/>
      <c r="F37" s="2090"/>
      <c r="G37" s="2091"/>
      <c r="H37" s="120" t="s">
        <v>44</v>
      </c>
      <c r="I37" s="2103">
        <f>IF(I35="","",I35+I36)</f>
        <v>41.695</v>
      </c>
      <c r="J37" s="2102"/>
      <c r="K37" s="126"/>
      <c r="L37" s="112"/>
      <c r="M37" s="2078">
        <f>Data!M175</f>
        <v>12.279</v>
      </c>
      <c r="N37" s="2079"/>
      <c r="O37" s="111"/>
      <c r="P37" s="112"/>
    </row>
    <row r="38" spans="1:16" ht="14.25" customHeight="1">
      <c r="A38" s="2089" t="s">
        <v>177</v>
      </c>
      <c r="B38" s="2090"/>
      <c r="C38" s="2090"/>
      <c r="D38" s="2090"/>
      <c r="E38" s="2090"/>
      <c r="F38" s="2090"/>
      <c r="G38" s="2091"/>
      <c r="H38" s="120" t="s">
        <v>146</v>
      </c>
      <c r="I38" s="2103">
        <f>Data!H179</f>
        <v>1.0249999999999999</v>
      </c>
      <c r="J38" s="2102"/>
      <c r="K38" s="126"/>
      <c r="L38" s="112"/>
      <c r="M38" s="2078">
        <f>Data!N179</f>
        <v>1.0249999999999999</v>
      </c>
      <c r="N38" s="2079"/>
      <c r="O38" s="111"/>
      <c r="P38" s="112"/>
    </row>
    <row r="39" spans="1:16" ht="14.25" customHeight="1">
      <c r="A39" s="2089" t="s">
        <v>178</v>
      </c>
      <c r="B39" s="2090"/>
      <c r="C39" s="2090"/>
      <c r="D39" s="2090"/>
      <c r="E39" s="2090"/>
      <c r="F39" s="2090"/>
      <c r="G39" s="2091"/>
      <c r="H39" s="129" t="s">
        <v>44</v>
      </c>
      <c r="I39" s="2103">
        <f>(I38/Data!K62-1)*Data!H177</f>
        <v>0</v>
      </c>
      <c r="J39" s="2102"/>
      <c r="K39" s="130"/>
      <c r="L39" s="112"/>
      <c r="M39" s="2099">
        <f>(M38/Data!K62-1)*Data!M170</f>
        <v>0</v>
      </c>
      <c r="N39" s="2100"/>
      <c r="O39" s="113"/>
      <c r="P39" s="112"/>
    </row>
    <row r="40" spans="1:16" ht="14.25" customHeight="1">
      <c r="A40" s="2064" t="s">
        <v>179</v>
      </c>
      <c r="B40" s="2104"/>
      <c r="C40" s="2104"/>
      <c r="D40" s="2104"/>
      <c r="E40" s="2104"/>
      <c r="F40" s="2104"/>
      <c r="G40" s="2105"/>
      <c r="H40" s="117"/>
      <c r="I40" s="132"/>
      <c r="J40" s="124"/>
      <c r="K40" s="124"/>
      <c r="L40" s="119"/>
      <c r="M40" s="2108"/>
      <c r="N40" s="2109"/>
      <c r="O40" s="125"/>
      <c r="P40" s="119"/>
    </row>
    <row r="41" spans="1:16" ht="14.25" customHeight="1">
      <c r="A41" s="133" t="s">
        <v>180</v>
      </c>
      <c r="B41" s="134"/>
      <c r="C41" s="134"/>
      <c r="D41" s="134"/>
      <c r="E41" s="134"/>
      <c r="F41" s="134"/>
      <c r="G41" s="135"/>
      <c r="H41" s="120" t="s">
        <v>44</v>
      </c>
      <c r="I41" s="2103">
        <f>Data!J124</f>
        <v>126.075</v>
      </c>
      <c r="J41" s="2102"/>
      <c r="K41" s="126"/>
      <c r="L41" s="112"/>
      <c r="M41" s="2078">
        <f>Data!R124</f>
        <v>0</v>
      </c>
      <c r="N41" s="2079"/>
      <c r="O41" s="111"/>
      <c r="P41" s="112"/>
    </row>
    <row r="42" spans="1:16" ht="14.25" customHeight="1">
      <c r="A42" s="133" t="s">
        <v>181</v>
      </c>
      <c r="B42" s="134"/>
      <c r="C42" s="134"/>
      <c r="D42" s="134"/>
      <c r="E42" s="134"/>
      <c r="F42" s="134"/>
      <c r="G42" s="135"/>
      <c r="H42" s="120" t="s">
        <v>44</v>
      </c>
      <c r="I42" s="2103">
        <f>Data!J132</f>
        <v>12</v>
      </c>
      <c r="J42" s="2102"/>
      <c r="K42" s="126"/>
      <c r="L42" s="112"/>
      <c r="M42" s="2078">
        <f>Data!R132</f>
        <v>11</v>
      </c>
      <c r="N42" s="2079"/>
      <c r="O42" s="126"/>
      <c r="P42" s="112"/>
    </row>
    <row r="43" spans="1:16" ht="14.25" customHeight="1">
      <c r="A43" s="133" t="s">
        <v>182</v>
      </c>
      <c r="B43" s="134"/>
      <c r="C43" s="134"/>
      <c r="D43" s="134"/>
      <c r="E43" s="134"/>
      <c r="F43" s="134"/>
      <c r="G43" s="135"/>
      <c r="H43" s="120" t="s">
        <v>44</v>
      </c>
      <c r="I43" s="2103">
        <f>Data!H138</f>
        <v>34</v>
      </c>
      <c r="J43" s="2102"/>
      <c r="K43" s="126"/>
      <c r="L43" s="112"/>
      <c r="M43" s="2078">
        <f>Data!N138</f>
        <v>34</v>
      </c>
      <c r="N43" s="2079"/>
      <c r="O43" s="111"/>
      <c r="P43" s="112"/>
    </row>
    <row r="44" spans="1:16" ht="14.25" customHeight="1">
      <c r="A44" s="133" t="s">
        <v>25</v>
      </c>
      <c r="B44" s="134"/>
      <c r="C44" s="134"/>
      <c r="D44" s="134"/>
      <c r="E44" s="134"/>
      <c r="F44" s="134"/>
      <c r="G44" s="135"/>
      <c r="H44" s="120" t="s">
        <v>44</v>
      </c>
      <c r="I44" s="2103">
        <f>Data!H140</f>
        <v>2</v>
      </c>
      <c r="J44" s="2102"/>
      <c r="K44" s="126"/>
      <c r="L44" s="112"/>
      <c r="M44" s="2078">
        <f>Data!N140</f>
        <v>1</v>
      </c>
      <c r="N44" s="2079"/>
      <c r="O44" s="111"/>
      <c r="P44" s="112"/>
    </row>
    <row r="45" spans="1:16" ht="14.25" customHeight="1">
      <c r="A45" s="133" t="s">
        <v>183</v>
      </c>
      <c r="B45" s="134"/>
      <c r="C45" s="134" t="str">
        <f>IF([6]Données!D141="","",[6]Données!D141)</f>
        <v/>
      </c>
      <c r="D45" s="134"/>
      <c r="E45" s="134"/>
      <c r="F45" s="134"/>
      <c r="G45" s="135"/>
      <c r="H45" s="120" t="s">
        <v>44</v>
      </c>
      <c r="I45" s="2103">
        <f>Data!H141</f>
        <v>1</v>
      </c>
      <c r="J45" s="2102"/>
      <c r="K45" s="126"/>
      <c r="L45" s="112"/>
      <c r="M45" s="2078">
        <f>Data!N141</f>
        <v>1</v>
      </c>
      <c r="N45" s="2079"/>
      <c r="O45" s="111"/>
      <c r="P45" s="112"/>
    </row>
    <row r="46" spans="1:16" ht="14.25" customHeight="1">
      <c r="A46" s="133" t="s">
        <v>82</v>
      </c>
      <c r="B46" s="134"/>
      <c r="C46" s="134"/>
      <c r="D46" s="134"/>
      <c r="E46" s="134"/>
      <c r="F46" s="134"/>
      <c r="G46" s="135"/>
      <c r="H46" s="120" t="s">
        <v>44</v>
      </c>
      <c r="I46" s="2103">
        <f>Data!H144</f>
        <v>175.07499999999999</v>
      </c>
      <c r="J46" s="2102"/>
      <c r="K46" s="126"/>
      <c r="L46" s="112"/>
      <c r="M46" s="2078">
        <f>Data!N144</f>
        <v>47</v>
      </c>
      <c r="N46" s="2079"/>
      <c r="O46" s="111"/>
      <c r="P46" s="112"/>
    </row>
    <row r="47" spans="1:16" ht="14.25" customHeight="1">
      <c r="A47" s="2111" t="s">
        <v>184</v>
      </c>
      <c r="B47" s="2112"/>
      <c r="C47" s="2112"/>
      <c r="D47" s="2112"/>
      <c r="E47" s="2112"/>
      <c r="F47" s="2112"/>
      <c r="G47" s="2113"/>
      <c r="H47" s="129" t="s">
        <v>44</v>
      </c>
      <c r="I47" s="2114">
        <f>Data!H184</f>
        <v>11859.119999999999</v>
      </c>
      <c r="J47" s="2115"/>
      <c r="K47" s="130"/>
      <c r="L47" s="114"/>
      <c r="M47" s="2099">
        <f>Data!M184</f>
        <v>3242.779</v>
      </c>
      <c r="N47" s="2100"/>
      <c r="O47" s="113"/>
      <c r="P47" s="114"/>
    </row>
    <row r="48" spans="1:16" ht="8.25" customHeight="1">
      <c r="A48" s="2129"/>
      <c r="B48" s="2129"/>
      <c r="C48" s="2129"/>
      <c r="D48" s="2129"/>
      <c r="E48" s="2129"/>
      <c r="F48" s="2129"/>
      <c r="G48" s="2129"/>
      <c r="H48" s="2130"/>
      <c r="I48" s="2130"/>
      <c r="J48" s="2130"/>
      <c r="K48" s="2130"/>
      <c r="M48" s="2130"/>
      <c r="N48" s="2130"/>
      <c r="O48" s="2130"/>
      <c r="P48" s="2130"/>
    </row>
    <row r="49" spans="1:24" ht="14.25" customHeight="1">
      <c r="A49" s="2118" t="str">
        <f>IF(H49="","Total Cargo Un/loaded",IF(I47-M47&lt;0,"Total Cargo Loaded","Total Cargo Discharged"))</f>
        <v>Total Cargo Discharged</v>
      </c>
      <c r="B49" s="2119"/>
      <c r="C49" s="2119"/>
      <c r="D49" s="2119"/>
      <c r="E49" s="2119"/>
      <c r="F49" s="2119"/>
      <c r="G49" s="2120"/>
      <c r="H49" s="2124">
        <f>IF(M47="","",ROUND(+ABS(I47-M47),3))</f>
        <v>8616.3410000000003</v>
      </c>
      <c r="I49" s="2124"/>
      <c r="J49" s="2124"/>
      <c r="K49" s="2126" t="str">
        <f>IF(H49="","","MT")</f>
        <v>MT</v>
      </c>
      <c r="N49" s="136" t="s">
        <v>185</v>
      </c>
      <c r="O49" s="2128">
        <f>Data!G32</f>
        <v>56</v>
      </c>
      <c r="P49" s="2128"/>
    </row>
    <row r="50" spans="1:24" ht="14.25" customHeight="1">
      <c r="A50" s="2121"/>
      <c r="B50" s="2122"/>
      <c r="C50" s="2122"/>
      <c r="D50" s="2122"/>
      <c r="E50" s="2122"/>
      <c r="F50" s="2122"/>
      <c r="G50" s="2123"/>
      <c r="H50" s="2125"/>
      <c r="I50" s="2125"/>
      <c r="J50" s="2125"/>
      <c r="K50" s="2127"/>
      <c r="N50" s="136" t="s">
        <v>186</v>
      </c>
      <c r="O50" s="2128">
        <f>Data!S187</f>
        <v>-11.021000000000186</v>
      </c>
      <c r="P50" s="2128"/>
    </row>
    <row r="51" spans="1:24" ht="9" customHeight="1"/>
    <row r="52" spans="1:24" s="97" customFormat="1" ht="13.5" customHeight="1">
      <c r="D52" s="98" t="s">
        <v>636</v>
      </c>
      <c r="F52" s="99"/>
      <c r="G52" s="99"/>
      <c r="H52" s="100"/>
      <c r="L52" s="100"/>
      <c r="M52" s="100"/>
      <c r="N52" s="100"/>
      <c r="O52" s="100"/>
      <c r="P52" s="98" t="s">
        <v>151</v>
      </c>
      <c r="Q52" s="100"/>
    </row>
    <row r="53" spans="1:24" s="97" customFormat="1" ht="9" customHeight="1"/>
    <row r="54" spans="1:24" s="97" customFormat="1" ht="9" customHeight="1"/>
    <row r="55" spans="1:24" s="97" customFormat="1" ht="9" customHeight="1"/>
    <row r="56" spans="1:24" s="97" customFormat="1" ht="9" customHeight="1"/>
    <row r="57" spans="1:24" s="97" customFormat="1" ht="9" customHeight="1"/>
    <row r="58" spans="1:24" ht="11.25" customHeight="1">
      <c r="A58" s="109"/>
      <c r="E58" s="103"/>
      <c r="F58" s="103"/>
      <c r="G58" s="99"/>
      <c r="H58" s="99"/>
    </row>
    <row r="59" spans="1:24" ht="11.25" customHeight="1">
      <c r="C59" s="105"/>
      <c r="D59" s="137"/>
    </row>
    <row r="60" spans="1:24" ht="9.75" customHeight="1">
      <c r="A60" s="104"/>
      <c r="F60" s="104"/>
      <c r="L60" s="105"/>
      <c r="M60" s="104"/>
      <c r="P60" s="106"/>
      <c r="Q60" s="104"/>
      <c r="R60" s="104"/>
      <c r="S60" s="104"/>
      <c r="T60" s="104"/>
      <c r="U60" s="104"/>
      <c r="V60" s="104"/>
      <c r="W60" s="104"/>
      <c r="X60" s="104"/>
    </row>
    <row r="61" spans="1:24" ht="8.25" customHeight="1">
      <c r="A61" s="104"/>
      <c r="C61" s="107"/>
      <c r="D61" s="107"/>
      <c r="E61" s="104"/>
      <c r="M61" s="106"/>
      <c r="P61" s="104"/>
      <c r="Q61" s="104"/>
      <c r="R61" s="104"/>
      <c r="S61" s="104"/>
      <c r="T61" s="104"/>
      <c r="U61" s="104"/>
      <c r="V61" s="104"/>
      <c r="W61" s="104"/>
      <c r="X61" s="104"/>
    </row>
  </sheetData>
  <sheetProtection algorithmName="SHA-512" hashValue="aab7q4lTywGJivu1oKlndsyLVixXm93ttLnnmzD/XjQ2i4omRMgIF9rGTqW+vx72taYPPbMHtkRkIUmEEdVqeg==" saltValue="rR9cUlrSyUMrkfDyZryNTw==" spinCount="100000" sheet="1" objects="1" scenarios="1"/>
  <protectedRanges>
    <protectedRange password="E509" sqref="H3:H4 H6:H7" name="Plage1_2"/>
    <protectedRange password="E509" sqref="H5" name="Plage1_3"/>
    <protectedRange password="E509" sqref="D10 A9:C10 N11 E9:E10 G10:P10 R10:V10" name="Plage1"/>
    <protectedRange password="E509" sqref="D54:D57 E53:E57 T54:T57 C53:C57 D52 A52:B57 U52:X57 O52:Q52 O53:S57 F52:H57 I54:K57 L52:N57" name="Plage1_1"/>
    <protectedRange password="E509" sqref="M3:P4 O5:P5 K3:K7 N6:O7" name="Plage1_1_2"/>
  </protectedRanges>
  <mergeCells count="119">
    <mergeCell ref="A49:G50"/>
    <mergeCell ref="H49:J50"/>
    <mergeCell ref="K49:K50"/>
    <mergeCell ref="O49:P49"/>
    <mergeCell ref="O50:P50"/>
    <mergeCell ref="I46:J46"/>
    <mergeCell ref="M46:N46"/>
    <mergeCell ref="A47:G47"/>
    <mergeCell ref="I47:J47"/>
    <mergeCell ref="M47:N47"/>
    <mergeCell ref="A48:G48"/>
    <mergeCell ref="H48:K48"/>
    <mergeCell ref="M48:P48"/>
    <mergeCell ref="I43:J43"/>
    <mergeCell ref="M43:N43"/>
    <mergeCell ref="I44:J44"/>
    <mergeCell ref="M44:N44"/>
    <mergeCell ref="I45:J45"/>
    <mergeCell ref="M45:N45"/>
    <mergeCell ref="A40:G40"/>
    <mergeCell ref="M40:N40"/>
    <mergeCell ref="I41:J41"/>
    <mergeCell ref="M41:N41"/>
    <mergeCell ref="I42:J42"/>
    <mergeCell ref="M42:N42"/>
    <mergeCell ref="A38:G38"/>
    <mergeCell ref="I38:J38"/>
    <mergeCell ref="M38:N38"/>
    <mergeCell ref="A39:G39"/>
    <mergeCell ref="I39:J39"/>
    <mergeCell ref="M39:N39"/>
    <mergeCell ref="A36:G36"/>
    <mergeCell ref="I36:J36"/>
    <mergeCell ref="M36:N36"/>
    <mergeCell ref="A37:G37"/>
    <mergeCell ref="I37:J37"/>
    <mergeCell ref="M37:N37"/>
    <mergeCell ref="A34:G34"/>
    <mergeCell ref="I34:J34"/>
    <mergeCell ref="M34:N34"/>
    <mergeCell ref="A35:G35"/>
    <mergeCell ref="I35:J35"/>
    <mergeCell ref="M35:N35"/>
    <mergeCell ref="A32:G32"/>
    <mergeCell ref="I32:J32"/>
    <mergeCell ref="M32:N32"/>
    <mergeCell ref="A33:G33"/>
    <mergeCell ref="I33:J33"/>
    <mergeCell ref="M33:N33"/>
    <mergeCell ref="A30:G30"/>
    <mergeCell ref="I30:J30"/>
    <mergeCell ref="M30:N30"/>
    <mergeCell ref="A31:G31"/>
    <mergeCell ref="I31:J31"/>
    <mergeCell ref="M31:N31"/>
    <mergeCell ref="A28:G28"/>
    <mergeCell ref="I28:J28"/>
    <mergeCell ref="M28:N28"/>
    <mergeCell ref="A29:G29"/>
    <mergeCell ref="I29:J29"/>
    <mergeCell ref="M29:N29"/>
    <mergeCell ref="A26:G26"/>
    <mergeCell ref="I26:J26"/>
    <mergeCell ref="M26:N26"/>
    <mergeCell ref="A27:G27"/>
    <mergeCell ref="I27:J27"/>
    <mergeCell ref="M27:N27"/>
    <mergeCell ref="A24:G24"/>
    <mergeCell ref="I24:J24"/>
    <mergeCell ref="M24:N24"/>
    <mergeCell ref="A25:G25"/>
    <mergeCell ref="I25:J25"/>
    <mergeCell ref="M25:N25"/>
    <mergeCell ref="A22:G22"/>
    <mergeCell ref="I22:J22"/>
    <mergeCell ref="M22:N22"/>
    <mergeCell ref="A23:G23"/>
    <mergeCell ref="I23:J23"/>
    <mergeCell ref="M23:N23"/>
    <mergeCell ref="A20:G20"/>
    <mergeCell ref="I20:J20"/>
    <mergeCell ref="M20:N20"/>
    <mergeCell ref="A21:G21"/>
    <mergeCell ref="I21:J21"/>
    <mergeCell ref="M21:N21"/>
    <mergeCell ref="A18:G18"/>
    <mergeCell ref="I18:J18"/>
    <mergeCell ref="M18:N18"/>
    <mergeCell ref="A19:G19"/>
    <mergeCell ref="I19:J19"/>
    <mergeCell ref="M19:N19"/>
    <mergeCell ref="A16:G16"/>
    <mergeCell ref="I16:J16"/>
    <mergeCell ref="M16:N16"/>
    <mergeCell ref="A17:G17"/>
    <mergeCell ref="I17:J17"/>
    <mergeCell ref="M17:N17"/>
    <mergeCell ref="A15:G15"/>
    <mergeCell ref="I15:J15"/>
    <mergeCell ref="M15:N15"/>
    <mergeCell ref="H6:J6"/>
    <mergeCell ref="H7:J7"/>
    <mergeCell ref="E10:M10"/>
    <mergeCell ref="E11:M11"/>
    <mergeCell ref="I13:L13"/>
    <mergeCell ref="M13:P13"/>
    <mergeCell ref="K6:Q6"/>
    <mergeCell ref="K7:Q7"/>
    <mergeCell ref="H3:J3"/>
    <mergeCell ref="H4:J4"/>
    <mergeCell ref="H5:J5"/>
    <mergeCell ref="K5:L5"/>
    <mergeCell ref="M5:N5"/>
    <mergeCell ref="A14:G14"/>
    <mergeCell ref="I14:J14"/>
    <mergeCell ref="M14:N14"/>
    <mergeCell ref="K3:Q3"/>
    <mergeCell ref="K4:Q4"/>
    <mergeCell ref="O5:Q5"/>
  </mergeCells>
  <printOptions horizontalCentered="1" verticalCentered="1"/>
  <pageMargins left="0" right="0" top="0.15748031496062992" bottom="0" header="0" footer="0"/>
  <pageSetup paperSize="9" scale="9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57BAF-3B2A-4327-B3A7-B778DC4AB166}">
  <sheetPr codeName="Feuil11"/>
  <dimension ref="A1:Z72"/>
  <sheetViews>
    <sheetView showGridLines="0" showRowColHeaders="0" zoomScale="85" zoomScaleNormal="85" workbookViewId="0">
      <selection activeCell="AG19" sqref="AG19"/>
    </sheetView>
  </sheetViews>
  <sheetFormatPr baseColWidth="10" defaultColWidth="11.453125" defaultRowHeight="14.5"/>
  <cols>
    <col min="1" max="3" width="4.1796875" style="87" customWidth="1"/>
    <col min="4" max="5" width="4.7265625" style="87" customWidth="1"/>
    <col min="6" max="7" width="5.453125" style="87" customWidth="1"/>
    <col min="8" max="9" width="4.7265625" style="87" customWidth="1"/>
    <col min="10" max="11" width="5.453125" style="87" customWidth="1"/>
    <col min="12" max="14" width="4.1796875" style="87" customWidth="1"/>
    <col min="15" max="16" width="4.7265625" style="87" customWidth="1"/>
    <col min="17" max="18" width="5.453125" style="87" customWidth="1"/>
    <col min="19" max="20" width="4.7265625" style="87" customWidth="1"/>
    <col min="21" max="22" width="5.453125" style="87" customWidth="1"/>
    <col min="23" max="23" width="2.7265625" style="87" customWidth="1"/>
    <col min="24" max="62" width="4.453125" style="87" customWidth="1"/>
    <col min="63" max="16384" width="11.453125" style="87"/>
  </cols>
  <sheetData>
    <row r="1" spans="1:26">
      <c r="A1" s="138"/>
      <c r="B1" s="138"/>
      <c r="C1" s="138"/>
      <c r="D1" s="138"/>
      <c r="E1" s="138"/>
      <c r="F1" s="138"/>
      <c r="G1" s="138"/>
      <c r="H1" s="138"/>
      <c r="I1" s="138"/>
      <c r="J1" s="138"/>
      <c r="K1" s="138"/>
      <c r="L1" s="138"/>
      <c r="M1" s="138"/>
      <c r="N1" s="138"/>
      <c r="O1" s="138"/>
      <c r="P1" s="138"/>
      <c r="Q1" s="138"/>
      <c r="R1" s="138"/>
      <c r="S1" s="138"/>
      <c r="T1" s="138"/>
      <c r="U1" s="138"/>
      <c r="V1" s="138"/>
      <c r="W1" s="138"/>
      <c r="Z1" s="170"/>
    </row>
    <row r="2" spans="1:26">
      <c r="A2" s="138"/>
      <c r="B2" s="138"/>
      <c r="C2" s="138"/>
      <c r="D2" s="138"/>
      <c r="E2" s="138"/>
      <c r="F2" s="138"/>
      <c r="G2" s="138"/>
      <c r="H2" s="138"/>
      <c r="I2" s="138"/>
      <c r="J2" s="138"/>
      <c r="K2" s="138"/>
      <c r="L2" s="138"/>
      <c r="M2" s="138"/>
      <c r="N2" s="138"/>
      <c r="O2" s="138"/>
      <c r="P2" s="2131"/>
      <c r="Q2" s="2131"/>
      <c r="R2" s="2131"/>
      <c r="S2" s="2131"/>
      <c r="T2" s="139"/>
      <c r="U2" s="2132"/>
      <c r="V2" s="2132"/>
      <c r="W2" s="140"/>
    </row>
    <row r="3" spans="1:26">
      <c r="A3" s="138"/>
      <c r="B3" s="138"/>
      <c r="C3" s="138"/>
      <c r="D3" s="138"/>
      <c r="E3" s="138"/>
      <c r="F3" s="138"/>
      <c r="G3" s="138"/>
      <c r="H3" s="138"/>
      <c r="I3" s="138"/>
      <c r="J3" s="138"/>
      <c r="K3" s="138"/>
      <c r="L3" s="138"/>
      <c r="M3" s="138"/>
      <c r="N3" s="138"/>
      <c r="O3" s="138"/>
      <c r="P3" s="138"/>
      <c r="Q3" s="138"/>
      <c r="R3" s="138"/>
      <c r="S3" s="138"/>
      <c r="T3" s="138"/>
      <c r="U3" s="138"/>
      <c r="V3" s="138"/>
      <c r="W3" s="138"/>
    </row>
    <row r="4" spans="1:26" ht="13.5" customHeight="1">
      <c r="A4" s="138"/>
      <c r="B4" s="138"/>
      <c r="C4" s="138"/>
      <c r="D4" s="138"/>
      <c r="E4" s="138"/>
      <c r="F4" s="138"/>
      <c r="G4" s="138"/>
      <c r="H4" s="138"/>
      <c r="I4" s="138"/>
      <c r="J4" s="138"/>
      <c r="K4" s="2133" t="str">
        <f>[6]Données!B6</f>
        <v xml:space="preserve">Vessel </v>
      </c>
      <c r="L4" s="2134"/>
      <c r="M4" s="2134"/>
      <c r="N4" s="2135"/>
      <c r="O4" s="2136" t="str">
        <f>Data!F6</f>
        <v>BBC BALBOA</v>
      </c>
      <c r="P4" s="2136"/>
      <c r="Q4" s="2136"/>
      <c r="R4" s="2136"/>
      <c r="S4" s="2136"/>
      <c r="T4" s="2136"/>
      <c r="U4" s="2136"/>
      <c r="V4" s="2137"/>
      <c r="W4" s="138"/>
    </row>
    <row r="5" spans="1:26" ht="13.5" customHeight="1">
      <c r="A5" s="138"/>
      <c r="B5" s="138"/>
      <c r="C5" s="138"/>
      <c r="D5" s="138"/>
      <c r="E5" s="138"/>
      <c r="F5" s="138"/>
      <c r="G5" s="138"/>
      <c r="H5" s="138"/>
      <c r="I5" s="138"/>
      <c r="J5" s="138"/>
      <c r="K5" s="2138" t="str">
        <f>[6]Données!B8</f>
        <v>Cargo</v>
      </c>
      <c r="L5" s="2139"/>
      <c r="M5" s="2139"/>
      <c r="N5" s="2140"/>
      <c r="O5" s="2141" t="str">
        <f>Data!F8</f>
        <v>SHREDDED TYRES</v>
      </c>
      <c r="P5" s="2142"/>
      <c r="Q5" s="2142"/>
      <c r="R5" s="2142"/>
      <c r="S5" s="2142"/>
      <c r="T5" s="2142"/>
      <c r="U5" s="2142"/>
      <c r="V5" s="2143"/>
      <c r="W5" s="138"/>
    </row>
    <row r="6" spans="1:26" ht="13.5" customHeight="1">
      <c r="A6" s="138"/>
      <c r="B6" s="138"/>
      <c r="C6" s="138"/>
      <c r="D6" s="138"/>
      <c r="E6" s="138"/>
      <c r="F6" s="138"/>
      <c r="G6" s="138"/>
      <c r="H6" s="138"/>
      <c r="I6" s="138"/>
      <c r="J6" s="138"/>
      <c r="K6" s="2138" t="s">
        <v>120</v>
      </c>
      <c r="L6" s="2139"/>
      <c r="M6" s="2139"/>
      <c r="N6" s="2140"/>
      <c r="O6" s="2157">
        <f>Data!F16</f>
        <v>6315.79</v>
      </c>
      <c r="P6" s="2142"/>
      <c r="Q6" s="2142"/>
      <c r="R6" s="2158" t="str">
        <f>IF(O6="","","MT  Dated")</f>
        <v>MT  Dated</v>
      </c>
      <c r="S6" s="2158"/>
      <c r="T6" s="2159">
        <f>Data!F18</f>
        <v>44709</v>
      </c>
      <c r="U6" s="2159"/>
      <c r="V6" s="2160"/>
      <c r="W6" s="138"/>
    </row>
    <row r="7" spans="1:26" ht="13.5" customHeight="1">
      <c r="A7" s="138"/>
      <c r="B7" s="138"/>
      <c r="C7" s="138"/>
      <c r="D7" s="138"/>
      <c r="E7" s="138"/>
      <c r="F7" s="138"/>
      <c r="G7" s="141"/>
      <c r="H7" s="138"/>
      <c r="I7" s="138"/>
      <c r="J7" s="142"/>
      <c r="K7" s="2138" t="str">
        <f>[6]Données!B12</f>
        <v>Port of Loading</v>
      </c>
      <c r="L7" s="2139"/>
      <c r="M7" s="2139"/>
      <c r="N7" s="2140"/>
      <c r="O7" s="2141" t="str">
        <f>Data!F12</f>
        <v>SKJERKOYA  NORWAY</v>
      </c>
      <c r="P7" s="2142"/>
      <c r="Q7" s="2142"/>
      <c r="R7" s="2142"/>
      <c r="S7" s="2142"/>
      <c r="T7" s="2142"/>
      <c r="U7" s="2142"/>
      <c r="V7" s="2143"/>
      <c r="W7" s="138"/>
    </row>
    <row r="8" spans="1:26" ht="13.5" customHeight="1">
      <c r="A8" s="138"/>
      <c r="B8" s="138"/>
      <c r="C8" s="138"/>
      <c r="D8" s="138"/>
      <c r="E8" s="138"/>
      <c r="F8" s="138"/>
      <c r="G8" s="141"/>
      <c r="H8" s="138"/>
      <c r="I8" s="138"/>
      <c r="J8" s="142"/>
      <c r="K8" s="2144" t="str">
        <f>[6]Données!B14</f>
        <v>Port of Discharge</v>
      </c>
      <c r="L8" s="2145"/>
      <c r="M8" s="2145"/>
      <c r="N8" s="2146"/>
      <c r="O8" s="2147" t="str">
        <f>Data!F10</f>
        <v>CASABLANCA</v>
      </c>
      <c r="P8" s="2148"/>
      <c r="Q8" s="2148"/>
      <c r="R8" s="2148"/>
      <c r="S8" s="2148"/>
      <c r="T8" s="2148"/>
      <c r="U8" s="2148"/>
      <c r="V8" s="2149"/>
      <c r="W8" s="138"/>
    </row>
    <row r="9" spans="1:26" ht="12" customHeight="1">
      <c r="A9" s="138"/>
      <c r="B9" s="138"/>
      <c r="C9" s="138"/>
      <c r="D9" s="138"/>
      <c r="E9" s="138"/>
      <c r="F9" s="138"/>
      <c r="G9" s="141"/>
      <c r="H9" s="138"/>
      <c r="I9" s="138"/>
      <c r="J9" s="142"/>
      <c r="K9" s="142"/>
      <c r="L9" s="142"/>
      <c r="M9" s="138"/>
      <c r="N9" s="138"/>
      <c r="O9" s="138"/>
      <c r="P9" s="138"/>
      <c r="Q9" s="138"/>
      <c r="R9" s="138"/>
      <c r="S9" s="138"/>
      <c r="T9" s="138"/>
      <c r="U9" s="138"/>
      <c r="V9" s="138"/>
      <c r="W9" s="138"/>
    </row>
    <row r="10" spans="1:26" ht="19.5" customHeight="1">
      <c r="A10" s="138"/>
      <c r="B10" s="138"/>
      <c r="C10" s="138"/>
      <c r="D10" s="138"/>
      <c r="E10" s="138"/>
      <c r="F10" s="138"/>
      <c r="G10" s="138"/>
      <c r="H10" s="2150" t="s">
        <v>153</v>
      </c>
      <c r="I10" s="2150"/>
      <c r="J10" s="2150"/>
      <c r="K10" s="2150"/>
      <c r="L10" s="2150"/>
      <c r="M10" s="2150"/>
      <c r="N10" s="2150"/>
      <c r="O10" s="2150"/>
      <c r="P10" s="2150"/>
      <c r="Q10" s="138"/>
      <c r="R10" s="138"/>
      <c r="S10" s="138"/>
      <c r="T10" s="138"/>
      <c r="U10" s="138"/>
      <c r="V10" s="143" t="s">
        <v>187</v>
      </c>
      <c r="W10" s="138"/>
    </row>
    <row r="11" spans="1:26" ht="17.25" customHeight="1">
      <c r="A11" s="144"/>
      <c r="B11" s="138"/>
      <c r="C11" s="138"/>
      <c r="D11" s="138"/>
      <c r="E11" s="138"/>
      <c r="F11" s="138"/>
      <c r="G11" s="138"/>
      <c r="H11" s="2151" t="s">
        <v>188</v>
      </c>
      <c r="I11" s="2151"/>
      <c r="J11" s="2151"/>
      <c r="K11" s="2151"/>
      <c r="L11" s="2151"/>
      <c r="M11" s="2151"/>
      <c r="N11" s="2151"/>
      <c r="O11" s="2151"/>
      <c r="P11" s="2151"/>
      <c r="Q11" s="138"/>
      <c r="R11" s="138"/>
      <c r="S11" s="138"/>
      <c r="T11" s="138"/>
      <c r="U11" s="138"/>
      <c r="V11" s="138"/>
      <c r="W11" s="138"/>
    </row>
    <row r="12" spans="1:26" ht="8.25" customHeight="1" thickBot="1">
      <c r="A12" s="138"/>
      <c r="B12" s="145"/>
      <c r="C12" s="138"/>
      <c r="D12" s="138"/>
      <c r="E12" s="138"/>
      <c r="F12" s="138"/>
      <c r="G12" s="138"/>
      <c r="H12" s="138"/>
      <c r="I12" s="138"/>
      <c r="J12" s="138"/>
      <c r="K12" s="138"/>
      <c r="L12" s="138"/>
      <c r="M12" s="138"/>
      <c r="N12" s="138"/>
      <c r="O12" s="138"/>
      <c r="P12" s="138"/>
      <c r="Q12" s="138"/>
      <c r="R12" s="138"/>
      <c r="S12" s="138"/>
      <c r="T12" s="138"/>
      <c r="U12" s="138"/>
      <c r="V12" s="138"/>
      <c r="W12" s="138"/>
    </row>
    <row r="13" spans="1:26" ht="18.75" customHeight="1" thickBot="1">
      <c r="A13" s="2152" t="s">
        <v>189</v>
      </c>
      <c r="B13" s="2153"/>
      <c r="C13" s="2153"/>
      <c r="D13" s="2153"/>
      <c r="E13" s="2153"/>
      <c r="F13" s="2153"/>
      <c r="G13" s="2153"/>
      <c r="H13" s="2153"/>
      <c r="I13" s="2153"/>
      <c r="J13" s="2153"/>
      <c r="K13" s="2154"/>
      <c r="L13" s="2155" t="s">
        <v>190</v>
      </c>
      <c r="M13" s="2153"/>
      <c r="N13" s="2153"/>
      <c r="O13" s="2153"/>
      <c r="P13" s="2153"/>
      <c r="Q13" s="2153"/>
      <c r="R13" s="2153"/>
      <c r="S13" s="2153"/>
      <c r="T13" s="2153"/>
      <c r="U13" s="2153"/>
      <c r="V13" s="2156"/>
      <c r="W13" s="138"/>
    </row>
    <row r="14" spans="1:26" ht="17.25" customHeight="1" thickBot="1">
      <c r="A14" s="146" t="s">
        <v>191</v>
      </c>
      <c r="B14" s="147"/>
      <c r="C14" s="147"/>
      <c r="D14" s="147"/>
      <c r="E14" s="147"/>
      <c r="F14" s="164"/>
      <c r="G14" s="164"/>
      <c r="H14" s="164"/>
      <c r="I14" s="164"/>
      <c r="J14" s="164"/>
      <c r="K14" s="164"/>
      <c r="L14" s="164"/>
      <c r="M14" s="164"/>
      <c r="N14" s="164"/>
      <c r="O14" s="164"/>
      <c r="P14" s="164"/>
      <c r="Q14" s="164"/>
      <c r="R14" s="164"/>
      <c r="S14" s="164"/>
      <c r="T14" s="164"/>
      <c r="U14" s="164"/>
      <c r="V14" s="164"/>
      <c r="W14" s="138"/>
    </row>
    <row r="15" spans="1:26" ht="28.5" customHeight="1">
      <c r="A15" s="2174" t="s">
        <v>14</v>
      </c>
      <c r="B15" s="2175"/>
      <c r="C15" s="2176"/>
      <c r="D15" s="2177" t="s">
        <v>192</v>
      </c>
      <c r="E15" s="2177"/>
      <c r="F15" s="2161" t="s">
        <v>193</v>
      </c>
      <c r="G15" s="2161"/>
      <c r="H15" s="2162" t="s">
        <v>194</v>
      </c>
      <c r="I15" s="2162"/>
      <c r="J15" s="2178" t="s">
        <v>195</v>
      </c>
      <c r="K15" s="2179"/>
      <c r="L15" s="2180" t="s">
        <v>14</v>
      </c>
      <c r="M15" s="2181"/>
      <c r="N15" s="2182"/>
      <c r="O15" s="2161" t="s">
        <v>192</v>
      </c>
      <c r="P15" s="2161"/>
      <c r="Q15" s="2162" t="s">
        <v>193</v>
      </c>
      <c r="R15" s="2162"/>
      <c r="S15" s="2162" t="s">
        <v>194</v>
      </c>
      <c r="T15" s="2162"/>
      <c r="U15" s="2163" t="s">
        <v>196</v>
      </c>
      <c r="V15" s="2164"/>
      <c r="W15" s="138"/>
    </row>
    <row r="16" spans="1:26">
      <c r="A16" s="2165" t="str">
        <f>IF(Data!B94="","",Data!B94)</f>
        <v>FP</v>
      </c>
      <c r="B16" s="2165"/>
      <c r="C16" s="2166"/>
      <c r="D16" s="2167" t="str">
        <f>IF(Data!D94="","",Data!D94)</f>
        <v>FULL</v>
      </c>
      <c r="E16" s="2168"/>
      <c r="F16" s="2169">
        <f>IF(Data!F94="","",Data!F94)</f>
        <v>123</v>
      </c>
      <c r="G16" s="2170"/>
      <c r="H16" s="2171">
        <f>IF(Data!H94="","",Data!H94)</f>
        <v>1.0249999999999999</v>
      </c>
      <c r="I16" s="2172"/>
      <c r="J16" s="2173">
        <f>IF(F16="","",IF(H16="",0,+ROUND(F16*H16,3)))</f>
        <v>126.075</v>
      </c>
      <c r="K16" s="2173"/>
      <c r="L16" s="2165" t="str">
        <f>IF(A16="","",A16)</f>
        <v>FP</v>
      </c>
      <c r="M16" s="2165"/>
      <c r="N16" s="2165"/>
      <c r="O16" s="2183" t="str">
        <f>IF(Data!L94="","",Data!L94)</f>
        <v/>
      </c>
      <c r="P16" s="2183"/>
      <c r="Q16" s="2184" t="str">
        <f>IF(Data!N94="","",Data!N94)</f>
        <v/>
      </c>
      <c r="R16" s="2184"/>
      <c r="S16" s="2185" t="str">
        <f>IF(Data!P94="","",Data!P94)</f>
        <v/>
      </c>
      <c r="T16" s="2185"/>
      <c r="U16" s="2173" t="str">
        <f>IF(Q16="","",IF(S16="",0,+ROUND(Q16*S16,3)))</f>
        <v/>
      </c>
      <c r="V16" s="2173"/>
      <c r="W16" s="138"/>
    </row>
    <row r="17" spans="1:23">
      <c r="A17" s="2193" t="str">
        <f>IF(Data!B95="","",Data!B95)</f>
        <v/>
      </c>
      <c r="B17" s="2193"/>
      <c r="C17" s="2193"/>
      <c r="D17" s="2188" t="str">
        <f>IF(Data!D95="","",Data!D95)</f>
        <v/>
      </c>
      <c r="E17" s="2189"/>
      <c r="F17" s="2188" t="str">
        <f>IF(Data!F95="","",Data!F95)</f>
        <v/>
      </c>
      <c r="G17" s="2189"/>
      <c r="H17" s="2185" t="str">
        <f>IF(Data!H95="","",Data!H95)</f>
        <v/>
      </c>
      <c r="I17" s="2194"/>
      <c r="J17" s="2195" t="str">
        <f>IF(F17="","",IF(H17="",0,+ROUND(F17*H17,3)))</f>
        <v/>
      </c>
      <c r="K17" s="2195"/>
      <c r="L17" s="2187" t="str">
        <f>IF(A17="","",A17)</f>
        <v/>
      </c>
      <c r="M17" s="2187"/>
      <c r="N17" s="2187"/>
      <c r="O17" s="2192" t="str">
        <f>IF(Data!L95="","",Data!L95)</f>
        <v/>
      </c>
      <c r="P17" s="2192"/>
      <c r="Q17" s="2192" t="str">
        <f>IF(Data!N95="","",Data!N95)</f>
        <v/>
      </c>
      <c r="R17" s="2192"/>
      <c r="S17" s="2190" t="str">
        <f>IF(Data!P95="","",Data!P95)</f>
        <v/>
      </c>
      <c r="T17" s="2190"/>
      <c r="U17" s="2186" t="str">
        <f t="shared" ref="U17:U45" si="0">IF(Q17="","",IF(S17="",0,+ROUND(Q17*S17,3)))</f>
        <v/>
      </c>
      <c r="V17" s="2186"/>
      <c r="W17" s="138"/>
    </row>
    <row r="18" spans="1:23">
      <c r="A18" s="2187" t="str">
        <f>IF(Data!B96="","",Data!B96)</f>
        <v/>
      </c>
      <c r="B18" s="2187"/>
      <c r="C18" s="2187"/>
      <c r="D18" s="2188" t="str">
        <f>IF(Data!D96="","",Data!D96)</f>
        <v/>
      </c>
      <c r="E18" s="2189"/>
      <c r="F18" s="2188" t="str">
        <f>IF(Data!F96="","",Data!F96)</f>
        <v/>
      </c>
      <c r="G18" s="2189"/>
      <c r="H18" s="2190" t="str">
        <f>IF(Data!H96="","",Data!H96)</f>
        <v/>
      </c>
      <c r="I18" s="2191"/>
      <c r="J18" s="2186" t="str">
        <f>IF(F18="","",IF(H18="",0,+ROUND(F18*H18,3)))</f>
        <v/>
      </c>
      <c r="K18" s="2186"/>
      <c r="L18" s="2187" t="str">
        <f t="shared" ref="L18:L23" si="1">IF(A18="","",A18)</f>
        <v/>
      </c>
      <c r="M18" s="2187"/>
      <c r="N18" s="2187"/>
      <c r="O18" s="2192" t="str">
        <f>IF(Data!L96="","",Data!L96)</f>
        <v/>
      </c>
      <c r="P18" s="2192"/>
      <c r="Q18" s="2192"/>
      <c r="R18" s="2192"/>
      <c r="S18" s="2190" t="str">
        <f>IF(Data!P96="","",Data!P96)</f>
        <v/>
      </c>
      <c r="T18" s="2190"/>
      <c r="U18" s="2186" t="str">
        <f t="shared" si="0"/>
        <v/>
      </c>
      <c r="V18" s="2186"/>
      <c r="W18" s="138"/>
    </row>
    <row r="19" spans="1:23">
      <c r="A19" s="2187" t="str">
        <f>IF(Data!B97="","",Data!B97)</f>
        <v/>
      </c>
      <c r="B19" s="2187"/>
      <c r="C19" s="2187"/>
      <c r="D19" s="2188" t="str">
        <f>IF(Data!D97="","",Data!D97)</f>
        <v/>
      </c>
      <c r="E19" s="2189"/>
      <c r="F19" s="2188" t="str">
        <f>IF(Data!F97="","",Data!F97)</f>
        <v/>
      </c>
      <c r="G19" s="2189"/>
      <c r="H19" s="2190" t="str">
        <f>IF(Data!H97="","",Data!H97)</f>
        <v/>
      </c>
      <c r="I19" s="2191"/>
      <c r="J19" s="2186" t="str">
        <f t="shared" ref="J19:J30" si="2">IF(F19="","",IF(H19="",0,+ROUND(F19*H19,3)))</f>
        <v/>
      </c>
      <c r="K19" s="2186"/>
      <c r="L19" s="2187" t="str">
        <f t="shared" si="1"/>
        <v/>
      </c>
      <c r="M19" s="2187"/>
      <c r="N19" s="2187"/>
      <c r="O19" s="2192" t="str">
        <f>IF(Data!L97="","",Data!L97)</f>
        <v/>
      </c>
      <c r="P19" s="2192"/>
      <c r="Q19" s="2192" t="str">
        <f>IF(Data!N97="","",Data!N97)</f>
        <v/>
      </c>
      <c r="R19" s="2192"/>
      <c r="S19" s="2190" t="str">
        <f>IF(Data!P97="","",Data!P97)</f>
        <v/>
      </c>
      <c r="T19" s="2190"/>
      <c r="U19" s="2186" t="str">
        <f t="shared" si="0"/>
        <v/>
      </c>
      <c r="V19" s="2186"/>
      <c r="W19" s="138"/>
    </row>
    <row r="20" spans="1:23">
      <c r="A20" s="2187" t="str">
        <f>IF(Data!B98="","",Data!B98)</f>
        <v/>
      </c>
      <c r="B20" s="2187"/>
      <c r="C20" s="2187"/>
      <c r="D20" s="2188" t="str">
        <f>IF(Data!D98="","",Data!D98)</f>
        <v/>
      </c>
      <c r="E20" s="2189"/>
      <c r="F20" s="2188" t="str">
        <f>IF(Data!F98="","",Data!F98)</f>
        <v/>
      </c>
      <c r="G20" s="2189"/>
      <c r="H20" s="2190" t="str">
        <f>IF(Data!H98="","",Data!H98)</f>
        <v/>
      </c>
      <c r="I20" s="2191"/>
      <c r="J20" s="2186" t="str">
        <f t="shared" si="2"/>
        <v/>
      </c>
      <c r="K20" s="2186"/>
      <c r="L20" s="2187" t="str">
        <f t="shared" si="1"/>
        <v/>
      </c>
      <c r="M20" s="2187"/>
      <c r="N20" s="2187"/>
      <c r="O20" s="2192" t="str">
        <f>IF(Data!L98="","",Data!L98)</f>
        <v/>
      </c>
      <c r="P20" s="2192"/>
      <c r="Q20" s="2192" t="str">
        <f>IF(Data!N98="","",Data!N98)</f>
        <v/>
      </c>
      <c r="R20" s="2192"/>
      <c r="S20" s="2190" t="str">
        <f>IF(Data!P98="","",Data!P98)</f>
        <v/>
      </c>
      <c r="T20" s="2190"/>
      <c r="U20" s="2186" t="str">
        <f t="shared" si="0"/>
        <v/>
      </c>
      <c r="V20" s="2186"/>
      <c r="W20" s="138"/>
    </row>
    <row r="21" spans="1:23">
      <c r="A21" s="2187" t="str">
        <f>IF(Data!B99="","",Data!B99)</f>
        <v/>
      </c>
      <c r="B21" s="2187"/>
      <c r="C21" s="2187"/>
      <c r="D21" s="2188" t="str">
        <f>IF(Data!D99="","",Data!D98)</f>
        <v/>
      </c>
      <c r="E21" s="2189"/>
      <c r="F21" s="2188" t="str">
        <f>IF(Data!F99="","",Data!F99)</f>
        <v/>
      </c>
      <c r="G21" s="2189"/>
      <c r="H21" s="2190" t="str">
        <f>IF(Data!H99="","",Data!H99)</f>
        <v/>
      </c>
      <c r="I21" s="2191"/>
      <c r="J21" s="2186" t="str">
        <f t="shared" si="2"/>
        <v/>
      </c>
      <c r="K21" s="2186"/>
      <c r="L21" s="2187" t="str">
        <f t="shared" si="1"/>
        <v/>
      </c>
      <c r="M21" s="2187"/>
      <c r="N21" s="2187"/>
      <c r="O21" s="2192" t="str">
        <f>IF(Data!L99="","",Data!L99)</f>
        <v/>
      </c>
      <c r="P21" s="2192"/>
      <c r="Q21" s="2192" t="str">
        <f>IF(Data!N99="","",Data!N99)</f>
        <v/>
      </c>
      <c r="R21" s="2192"/>
      <c r="S21" s="2190" t="str">
        <f>IF(Data!P99="","",Data!P99)</f>
        <v/>
      </c>
      <c r="T21" s="2190"/>
      <c r="U21" s="2186" t="str">
        <f t="shared" si="0"/>
        <v/>
      </c>
      <c r="V21" s="2186"/>
      <c r="W21" s="138"/>
    </row>
    <row r="22" spans="1:23">
      <c r="A22" s="2187" t="str">
        <f>IF(Data!B100="","",Data!B100)</f>
        <v/>
      </c>
      <c r="B22" s="2187"/>
      <c r="C22" s="2187"/>
      <c r="D22" s="2188" t="str">
        <f>IF(Data!D100="","",Data!D100)</f>
        <v/>
      </c>
      <c r="E22" s="2189"/>
      <c r="F22" s="2188" t="str">
        <f>IF(Data!F100="","",Data!F100)</f>
        <v/>
      </c>
      <c r="G22" s="2189"/>
      <c r="H22" s="2190" t="str">
        <f>IF(Data!H100="","",Data!H100)</f>
        <v/>
      </c>
      <c r="I22" s="2191"/>
      <c r="J22" s="2186" t="str">
        <f t="shared" si="2"/>
        <v/>
      </c>
      <c r="K22" s="2186"/>
      <c r="L22" s="2187" t="str">
        <f t="shared" si="1"/>
        <v/>
      </c>
      <c r="M22" s="2187"/>
      <c r="N22" s="2187"/>
      <c r="O22" s="2192" t="str">
        <f>IF(Data!L100="","",Data!L100)</f>
        <v/>
      </c>
      <c r="P22" s="2192"/>
      <c r="Q22" s="2192" t="str">
        <f>IF(Data!N100="","",Data!N100)</f>
        <v/>
      </c>
      <c r="R22" s="2192"/>
      <c r="S22" s="2190" t="str">
        <f>IF(Data!P100="","",Data!P100)</f>
        <v/>
      </c>
      <c r="T22" s="2190"/>
      <c r="U22" s="2186" t="str">
        <f t="shared" si="0"/>
        <v/>
      </c>
      <c r="V22" s="2186"/>
      <c r="W22" s="138"/>
    </row>
    <row r="23" spans="1:23">
      <c r="A23" s="2187" t="str">
        <f>IF(Data!B101="","",Data!B101)</f>
        <v/>
      </c>
      <c r="B23" s="2187"/>
      <c r="C23" s="2187"/>
      <c r="D23" s="2188" t="str">
        <f>IF(Data!D101="","",Data!D101)</f>
        <v/>
      </c>
      <c r="E23" s="2189"/>
      <c r="F23" s="2188" t="str">
        <f>IF(Data!F101="","",Data!F101)</f>
        <v/>
      </c>
      <c r="G23" s="2189"/>
      <c r="H23" s="2190" t="str">
        <f>IF(Data!H101="","",Data!H101)</f>
        <v/>
      </c>
      <c r="I23" s="2191"/>
      <c r="J23" s="2186" t="str">
        <f t="shared" si="2"/>
        <v/>
      </c>
      <c r="K23" s="2186"/>
      <c r="L23" s="2187" t="str">
        <f t="shared" si="1"/>
        <v/>
      </c>
      <c r="M23" s="2187"/>
      <c r="N23" s="2187"/>
      <c r="O23" s="2192" t="str">
        <f>IF(Data!L101="","",Data!L101)</f>
        <v/>
      </c>
      <c r="P23" s="2192"/>
      <c r="Q23" s="2192" t="str">
        <f>IF(Data!N101="","",Data!N101)</f>
        <v/>
      </c>
      <c r="R23" s="2192"/>
      <c r="S23" s="2190" t="str">
        <f>IF(Data!P101="","",Data!P101)</f>
        <v/>
      </c>
      <c r="T23" s="2190"/>
      <c r="U23" s="2186" t="str">
        <f t="shared" si="0"/>
        <v/>
      </c>
      <c r="V23" s="2186"/>
      <c r="W23" s="138"/>
    </row>
    <row r="24" spans="1:23">
      <c r="A24" s="2187" t="str">
        <f>IF(Data!B102="","",Data!B102)</f>
        <v/>
      </c>
      <c r="B24" s="2187"/>
      <c r="C24" s="2187"/>
      <c r="D24" s="2188" t="str">
        <f>IF(Data!D102="","",Data!D102)</f>
        <v/>
      </c>
      <c r="E24" s="2189"/>
      <c r="F24" s="2188" t="str">
        <f>IF(Data!F102="","",Data!F102)</f>
        <v/>
      </c>
      <c r="G24" s="2189"/>
      <c r="H24" s="2190" t="str">
        <f>IF(Data!H102="","",Data!H102)</f>
        <v/>
      </c>
      <c r="I24" s="2191"/>
      <c r="J24" s="2186" t="str">
        <f t="shared" si="2"/>
        <v/>
      </c>
      <c r="K24" s="2186"/>
      <c r="L24" s="2187" t="str">
        <f t="shared" ref="L24:L45" si="3">IF(A24="","",A24)</f>
        <v/>
      </c>
      <c r="M24" s="2187"/>
      <c r="N24" s="2187"/>
      <c r="O24" s="2192" t="str">
        <f>IF(Data!L102="","",Data!L102)</f>
        <v/>
      </c>
      <c r="P24" s="2192"/>
      <c r="Q24" s="2192" t="str">
        <f>IF(Data!N102="","",Data!N102)</f>
        <v/>
      </c>
      <c r="R24" s="2192"/>
      <c r="S24" s="2190" t="str">
        <f>IF(Data!P102="","",Data!P102)</f>
        <v/>
      </c>
      <c r="T24" s="2190"/>
      <c r="U24" s="2186" t="str">
        <f t="shared" si="0"/>
        <v/>
      </c>
      <c r="V24" s="2186"/>
      <c r="W24" s="138"/>
    </row>
    <row r="25" spans="1:23">
      <c r="A25" s="2187" t="str">
        <f>IF(Data!B103="","",Data!B103)</f>
        <v/>
      </c>
      <c r="B25" s="2187"/>
      <c r="C25" s="2187"/>
      <c r="D25" s="2188" t="str">
        <f>IF(Data!D103="","",Data!D103)</f>
        <v/>
      </c>
      <c r="E25" s="2189"/>
      <c r="F25" s="2188" t="str">
        <f>IF(Data!F103="","",Data!F103)</f>
        <v/>
      </c>
      <c r="G25" s="2189"/>
      <c r="H25" s="2190" t="str">
        <f>IF(Data!H103="","",Data!H103)</f>
        <v/>
      </c>
      <c r="I25" s="2191"/>
      <c r="J25" s="2186" t="str">
        <f t="shared" si="2"/>
        <v/>
      </c>
      <c r="K25" s="2186"/>
      <c r="L25" s="2187" t="str">
        <f t="shared" si="3"/>
        <v/>
      </c>
      <c r="M25" s="2187"/>
      <c r="N25" s="2187"/>
      <c r="O25" s="2192" t="str">
        <f>IF(Data!L103="","",Data!L103)</f>
        <v/>
      </c>
      <c r="P25" s="2192"/>
      <c r="Q25" s="2192" t="str">
        <f>IF(Data!N103="","",Data!N103)</f>
        <v/>
      </c>
      <c r="R25" s="2192"/>
      <c r="S25" s="2190" t="str">
        <f>IF(Data!P103="","",Data!P103)</f>
        <v/>
      </c>
      <c r="T25" s="2190"/>
      <c r="U25" s="2186" t="str">
        <f t="shared" si="0"/>
        <v/>
      </c>
      <c r="V25" s="2186"/>
      <c r="W25" s="138"/>
    </row>
    <row r="26" spans="1:23">
      <c r="A26" s="2187" t="str">
        <f>IF(Data!B104="","",Data!B104)</f>
        <v/>
      </c>
      <c r="B26" s="2187"/>
      <c r="C26" s="2187"/>
      <c r="D26" s="2188" t="str">
        <f>IF(Data!D104="","",Data!D104)</f>
        <v/>
      </c>
      <c r="E26" s="2189"/>
      <c r="F26" s="2188" t="str">
        <f>IF(Data!F104="","",Data!F104)</f>
        <v/>
      </c>
      <c r="G26" s="2189"/>
      <c r="H26" s="2190" t="str">
        <f>IF(Data!H104="","",Data!H104)</f>
        <v/>
      </c>
      <c r="I26" s="2191"/>
      <c r="J26" s="2186" t="str">
        <f t="shared" si="2"/>
        <v/>
      </c>
      <c r="K26" s="2186"/>
      <c r="L26" s="2187" t="str">
        <f t="shared" si="3"/>
        <v/>
      </c>
      <c r="M26" s="2187"/>
      <c r="N26" s="2187"/>
      <c r="O26" s="2192" t="str">
        <f>IF(Data!L104="","",Data!L104)</f>
        <v/>
      </c>
      <c r="P26" s="2192"/>
      <c r="Q26" s="2192" t="str">
        <f>IF(Data!N104="","",Data!N104)</f>
        <v/>
      </c>
      <c r="R26" s="2192"/>
      <c r="S26" s="2190" t="str">
        <f>IF(Data!P104="","",Data!P104)</f>
        <v/>
      </c>
      <c r="T26" s="2190"/>
      <c r="U26" s="2186" t="str">
        <f t="shared" si="0"/>
        <v/>
      </c>
      <c r="V26" s="2186"/>
      <c r="W26" s="138"/>
    </row>
    <row r="27" spans="1:23">
      <c r="A27" s="2187" t="str">
        <f>IF(Data!B105="","",Data!B105)</f>
        <v/>
      </c>
      <c r="B27" s="2187"/>
      <c r="C27" s="2187"/>
      <c r="D27" s="2188" t="str">
        <f>IF(Data!D105="","",Data!D105)</f>
        <v/>
      </c>
      <c r="E27" s="2189"/>
      <c r="F27" s="2188" t="str">
        <f>IF(Data!F105="","",Data!F105)</f>
        <v/>
      </c>
      <c r="G27" s="2189"/>
      <c r="H27" s="2190" t="str">
        <f>IF(Data!H105="","",Data!H105)</f>
        <v/>
      </c>
      <c r="I27" s="2191"/>
      <c r="J27" s="2186" t="str">
        <f t="shared" si="2"/>
        <v/>
      </c>
      <c r="K27" s="2186"/>
      <c r="L27" s="2187" t="str">
        <f t="shared" si="3"/>
        <v/>
      </c>
      <c r="M27" s="2187"/>
      <c r="N27" s="2187"/>
      <c r="O27" s="2192" t="str">
        <f>IF(Data!L105="","",Data!L105)</f>
        <v/>
      </c>
      <c r="P27" s="2192"/>
      <c r="Q27" s="2192" t="str">
        <f>IF(Data!N105="","",Data!N105)</f>
        <v/>
      </c>
      <c r="R27" s="2192"/>
      <c r="S27" s="2190" t="str">
        <f>IF(Data!P105="","",Data!P105)</f>
        <v/>
      </c>
      <c r="T27" s="2190"/>
      <c r="U27" s="2186" t="str">
        <f t="shared" si="0"/>
        <v/>
      </c>
      <c r="V27" s="2186"/>
      <c r="W27" s="138"/>
    </row>
    <row r="28" spans="1:23">
      <c r="A28" s="2187" t="str">
        <f>IF(Data!B106="","",Data!B106)</f>
        <v/>
      </c>
      <c r="B28" s="2187"/>
      <c r="C28" s="2187"/>
      <c r="D28" s="2188" t="str">
        <f>IF(Data!D106="","",Data!D106)</f>
        <v/>
      </c>
      <c r="E28" s="2189"/>
      <c r="F28" s="2188" t="str">
        <f>IF(Data!F106="","",Data!F106)</f>
        <v/>
      </c>
      <c r="G28" s="2189"/>
      <c r="H28" s="2190" t="str">
        <f>IF(Data!H106="","",Data!H106)</f>
        <v/>
      </c>
      <c r="I28" s="2191"/>
      <c r="J28" s="2186" t="str">
        <f t="shared" si="2"/>
        <v/>
      </c>
      <c r="K28" s="2186"/>
      <c r="L28" s="2187" t="str">
        <f t="shared" si="3"/>
        <v/>
      </c>
      <c r="M28" s="2187"/>
      <c r="N28" s="2187"/>
      <c r="O28" s="2192" t="str">
        <f>IF(Data!L106="","",Data!L106)</f>
        <v/>
      </c>
      <c r="P28" s="2192"/>
      <c r="Q28" s="2192" t="str">
        <f>IF(Data!N106="","",Data!N106)</f>
        <v/>
      </c>
      <c r="R28" s="2192"/>
      <c r="S28" s="2190" t="str">
        <f>IF(Data!P106="","",Data!P106)</f>
        <v/>
      </c>
      <c r="T28" s="2190"/>
      <c r="U28" s="2186" t="str">
        <f t="shared" si="0"/>
        <v/>
      </c>
      <c r="V28" s="2186"/>
      <c r="W28" s="138"/>
    </row>
    <row r="29" spans="1:23">
      <c r="A29" s="2187" t="str">
        <f>IF(Data!B107="","",Data!B107)</f>
        <v/>
      </c>
      <c r="B29" s="2187"/>
      <c r="C29" s="2187"/>
      <c r="D29" s="2188" t="str">
        <f>IF(Data!D107="","",Data!D107)</f>
        <v/>
      </c>
      <c r="E29" s="2189"/>
      <c r="F29" s="2188" t="str">
        <f>IF(Data!F107="","",Data!F107)</f>
        <v/>
      </c>
      <c r="G29" s="2189"/>
      <c r="H29" s="2190" t="str">
        <f>IF(Data!H107="","",Data!H107)</f>
        <v/>
      </c>
      <c r="I29" s="2191"/>
      <c r="J29" s="2186" t="str">
        <f t="shared" si="2"/>
        <v/>
      </c>
      <c r="K29" s="2186"/>
      <c r="L29" s="2187" t="str">
        <f t="shared" si="3"/>
        <v/>
      </c>
      <c r="M29" s="2187"/>
      <c r="N29" s="2187"/>
      <c r="O29" s="2192" t="str">
        <f>IF(Data!L107="","",Data!L107)</f>
        <v/>
      </c>
      <c r="P29" s="2192"/>
      <c r="Q29" s="2192" t="str">
        <f>IF(Data!N107="","",Data!N107)</f>
        <v/>
      </c>
      <c r="R29" s="2192"/>
      <c r="S29" s="2190" t="str">
        <f>IF(Data!P107="","",Data!P107)</f>
        <v/>
      </c>
      <c r="T29" s="2190"/>
      <c r="U29" s="2186" t="str">
        <f t="shared" si="0"/>
        <v/>
      </c>
      <c r="V29" s="2186"/>
      <c r="W29" s="138"/>
    </row>
    <row r="30" spans="1:23">
      <c r="A30" s="2187" t="str">
        <f>IF(Data!B108="","",Data!B108)</f>
        <v/>
      </c>
      <c r="B30" s="2187"/>
      <c r="C30" s="2187"/>
      <c r="D30" s="2188" t="str">
        <f>IF(Data!D108="","",Data!D108)</f>
        <v/>
      </c>
      <c r="E30" s="2189"/>
      <c r="F30" s="2188" t="str">
        <f>IF(Data!F108="","",Data!F108)</f>
        <v/>
      </c>
      <c r="G30" s="2189"/>
      <c r="H30" s="2190" t="str">
        <f>IF(Data!H108="","",Data!H108)</f>
        <v/>
      </c>
      <c r="I30" s="2191"/>
      <c r="J30" s="2186" t="str">
        <f t="shared" si="2"/>
        <v/>
      </c>
      <c r="K30" s="2186"/>
      <c r="L30" s="2187" t="str">
        <f t="shared" si="3"/>
        <v/>
      </c>
      <c r="M30" s="2187"/>
      <c r="N30" s="2187"/>
      <c r="O30" s="2192" t="str">
        <f>IF(Data!L108="","",Data!L108)</f>
        <v/>
      </c>
      <c r="P30" s="2192"/>
      <c r="Q30" s="2192" t="str">
        <f>IF(Data!N108="","",Data!N108)</f>
        <v/>
      </c>
      <c r="R30" s="2192"/>
      <c r="S30" s="2190" t="str">
        <f>IF(Data!P108="","",Data!P108)</f>
        <v/>
      </c>
      <c r="T30" s="2190"/>
      <c r="U30" s="2186" t="str">
        <f t="shared" si="0"/>
        <v/>
      </c>
      <c r="V30" s="2186"/>
      <c r="W30" s="138"/>
    </row>
    <row r="31" spans="1:23">
      <c r="A31" s="2187" t="str">
        <f>IF(Data!B109="","",Data!B109)</f>
        <v/>
      </c>
      <c r="B31" s="2187"/>
      <c r="C31" s="2187"/>
      <c r="D31" s="2188" t="str">
        <f>IF(Data!D109="","",Data!D109)</f>
        <v/>
      </c>
      <c r="E31" s="2189"/>
      <c r="F31" s="2188" t="str">
        <f>IF(Data!F109="","",Data!F109)</f>
        <v/>
      </c>
      <c r="G31" s="2189"/>
      <c r="H31" s="2190" t="str">
        <f>IF(Data!H109="","",Data!H109)</f>
        <v/>
      </c>
      <c r="I31" s="2191"/>
      <c r="J31" s="2186" t="str">
        <f>IF(F31="","",IF(H31="",0,+ROUND(F31*H31,3)))</f>
        <v/>
      </c>
      <c r="K31" s="2186"/>
      <c r="L31" s="2187" t="str">
        <f t="shared" si="3"/>
        <v/>
      </c>
      <c r="M31" s="2187"/>
      <c r="N31" s="2187"/>
      <c r="O31" s="2192" t="str">
        <f>IF(Data!L109="","",Data!L109)</f>
        <v/>
      </c>
      <c r="P31" s="2192"/>
      <c r="Q31" s="2192" t="str">
        <f>IF(Data!N109="","",Data!N109)</f>
        <v/>
      </c>
      <c r="R31" s="2192"/>
      <c r="S31" s="2190" t="str">
        <f>IF(Data!P109="","",Data!P109)</f>
        <v/>
      </c>
      <c r="T31" s="2190"/>
      <c r="U31" s="2186" t="str">
        <f t="shared" si="0"/>
        <v/>
      </c>
      <c r="V31" s="2186"/>
      <c r="W31" s="138"/>
    </row>
    <row r="32" spans="1:23">
      <c r="A32" s="2187" t="str">
        <f>IF(Data!B110="","",Data!B110)</f>
        <v/>
      </c>
      <c r="B32" s="2187"/>
      <c r="C32" s="2187"/>
      <c r="D32" s="2188" t="str">
        <f>IF(Data!D110="","",Data!D110)</f>
        <v/>
      </c>
      <c r="E32" s="2189"/>
      <c r="F32" s="2188" t="str">
        <f>IF(Data!F110="","",Data!F110)</f>
        <v/>
      </c>
      <c r="G32" s="2189"/>
      <c r="H32" s="2190" t="str">
        <f>IF(Data!H110="","",Data!H110)</f>
        <v/>
      </c>
      <c r="I32" s="2191"/>
      <c r="J32" s="2186" t="str">
        <f t="shared" ref="J32:J45" si="4">IF(F32="","",IF(H32="",0,+ROUND(F32*H32,3)))</f>
        <v/>
      </c>
      <c r="K32" s="2186"/>
      <c r="L32" s="2187" t="str">
        <f t="shared" si="3"/>
        <v/>
      </c>
      <c r="M32" s="2187"/>
      <c r="N32" s="2187"/>
      <c r="O32" s="2192" t="str">
        <f>IF(Data!L110="","",Data!L110)</f>
        <v/>
      </c>
      <c r="P32" s="2192"/>
      <c r="Q32" s="2192" t="str">
        <f>IF(Data!N110="","",Data!N110)</f>
        <v/>
      </c>
      <c r="R32" s="2192"/>
      <c r="S32" s="2190" t="str">
        <f>IF(Data!P110="","",Data!P110)</f>
        <v/>
      </c>
      <c r="T32" s="2190"/>
      <c r="U32" s="2186" t="str">
        <f t="shared" si="0"/>
        <v/>
      </c>
      <c r="V32" s="2186"/>
      <c r="W32" s="138"/>
    </row>
    <row r="33" spans="1:23">
      <c r="A33" s="2187" t="str">
        <f>IF(Data!B111="","",Data!B111)</f>
        <v/>
      </c>
      <c r="B33" s="2187"/>
      <c r="C33" s="2187"/>
      <c r="D33" s="2188" t="str">
        <f>IF(Data!D111="","",Data!D111)</f>
        <v/>
      </c>
      <c r="E33" s="2189"/>
      <c r="F33" s="2188" t="str">
        <f>IF(Data!F111="","",Data!F111)</f>
        <v/>
      </c>
      <c r="G33" s="2189"/>
      <c r="H33" s="2190" t="str">
        <f>IF(Data!H111="","",Data!H111)</f>
        <v/>
      </c>
      <c r="I33" s="2191"/>
      <c r="J33" s="2186" t="str">
        <f t="shared" si="4"/>
        <v/>
      </c>
      <c r="K33" s="2186"/>
      <c r="L33" s="2187" t="str">
        <f t="shared" si="3"/>
        <v/>
      </c>
      <c r="M33" s="2187"/>
      <c r="N33" s="2187"/>
      <c r="O33" s="2192" t="str">
        <f>IF(Data!L111="","",Data!L111)</f>
        <v/>
      </c>
      <c r="P33" s="2192"/>
      <c r="Q33" s="2192" t="str">
        <f>IF(Data!N111="","",Data!N111)</f>
        <v/>
      </c>
      <c r="R33" s="2192"/>
      <c r="S33" s="2190" t="str">
        <f>IF(Data!P111="","",Data!P111)</f>
        <v/>
      </c>
      <c r="T33" s="2190"/>
      <c r="U33" s="2186" t="str">
        <f t="shared" si="0"/>
        <v/>
      </c>
      <c r="V33" s="2186"/>
      <c r="W33" s="138"/>
    </row>
    <row r="34" spans="1:23">
      <c r="A34" s="2187" t="str">
        <f>IF(Data!B112="","",Data!B112)</f>
        <v/>
      </c>
      <c r="B34" s="2187"/>
      <c r="C34" s="2187"/>
      <c r="D34" s="2188" t="str">
        <f>IF(Data!D112="","",Data!D112)</f>
        <v/>
      </c>
      <c r="E34" s="2189"/>
      <c r="F34" s="2188" t="str">
        <f>IF(Data!F112="","",Data!F112)</f>
        <v/>
      </c>
      <c r="G34" s="2189"/>
      <c r="H34" s="2190" t="str">
        <f>IF(Data!H112="","",Data!H112)</f>
        <v/>
      </c>
      <c r="I34" s="2191"/>
      <c r="J34" s="2186" t="str">
        <f t="shared" si="4"/>
        <v/>
      </c>
      <c r="K34" s="2186"/>
      <c r="L34" s="2187" t="str">
        <f t="shared" si="3"/>
        <v/>
      </c>
      <c r="M34" s="2187"/>
      <c r="N34" s="2187"/>
      <c r="O34" s="2192" t="str">
        <f>IF(Data!L112="","",Data!L112)</f>
        <v/>
      </c>
      <c r="P34" s="2192"/>
      <c r="Q34" s="2192" t="str">
        <f>IF(Data!N112="","",Data!N112)</f>
        <v/>
      </c>
      <c r="R34" s="2192"/>
      <c r="S34" s="2190" t="str">
        <f>IF(Data!P112="","",Data!P112)</f>
        <v/>
      </c>
      <c r="T34" s="2190"/>
      <c r="U34" s="2186" t="str">
        <f t="shared" si="0"/>
        <v/>
      </c>
      <c r="V34" s="2186"/>
      <c r="W34" s="138"/>
    </row>
    <row r="35" spans="1:23">
      <c r="A35" s="2187" t="str">
        <f>IF(Data!B113="","",Data!B113)</f>
        <v/>
      </c>
      <c r="B35" s="2187"/>
      <c r="C35" s="2187"/>
      <c r="D35" s="2188" t="str">
        <f>IF(Data!D113="","",Data!D113)</f>
        <v/>
      </c>
      <c r="E35" s="2189"/>
      <c r="F35" s="2188" t="str">
        <f>IF(Data!F113="","",Data!F113)</f>
        <v/>
      </c>
      <c r="G35" s="2189"/>
      <c r="H35" s="2190" t="str">
        <f>IF(Data!H113="","",Data!H113)</f>
        <v/>
      </c>
      <c r="I35" s="2191"/>
      <c r="J35" s="2186" t="str">
        <f t="shared" si="4"/>
        <v/>
      </c>
      <c r="K35" s="2186"/>
      <c r="L35" s="2187" t="str">
        <f t="shared" si="3"/>
        <v/>
      </c>
      <c r="M35" s="2187"/>
      <c r="N35" s="2187"/>
      <c r="O35" s="2192" t="str">
        <f>IF(Data!L113="","",Data!L113)</f>
        <v/>
      </c>
      <c r="P35" s="2192"/>
      <c r="Q35" s="2192" t="str">
        <f>IF(Data!N113="","",Data!N113)</f>
        <v/>
      </c>
      <c r="R35" s="2192"/>
      <c r="S35" s="2190" t="str">
        <f>IF(Data!P113="","",Data!P113)</f>
        <v/>
      </c>
      <c r="T35" s="2190"/>
      <c r="U35" s="2186" t="str">
        <f t="shared" si="0"/>
        <v/>
      </c>
      <c r="V35" s="2186"/>
      <c r="W35" s="138"/>
    </row>
    <row r="36" spans="1:23">
      <c r="A36" s="2187" t="str">
        <f>IF(Data!B114="","",Data!B114)</f>
        <v/>
      </c>
      <c r="B36" s="2187"/>
      <c r="C36" s="2187"/>
      <c r="D36" s="2188" t="str">
        <f>IF(Data!D114="","",Data!D114)</f>
        <v/>
      </c>
      <c r="E36" s="2189"/>
      <c r="F36" s="2188" t="str">
        <f>IF(Data!F114="","",Data!F114)</f>
        <v/>
      </c>
      <c r="G36" s="2189"/>
      <c r="H36" s="2190" t="str">
        <f>IF(Data!H114="","",Data!H114)</f>
        <v/>
      </c>
      <c r="I36" s="2191"/>
      <c r="J36" s="2186" t="str">
        <f t="shared" si="4"/>
        <v/>
      </c>
      <c r="K36" s="2186"/>
      <c r="L36" s="2187" t="str">
        <f t="shared" si="3"/>
        <v/>
      </c>
      <c r="M36" s="2187"/>
      <c r="N36" s="2187"/>
      <c r="O36" s="2192" t="str">
        <f>IF(Data!L114="","",Data!L114)</f>
        <v/>
      </c>
      <c r="P36" s="2192"/>
      <c r="Q36" s="2192" t="str">
        <f>IF(Data!N114="","",Data!N114)</f>
        <v/>
      </c>
      <c r="R36" s="2192"/>
      <c r="S36" s="2190" t="str">
        <f>IF(Data!P114="","",Data!P114)</f>
        <v/>
      </c>
      <c r="T36" s="2190"/>
      <c r="U36" s="2186" t="str">
        <f t="shared" si="0"/>
        <v/>
      </c>
      <c r="V36" s="2186"/>
      <c r="W36" s="138"/>
    </row>
    <row r="37" spans="1:23">
      <c r="A37" s="2187" t="str">
        <f>IF(Data!B115="","",Data!B115)</f>
        <v/>
      </c>
      <c r="B37" s="2187"/>
      <c r="C37" s="2187"/>
      <c r="D37" s="2188" t="str">
        <f>IF(Data!D115="","",Data!D115)</f>
        <v/>
      </c>
      <c r="E37" s="2189"/>
      <c r="F37" s="2188" t="str">
        <f>IF(Data!F115="","",Data!F115)</f>
        <v/>
      </c>
      <c r="G37" s="2189"/>
      <c r="H37" s="2190" t="str">
        <f>IF(Data!H115="","",Data!H115)</f>
        <v/>
      </c>
      <c r="I37" s="2191"/>
      <c r="J37" s="2186" t="str">
        <f t="shared" si="4"/>
        <v/>
      </c>
      <c r="K37" s="2186"/>
      <c r="L37" s="2187" t="str">
        <f t="shared" si="3"/>
        <v/>
      </c>
      <c r="M37" s="2187"/>
      <c r="N37" s="2187"/>
      <c r="O37" s="2192" t="str">
        <f>IF(Data!L115="","",Data!L115)</f>
        <v/>
      </c>
      <c r="P37" s="2192"/>
      <c r="Q37" s="2192" t="str">
        <f>IF(Data!N115="","",Data!N115)</f>
        <v/>
      </c>
      <c r="R37" s="2192"/>
      <c r="S37" s="2190" t="str">
        <f>IF(Data!P115="","",Data!P115)</f>
        <v/>
      </c>
      <c r="T37" s="2190"/>
      <c r="U37" s="2186" t="str">
        <f t="shared" si="0"/>
        <v/>
      </c>
      <c r="V37" s="2186"/>
      <c r="W37" s="138"/>
    </row>
    <row r="38" spans="1:23">
      <c r="A38" s="2187" t="str">
        <f>IF(Data!B116="","",Data!B116)</f>
        <v/>
      </c>
      <c r="B38" s="2187"/>
      <c r="C38" s="2187"/>
      <c r="D38" s="2188" t="str">
        <f>IF(Data!D116="","",Data!D116)</f>
        <v/>
      </c>
      <c r="E38" s="2189"/>
      <c r="F38" s="2188" t="str">
        <f>IF(Data!F116="","",Data!F116)</f>
        <v/>
      </c>
      <c r="G38" s="2189"/>
      <c r="H38" s="2190" t="str">
        <f>IF(Data!H116="","",Data!H116)</f>
        <v/>
      </c>
      <c r="I38" s="2191"/>
      <c r="J38" s="2186" t="str">
        <f t="shared" si="4"/>
        <v/>
      </c>
      <c r="K38" s="2186"/>
      <c r="L38" s="2187" t="str">
        <f t="shared" si="3"/>
        <v/>
      </c>
      <c r="M38" s="2187"/>
      <c r="N38" s="2187"/>
      <c r="O38" s="2192" t="str">
        <f>IF(Data!L116="","",Data!L116)</f>
        <v/>
      </c>
      <c r="P38" s="2192"/>
      <c r="Q38" s="2192" t="str">
        <f>IF(Data!N116="","",Data!N116)</f>
        <v/>
      </c>
      <c r="R38" s="2192"/>
      <c r="S38" s="2190" t="str">
        <f>IF(Data!P116="","",Data!P116)</f>
        <v/>
      </c>
      <c r="T38" s="2190"/>
      <c r="U38" s="2186" t="str">
        <f t="shared" si="0"/>
        <v/>
      </c>
      <c r="V38" s="2186"/>
      <c r="W38" s="138"/>
    </row>
    <row r="39" spans="1:23">
      <c r="A39" s="2187" t="str">
        <f>IF(Data!B117="","",Data!B117)</f>
        <v/>
      </c>
      <c r="B39" s="2187"/>
      <c r="C39" s="2187"/>
      <c r="D39" s="2188" t="str">
        <f>IF(Data!D117="","",Data!D117)</f>
        <v/>
      </c>
      <c r="E39" s="2189"/>
      <c r="F39" s="2188" t="str">
        <f>IF(Data!F117="","",Data!F117)</f>
        <v/>
      </c>
      <c r="G39" s="2189"/>
      <c r="H39" s="2190" t="str">
        <f>IF(Data!H117="","",Data!H117)</f>
        <v/>
      </c>
      <c r="I39" s="2191"/>
      <c r="J39" s="2186" t="str">
        <f t="shared" si="4"/>
        <v/>
      </c>
      <c r="K39" s="2186"/>
      <c r="L39" s="2187" t="str">
        <f t="shared" si="3"/>
        <v/>
      </c>
      <c r="M39" s="2187"/>
      <c r="N39" s="2187"/>
      <c r="O39" s="2192" t="str">
        <f>IF(Data!L117="","",Data!L117)</f>
        <v/>
      </c>
      <c r="P39" s="2192"/>
      <c r="Q39" s="2192" t="str">
        <f>IF(Data!N117="","",Data!N117)</f>
        <v/>
      </c>
      <c r="R39" s="2192"/>
      <c r="S39" s="2190" t="str">
        <f>IF(Data!P117="","",Data!P117)</f>
        <v/>
      </c>
      <c r="T39" s="2190"/>
      <c r="U39" s="2186" t="str">
        <f t="shared" si="0"/>
        <v/>
      </c>
      <c r="V39" s="2186"/>
      <c r="W39" s="138"/>
    </row>
    <row r="40" spans="1:23">
      <c r="A40" s="2187" t="str">
        <f>IF(Data!B118="","",Data!B118)</f>
        <v/>
      </c>
      <c r="B40" s="2187"/>
      <c r="C40" s="2187"/>
      <c r="D40" s="2188" t="str">
        <f>IF(Data!D118="","",Data!D118)</f>
        <v/>
      </c>
      <c r="E40" s="2189"/>
      <c r="F40" s="2188" t="str">
        <f>IF(Data!F118="","",Data!F118)</f>
        <v/>
      </c>
      <c r="G40" s="2189"/>
      <c r="H40" s="2190" t="str">
        <f>IF(Data!H118="","",Data!H118)</f>
        <v/>
      </c>
      <c r="I40" s="2191"/>
      <c r="J40" s="2186" t="str">
        <f t="shared" si="4"/>
        <v/>
      </c>
      <c r="K40" s="2186"/>
      <c r="L40" s="2187" t="str">
        <f t="shared" si="3"/>
        <v/>
      </c>
      <c r="M40" s="2187"/>
      <c r="N40" s="2187"/>
      <c r="O40" s="2192" t="str">
        <f>IF(Data!L118="","",Data!L118)</f>
        <v/>
      </c>
      <c r="P40" s="2192"/>
      <c r="Q40" s="2192" t="str">
        <f>IF(Data!N118="","",Data!N118)</f>
        <v/>
      </c>
      <c r="R40" s="2192"/>
      <c r="S40" s="2190" t="str">
        <f>IF(Data!P118="","",Data!P118)</f>
        <v/>
      </c>
      <c r="T40" s="2190"/>
      <c r="U40" s="2186" t="str">
        <f t="shared" si="0"/>
        <v/>
      </c>
      <c r="V40" s="2186"/>
      <c r="W40" s="138"/>
    </row>
    <row r="41" spans="1:23">
      <c r="A41" s="2187" t="str">
        <f>IF(Data!B119="","",Data!B119)</f>
        <v/>
      </c>
      <c r="B41" s="2187"/>
      <c r="C41" s="2187"/>
      <c r="D41" s="2188" t="str">
        <f>IF(Data!D119="","",Data!D119)</f>
        <v/>
      </c>
      <c r="E41" s="2189"/>
      <c r="F41" s="2188" t="str">
        <f>IF(Data!F119="","",Data!F119)</f>
        <v/>
      </c>
      <c r="G41" s="2189"/>
      <c r="H41" s="2190" t="str">
        <f>IF(Data!H119="","",Data!H119)</f>
        <v/>
      </c>
      <c r="I41" s="2191"/>
      <c r="J41" s="2186" t="str">
        <f t="shared" si="4"/>
        <v/>
      </c>
      <c r="K41" s="2186"/>
      <c r="L41" s="2187" t="str">
        <f t="shared" si="3"/>
        <v/>
      </c>
      <c r="M41" s="2187"/>
      <c r="N41" s="2187"/>
      <c r="O41" s="2192" t="str">
        <f>IF(Data!L119="","",Data!L119)</f>
        <v/>
      </c>
      <c r="P41" s="2192"/>
      <c r="Q41" s="2192" t="str">
        <f>IF(Data!N119="","",Data!N119)</f>
        <v/>
      </c>
      <c r="R41" s="2192"/>
      <c r="S41" s="2190" t="str">
        <f>IF(Data!P119="","",Data!P119)</f>
        <v/>
      </c>
      <c r="T41" s="2190"/>
      <c r="U41" s="2186" t="str">
        <f t="shared" si="0"/>
        <v/>
      </c>
      <c r="V41" s="2186"/>
      <c r="W41" s="138"/>
    </row>
    <row r="42" spans="1:23">
      <c r="A42" s="2187" t="str">
        <f>IF(Data!B120="","",Data!B120)</f>
        <v/>
      </c>
      <c r="B42" s="2187"/>
      <c r="C42" s="2187"/>
      <c r="D42" s="2188" t="str">
        <f>IF(Data!D120="","",Data!D120)</f>
        <v/>
      </c>
      <c r="E42" s="2189"/>
      <c r="F42" s="2188" t="str">
        <f>IF(Data!F120="","",Data!F120)</f>
        <v/>
      </c>
      <c r="G42" s="2189"/>
      <c r="H42" s="2190" t="str">
        <f>IF(Data!H120="","",Data!H120)</f>
        <v/>
      </c>
      <c r="I42" s="2191"/>
      <c r="J42" s="2186" t="str">
        <f t="shared" si="4"/>
        <v/>
      </c>
      <c r="K42" s="2186"/>
      <c r="L42" s="2187" t="str">
        <f t="shared" si="3"/>
        <v/>
      </c>
      <c r="M42" s="2187"/>
      <c r="N42" s="2187"/>
      <c r="O42" s="2192" t="str">
        <f>IF(Data!L120="","",Data!L120)</f>
        <v/>
      </c>
      <c r="P42" s="2192"/>
      <c r="Q42" s="2192" t="str">
        <f>IF(Data!N120="","",Data!N120)</f>
        <v/>
      </c>
      <c r="R42" s="2192"/>
      <c r="S42" s="2190" t="str">
        <f>IF(Data!P120="","",Data!P120)</f>
        <v/>
      </c>
      <c r="T42" s="2190"/>
      <c r="U42" s="2186" t="str">
        <f t="shared" si="0"/>
        <v/>
      </c>
      <c r="V42" s="2186"/>
      <c r="W42" s="138"/>
    </row>
    <row r="43" spans="1:23">
      <c r="A43" s="2187" t="str">
        <f>IF(Data!B121="","",Data!B121)</f>
        <v/>
      </c>
      <c r="B43" s="2187"/>
      <c r="C43" s="2187"/>
      <c r="D43" s="2188" t="str">
        <f>IF(Data!D121="","",Data!D121)</f>
        <v/>
      </c>
      <c r="E43" s="2189"/>
      <c r="F43" s="2188" t="str">
        <f>IF(Data!F121="","",Data!F121)</f>
        <v/>
      </c>
      <c r="G43" s="2189"/>
      <c r="H43" s="2190" t="str">
        <f>IF(Data!H121="","",Data!H121)</f>
        <v/>
      </c>
      <c r="I43" s="2191"/>
      <c r="J43" s="2186" t="str">
        <f t="shared" si="4"/>
        <v/>
      </c>
      <c r="K43" s="2186"/>
      <c r="L43" s="2187" t="str">
        <f t="shared" si="3"/>
        <v/>
      </c>
      <c r="M43" s="2187"/>
      <c r="N43" s="2187"/>
      <c r="O43" s="2192" t="str">
        <f>IF(Data!L121="","",Data!L121)</f>
        <v/>
      </c>
      <c r="P43" s="2192"/>
      <c r="Q43" s="2192" t="str">
        <f>IF(Data!N121="","",Data!N121)</f>
        <v/>
      </c>
      <c r="R43" s="2192"/>
      <c r="S43" s="2190" t="str">
        <f>IF(Data!P121="","",Data!P121)</f>
        <v/>
      </c>
      <c r="T43" s="2190"/>
      <c r="U43" s="2186" t="str">
        <f t="shared" si="0"/>
        <v/>
      </c>
      <c r="V43" s="2186"/>
      <c r="W43" s="138"/>
    </row>
    <row r="44" spans="1:23">
      <c r="A44" s="2187" t="str">
        <f>IF(Data!B122="","",Data!B122)</f>
        <v/>
      </c>
      <c r="B44" s="2187"/>
      <c r="C44" s="2187"/>
      <c r="D44" s="2188" t="str">
        <f>IF(Data!D122="","",Data!D122)</f>
        <v/>
      </c>
      <c r="E44" s="2189"/>
      <c r="F44" s="2188" t="str">
        <f>IF(Data!F122="","",Data!F122)</f>
        <v/>
      </c>
      <c r="G44" s="2189"/>
      <c r="H44" s="2190" t="str">
        <f>IF(Data!H122="","",Data!H122)</f>
        <v/>
      </c>
      <c r="I44" s="2191"/>
      <c r="J44" s="2186" t="str">
        <f t="shared" si="4"/>
        <v/>
      </c>
      <c r="K44" s="2186"/>
      <c r="L44" s="2187" t="str">
        <f t="shared" si="3"/>
        <v/>
      </c>
      <c r="M44" s="2187"/>
      <c r="N44" s="2187"/>
      <c r="O44" s="2192" t="str">
        <f>IF(Data!L122="","",Data!L122)</f>
        <v/>
      </c>
      <c r="P44" s="2192"/>
      <c r="Q44" s="2192" t="str">
        <f>IF(Data!N122="","",Data!N122)</f>
        <v/>
      </c>
      <c r="R44" s="2192"/>
      <c r="S44" s="2190" t="str">
        <f>IF(Data!P122="","",Data!P122)</f>
        <v/>
      </c>
      <c r="T44" s="2190"/>
      <c r="U44" s="2186" t="str">
        <f t="shared" si="0"/>
        <v/>
      </c>
      <c r="V44" s="2186"/>
      <c r="W44" s="138"/>
    </row>
    <row r="45" spans="1:23">
      <c r="A45" s="2206" t="str">
        <f>IF(Data!B123="","",Data!B123)</f>
        <v/>
      </c>
      <c r="B45" s="2206"/>
      <c r="C45" s="2206"/>
      <c r="D45" s="2201" t="str">
        <f>IF(Data!D123="","",Data!D123)</f>
        <v/>
      </c>
      <c r="E45" s="2202"/>
      <c r="F45" s="2201" t="str">
        <f>IF(Data!F123="","",Data!F123)</f>
        <v/>
      </c>
      <c r="G45" s="2202"/>
      <c r="H45" s="2203" t="str">
        <f>IF(Data!H123="","",Data!H123)</f>
        <v/>
      </c>
      <c r="I45" s="2204"/>
      <c r="J45" s="2205" t="str">
        <f t="shared" si="4"/>
        <v/>
      </c>
      <c r="K45" s="2205"/>
      <c r="L45" s="2206" t="str">
        <f t="shared" si="3"/>
        <v/>
      </c>
      <c r="M45" s="2206"/>
      <c r="N45" s="2206"/>
      <c r="O45" s="2214" t="str">
        <f>IF(Data!L123="","",Data!L123)</f>
        <v/>
      </c>
      <c r="P45" s="2214"/>
      <c r="Q45" s="2215" t="str">
        <f>IF(Data!N123="","",Data!N123)</f>
        <v/>
      </c>
      <c r="R45" s="2215"/>
      <c r="S45" s="2216" t="str">
        <f>IF(Data!P123="","",Data!P123)</f>
        <v/>
      </c>
      <c r="T45" s="2216"/>
      <c r="U45" s="2196" t="str">
        <f t="shared" si="0"/>
        <v/>
      </c>
      <c r="V45" s="2196"/>
      <c r="W45" s="138"/>
    </row>
    <row r="46" spans="1:23" ht="15" thickBot="1">
      <c r="A46" s="138" t="s">
        <v>197</v>
      </c>
      <c r="B46" s="163"/>
      <c r="C46" s="138"/>
      <c r="D46" s="138"/>
      <c r="E46" s="149"/>
      <c r="F46" s="2197">
        <f>IF(F16&lt;&gt;"",SUM(F16:F45),"")</f>
        <v>123</v>
      </c>
      <c r="G46" s="2198"/>
      <c r="H46" s="148"/>
      <c r="I46" s="149"/>
      <c r="J46" s="2197">
        <f>IF(J16="","",SUM(J16:J45))</f>
        <v>126.075</v>
      </c>
      <c r="K46" s="2198"/>
      <c r="L46" s="162"/>
      <c r="M46" s="163"/>
      <c r="N46" s="163"/>
      <c r="O46" s="163"/>
      <c r="P46" s="149"/>
      <c r="Q46" s="2199" t="str">
        <f>IF(Q16="","",SUM(Q16:Q45))</f>
        <v/>
      </c>
      <c r="R46" s="2200"/>
      <c r="S46" s="168"/>
      <c r="T46" s="167"/>
      <c r="U46" s="2199" t="str">
        <f>IF(U16="","",SUM(U16:U45))</f>
        <v/>
      </c>
      <c r="V46" s="2200"/>
      <c r="W46" s="138"/>
    </row>
    <row r="47" spans="1:23" ht="6.75" customHeight="1">
      <c r="A47" s="138"/>
      <c r="B47" s="138"/>
      <c r="C47" s="138"/>
      <c r="D47" s="138"/>
      <c r="E47" s="138"/>
      <c r="F47" s="138"/>
      <c r="G47" s="138"/>
      <c r="H47" s="150"/>
      <c r="I47" s="150"/>
      <c r="J47" s="138"/>
      <c r="K47" s="138"/>
      <c r="L47" s="138"/>
      <c r="M47" s="138"/>
      <c r="N47" s="138"/>
      <c r="O47" s="138"/>
      <c r="P47" s="138"/>
      <c r="Q47" s="138"/>
      <c r="R47" s="138"/>
      <c r="S47" s="138"/>
      <c r="T47" s="138"/>
      <c r="U47" s="138"/>
      <c r="V47" s="138"/>
      <c r="W47" s="138"/>
    </row>
    <row r="48" spans="1:23" ht="15" thickBot="1">
      <c r="A48" s="146" t="s">
        <v>198</v>
      </c>
      <c r="B48" s="138"/>
      <c r="C48" s="138"/>
      <c r="D48" s="138"/>
      <c r="E48" s="138"/>
      <c r="F48" s="138"/>
      <c r="G48" s="138"/>
      <c r="H48" s="138"/>
      <c r="I48" s="138"/>
      <c r="J48" s="138"/>
      <c r="K48" s="145" t="s">
        <v>199</v>
      </c>
      <c r="L48" s="2207">
        <f>IF([6]Données!K126="","",[6]Données!K126)</f>
        <v>1</v>
      </c>
      <c r="M48" s="2207"/>
      <c r="N48" s="138" t="s">
        <v>200</v>
      </c>
      <c r="O48" s="138"/>
      <c r="P48" s="138"/>
      <c r="Q48" s="138"/>
      <c r="R48" s="138"/>
      <c r="S48" s="138"/>
      <c r="T48" s="138"/>
      <c r="U48" s="138"/>
      <c r="V48" s="138"/>
      <c r="W48" s="138"/>
    </row>
    <row r="49" spans="1:23" ht="26.25" customHeight="1">
      <c r="A49" s="2208" t="s">
        <v>14</v>
      </c>
      <c r="B49" s="2175"/>
      <c r="C49" s="2176"/>
      <c r="D49" s="2209" t="s">
        <v>192</v>
      </c>
      <c r="E49" s="2210"/>
      <c r="F49" s="2209" t="s">
        <v>193</v>
      </c>
      <c r="G49" s="2211"/>
      <c r="H49" s="2210"/>
      <c r="I49" s="2209" t="s">
        <v>201</v>
      </c>
      <c r="J49" s="2211"/>
      <c r="K49" s="2212"/>
      <c r="L49" s="2213" t="s">
        <v>14</v>
      </c>
      <c r="M49" s="2175"/>
      <c r="N49" s="2176"/>
      <c r="O49" s="2177" t="s">
        <v>192</v>
      </c>
      <c r="P49" s="2177"/>
      <c r="Q49" s="2177" t="s">
        <v>193</v>
      </c>
      <c r="R49" s="2177"/>
      <c r="S49" s="2177"/>
      <c r="T49" s="2177" t="s">
        <v>201</v>
      </c>
      <c r="U49" s="2177"/>
      <c r="V49" s="2217"/>
      <c r="W49" s="138"/>
    </row>
    <row r="50" spans="1:23" ht="12.75" customHeight="1">
      <c r="A50" s="2218" t="str">
        <f>IF(Data!B128="","",Data!B128)</f>
        <v>FW P</v>
      </c>
      <c r="B50" s="2219"/>
      <c r="C50" s="2220"/>
      <c r="D50" s="2221" t="str">
        <f>IF(Data!D128="","",Data!D128)</f>
        <v>IND</v>
      </c>
      <c r="E50" s="2222"/>
      <c r="F50" s="2223">
        <f>IF(Data!F128="","",Data!F128)</f>
        <v>12</v>
      </c>
      <c r="G50" s="2224"/>
      <c r="H50" s="2225"/>
      <c r="I50" s="2223">
        <f>IF(F50="","",F50*L$48)</f>
        <v>12</v>
      </c>
      <c r="J50" s="2224"/>
      <c r="K50" s="2226"/>
      <c r="L50" s="2227" t="str">
        <f>IF(A50="","",A50)</f>
        <v>FW P</v>
      </c>
      <c r="M50" s="2228"/>
      <c r="N50" s="2229"/>
      <c r="O50" s="2230" t="str">
        <f>IF(Data!L128="","",Data!L128)</f>
        <v>IND</v>
      </c>
      <c r="P50" s="2231"/>
      <c r="Q50" s="2232">
        <f>IF(Data!N128="","",Data!N128)</f>
        <v>11</v>
      </c>
      <c r="R50" s="2232"/>
      <c r="S50" s="2232"/>
      <c r="T50" s="2232">
        <f>IF(Q50="","",Q50*L$48)</f>
        <v>11</v>
      </c>
      <c r="U50" s="2232"/>
      <c r="V50" s="2233"/>
      <c r="W50" s="138"/>
    </row>
    <row r="51" spans="1:23">
      <c r="A51" s="2234" t="str">
        <f>IF(Data!B129="","",Data!B129)</f>
        <v>FW S</v>
      </c>
      <c r="B51" s="2142"/>
      <c r="C51" s="2143"/>
      <c r="D51" s="2235" t="str">
        <f>IF(Data!D129="","",Data!D129)</f>
        <v>IND</v>
      </c>
      <c r="E51" s="2236"/>
      <c r="F51" s="2237" t="str">
        <f>IF(Data!F129="","",Data!F129)</f>
        <v/>
      </c>
      <c r="G51" s="2238"/>
      <c r="H51" s="2239"/>
      <c r="I51" s="2237" t="str">
        <f>IF(F51="","",F51*L$48)</f>
        <v/>
      </c>
      <c r="J51" s="2240"/>
      <c r="K51" s="2241"/>
      <c r="L51" s="2242" t="str">
        <f>IF(A51="","",A51)</f>
        <v>FW S</v>
      </c>
      <c r="M51" s="2243"/>
      <c r="N51" s="2244"/>
      <c r="O51" s="2245" t="str">
        <f>IF(Data!L129="","",Data!L129)</f>
        <v/>
      </c>
      <c r="P51" s="2246"/>
      <c r="Q51" s="2247" t="str">
        <f>IF(Data!N129="","",Data!N129)</f>
        <v/>
      </c>
      <c r="R51" s="2247"/>
      <c r="S51" s="2247"/>
      <c r="T51" s="2247" t="str">
        <f>IF(Q51="","",Q51*L$48)</f>
        <v/>
      </c>
      <c r="U51" s="2247"/>
      <c r="V51" s="2248"/>
      <c r="W51" s="138"/>
    </row>
    <row r="52" spans="1:23">
      <c r="A52" s="2234" t="str">
        <f>IF(Data!B130="","",Data!B130)</f>
        <v>D W</v>
      </c>
      <c r="B52" s="2142"/>
      <c r="C52" s="2143"/>
      <c r="D52" s="2279" t="str">
        <f>IF(Data!D130="","",Data!D130)</f>
        <v/>
      </c>
      <c r="E52" s="2280"/>
      <c r="F52" s="2237" t="str">
        <f>IF(Data!F130="","",Data!F130)</f>
        <v/>
      </c>
      <c r="G52" s="2238"/>
      <c r="H52" s="2239"/>
      <c r="I52" s="2237" t="str">
        <f>IF(F52="","",F52*L$48)</f>
        <v/>
      </c>
      <c r="J52" s="2240"/>
      <c r="K52" s="2241"/>
      <c r="L52" s="2242" t="str">
        <f>IF(A52="","",A52)</f>
        <v>D W</v>
      </c>
      <c r="M52" s="2243"/>
      <c r="N52" s="2244"/>
      <c r="O52" s="2245" t="str">
        <f>IF(Data!L130="","",Data!L130)</f>
        <v/>
      </c>
      <c r="P52" s="2246"/>
      <c r="Q52" s="2247" t="str">
        <f>IF(Data!N130="","",Data!N130)</f>
        <v/>
      </c>
      <c r="R52" s="2247"/>
      <c r="S52" s="2247"/>
      <c r="T52" s="2247" t="str">
        <f>IF(Q52="","",Q52*L$48)</f>
        <v/>
      </c>
      <c r="U52" s="2247"/>
      <c r="V52" s="2248"/>
      <c r="W52" s="138"/>
    </row>
    <row r="53" spans="1:23" ht="15" thickBot="1">
      <c r="A53" s="2262" t="str">
        <f>IF(Data!B131="","",Data!B131)</f>
        <v/>
      </c>
      <c r="B53" s="2263"/>
      <c r="C53" s="2264"/>
      <c r="D53" s="2265" t="str">
        <f>IF(Data!D131="","",Data!D131)</f>
        <v/>
      </c>
      <c r="E53" s="2266"/>
      <c r="F53" s="2267" t="str">
        <f>IF(Data!F131="","",Data!F131)</f>
        <v/>
      </c>
      <c r="G53" s="2268"/>
      <c r="H53" s="2269"/>
      <c r="I53" s="2267" t="str">
        <f>IF(F53="","",F53*L$48)</f>
        <v/>
      </c>
      <c r="J53" s="2270"/>
      <c r="K53" s="2271"/>
      <c r="L53" s="2272" t="str">
        <f>IF(A53="","",A53)</f>
        <v/>
      </c>
      <c r="M53" s="2273"/>
      <c r="N53" s="2274"/>
      <c r="O53" s="2275" t="str">
        <f>IF(Data!L131="","",Data!L131)</f>
        <v/>
      </c>
      <c r="P53" s="2276"/>
      <c r="Q53" s="2277" t="str">
        <f>IF(Data!N131="","",Data!N131)</f>
        <v/>
      </c>
      <c r="R53" s="2277"/>
      <c r="S53" s="2277"/>
      <c r="T53" s="2277" t="str">
        <f>IF(Q53="","",Q53*L$48)</f>
        <v/>
      </c>
      <c r="U53" s="2277"/>
      <c r="V53" s="2278"/>
      <c r="W53" s="138"/>
    </row>
    <row r="54" spans="1:23" ht="13.5" customHeight="1" thickBot="1">
      <c r="A54" s="2249" t="s">
        <v>197</v>
      </c>
      <c r="B54" s="2249"/>
      <c r="C54" s="138"/>
      <c r="D54" s="138"/>
      <c r="E54" s="138"/>
      <c r="F54" s="145"/>
      <c r="G54" s="145"/>
      <c r="H54" s="145"/>
      <c r="I54" s="2197">
        <f>IF(I50="","",SUM(I50:I53))</f>
        <v>12</v>
      </c>
      <c r="J54" s="2250"/>
      <c r="K54" s="2251"/>
      <c r="L54" s="2252"/>
      <c r="M54" s="2253"/>
      <c r="N54" s="138"/>
      <c r="O54" s="138"/>
      <c r="P54" s="138"/>
      <c r="Q54" s="145"/>
      <c r="R54" s="145"/>
      <c r="S54" s="145"/>
      <c r="T54" s="2197">
        <f>IF(T50="","",SUM(T50:T53))</f>
        <v>11</v>
      </c>
      <c r="U54" s="2250"/>
      <c r="V54" s="2251"/>
      <c r="W54" s="138"/>
    </row>
    <row r="55" spans="1:23" ht="6.75" customHeight="1">
      <c r="A55" s="138"/>
      <c r="B55" s="138"/>
      <c r="C55" s="138"/>
      <c r="D55" s="138"/>
      <c r="E55" s="138"/>
      <c r="F55" s="138"/>
      <c r="G55" s="138"/>
      <c r="H55" s="138"/>
      <c r="I55" s="138"/>
      <c r="J55" s="138"/>
      <c r="K55" s="138"/>
      <c r="L55" s="138"/>
      <c r="M55" s="138"/>
      <c r="N55" s="138"/>
      <c r="O55" s="138"/>
      <c r="P55" s="138"/>
      <c r="Q55" s="138"/>
      <c r="R55" s="138"/>
      <c r="S55" s="138"/>
      <c r="T55" s="138"/>
      <c r="U55" s="138"/>
      <c r="V55" s="138"/>
      <c r="W55" s="138"/>
    </row>
    <row r="56" spans="1:23" ht="15" thickBot="1">
      <c r="A56" s="146" t="s">
        <v>182</v>
      </c>
      <c r="B56" s="138"/>
      <c r="C56" s="138"/>
      <c r="D56" s="138"/>
      <c r="E56" s="138"/>
      <c r="F56" s="138"/>
      <c r="G56" s="138"/>
      <c r="H56" s="138"/>
      <c r="I56" s="138"/>
      <c r="J56" s="138"/>
      <c r="K56" s="138"/>
      <c r="L56" s="138"/>
      <c r="M56" s="138"/>
      <c r="N56" s="138"/>
      <c r="O56" s="138"/>
      <c r="P56" s="138"/>
      <c r="Q56" s="138"/>
      <c r="R56" s="138"/>
      <c r="S56" s="138"/>
      <c r="T56" s="138"/>
      <c r="U56" s="138"/>
      <c r="V56" s="138"/>
      <c r="W56" s="138"/>
    </row>
    <row r="57" spans="1:23">
      <c r="A57" s="2254" t="s">
        <v>21</v>
      </c>
      <c r="B57" s="2255"/>
      <c r="C57" s="2255"/>
      <c r="D57" s="2255"/>
      <c r="E57" s="2255"/>
      <c r="F57" s="2255"/>
      <c r="G57" s="2255"/>
      <c r="H57" s="2256"/>
      <c r="I57" s="2257">
        <f>IF(Data!H135="","",Data!H135)</f>
        <v>11</v>
      </c>
      <c r="J57" s="2258"/>
      <c r="K57" s="2259"/>
      <c r="L57" s="2260">
        <f>IF(Data!N135="","",Data!N135)</f>
        <v>11</v>
      </c>
      <c r="M57" s="2260"/>
      <c r="N57" s="2260"/>
      <c r="O57" s="2261"/>
      <c r="P57" s="138"/>
      <c r="Q57" s="138"/>
      <c r="R57" s="138"/>
      <c r="S57" s="138"/>
      <c r="T57" s="138"/>
      <c r="U57" s="138"/>
      <c r="V57" s="138"/>
      <c r="W57" s="138"/>
    </row>
    <row r="58" spans="1:23">
      <c r="A58" s="2234" t="s">
        <v>22</v>
      </c>
      <c r="B58" s="2090"/>
      <c r="C58" s="2090"/>
      <c r="D58" s="2090"/>
      <c r="E58" s="2090"/>
      <c r="F58" s="2090"/>
      <c r="G58" s="2090"/>
      <c r="H58" s="2091"/>
      <c r="I58" s="2237">
        <f>IF(Data!H136="","",Data!H136)</f>
        <v>23</v>
      </c>
      <c r="J58" s="2289"/>
      <c r="K58" s="2290"/>
      <c r="L58" s="2291">
        <f>IF(Data!N136="","",Data!N136)</f>
        <v>23</v>
      </c>
      <c r="M58" s="2291"/>
      <c r="N58" s="2291"/>
      <c r="O58" s="2292"/>
      <c r="P58" s="138"/>
      <c r="Q58" s="138"/>
      <c r="R58" s="138"/>
      <c r="S58" s="138"/>
      <c r="T58" s="138"/>
      <c r="U58" s="138"/>
      <c r="V58" s="138"/>
      <c r="W58" s="138"/>
    </row>
    <row r="59" spans="1:23" ht="15" thickBot="1">
      <c r="A59" s="2293" t="s">
        <v>23</v>
      </c>
      <c r="B59" s="2112"/>
      <c r="C59" s="2112"/>
      <c r="D59" s="2112"/>
      <c r="E59" s="2112"/>
      <c r="F59" s="2112"/>
      <c r="G59" s="2112"/>
      <c r="H59" s="2113"/>
      <c r="I59" s="2267">
        <f>IF(Data!H137="","",Data!H137)</f>
        <v>0</v>
      </c>
      <c r="J59" s="2294"/>
      <c r="K59" s="2295"/>
      <c r="L59" s="2296">
        <f>IF(Data!N137="","",Data!N137)</f>
        <v>0</v>
      </c>
      <c r="M59" s="2296"/>
      <c r="N59" s="2296"/>
      <c r="O59" s="2297"/>
      <c r="P59" s="138"/>
      <c r="Q59" s="138"/>
      <c r="R59" s="138"/>
      <c r="S59" s="138"/>
      <c r="T59" s="138"/>
      <c r="U59" s="138"/>
      <c r="V59" s="138"/>
      <c r="W59" s="138"/>
    </row>
    <row r="60" spans="1:23" ht="15" thickBot="1">
      <c r="A60" s="2281" t="s">
        <v>24</v>
      </c>
      <c r="B60" s="2282"/>
      <c r="C60" s="2282"/>
      <c r="D60" s="2282"/>
      <c r="E60" s="2282"/>
      <c r="F60" s="2282"/>
      <c r="G60" s="2282"/>
      <c r="H60" s="2283"/>
      <c r="I60" s="2284">
        <f>IF(I57="","",SUM(I57:I59))</f>
        <v>34</v>
      </c>
      <c r="J60" s="2285"/>
      <c r="K60" s="2286"/>
      <c r="L60" s="2287">
        <f>IF(L57="","",SUM(L57:M59))</f>
        <v>34</v>
      </c>
      <c r="M60" s="2287"/>
      <c r="N60" s="2287"/>
      <c r="O60" s="2288"/>
      <c r="P60" s="138"/>
      <c r="Q60" s="138"/>
      <c r="R60" s="138"/>
      <c r="S60" s="138"/>
      <c r="T60" s="138"/>
      <c r="U60" s="138"/>
      <c r="V60" s="138"/>
      <c r="W60" s="138"/>
    </row>
    <row r="61" spans="1:23">
      <c r="A61" s="151" t="s">
        <v>202</v>
      </c>
      <c r="B61" s="138"/>
      <c r="C61" s="138"/>
      <c r="D61" s="138"/>
      <c r="E61" s="138"/>
      <c r="F61" s="138"/>
      <c r="G61" s="138"/>
      <c r="H61" s="138"/>
      <c r="I61" s="138"/>
      <c r="J61" s="138"/>
      <c r="K61" s="138"/>
      <c r="L61" s="138"/>
      <c r="M61" s="138"/>
      <c r="N61" s="138"/>
      <c r="O61" s="138"/>
      <c r="P61" s="138"/>
      <c r="Q61" s="138"/>
      <c r="R61" s="138"/>
      <c r="S61" s="138"/>
      <c r="T61" s="138"/>
      <c r="U61" s="138"/>
      <c r="V61" s="138"/>
      <c r="W61" s="138"/>
    </row>
    <row r="62" spans="1:23" ht="8.25" customHeight="1">
      <c r="A62" s="138"/>
      <c r="B62" s="138"/>
      <c r="C62" s="138"/>
      <c r="D62" s="138"/>
      <c r="E62" s="138"/>
      <c r="F62" s="138"/>
      <c r="G62" s="138"/>
      <c r="H62" s="138"/>
      <c r="I62" s="138"/>
      <c r="J62" s="138"/>
      <c r="K62" s="138"/>
      <c r="L62" s="138"/>
      <c r="M62" s="138"/>
      <c r="N62" s="138"/>
      <c r="O62" s="138"/>
      <c r="P62" s="138"/>
      <c r="Q62" s="138"/>
      <c r="R62" s="138"/>
      <c r="S62" s="138"/>
      <c r="T62" s="138"/>
      <c r="U62" s="138"/>
      <c r="V62" s="138"/>
      <c r="W62" s="138"/>
    </row>
    <row r="63" spans="1:23">
      <c r="A63" s="138"/>
      <c r="B63" s="138"/>
      <c r="C63" s="152" t="s">
        <v>636</v>
      </c>
      <c r="D63" s="138"/>
      <c r="E63" s="138"/>
      <c r="F63" s="138"/>
      <c r="G63" s="138"/>
      <c r="H63" s="138"/>
      <c r="I63" s="153"/>
      <c r="J63" s="138"/>
      <c r="K63" s="138"/>
      <c r="L63" s="138"/>
      <c r="M63" s="138"/>
      <c r="N63" s="138"/>
      <c r="O63" s="138"/>
      <c r="P63" s="138"/>
      <c r="Q63" s="138"/>
      <c r="R63" s="138"/>
      <c r="S63" s="138"/>
      <c r="T63" s="138"/>
      <c r="U63" s="154" t="s">
        <v>203</v>
      </c>
      <c r="V63" s="138"/>
      <c r="W63" s="138"/>
    </row>
    <row r="64" spans="1:23" ht="10.5" customHeight="1">
      <c r="A64" s="138"/>
      <c r="B64" s="138"/>
      <c r="C64" s="138"/>
      <c r="D64" s="138"/>
      <c r="E64" s="138"/>
      <c r="F64" s="138"/>
      <c r="G64" s="138"/>
      <c r="H64" s="138"/>
      <c r="I64" s="138"/>
      <c r="J64" s="138"/>
      <c r="K64" s="138"/>
      <c r="L64" s="138"/>
      <c r="M64" s="138"/>
      <c r="N64" s="138"/>
      <c r="O64" s="138"/>
      <c r="P64" s="138"/>
      <c r="Q64" s="138"/>
      <c r="R64" s="138"/>
      <c r="S64" s="138"/>
      <c r="T64" s="138"/>
      <c r="U64" s="138"/>
      <c r="V64" s="138"/>
      <c r="W64" s="138"/>
    </row>
    <row r="65" spans="1:24" ht="10.5" customHeight="1">
      <c r="A65" s="138"/>
      <c r="B65" s="138"/>
      <c r="C65" s="138"/>
      <c r="D65" s="138"/>
      <c r="E65" s="138"/>
      <c r="F65" s="138"/>
      <c r="G65" s="138"/>
      <c r="H65" s="138"/>
      <c r="I65" s="138"/>
      <c r="J65" s="138"/>
      <c r="K65" s="138"/>
      <c r="L65" s="138"/>
      <c r="M65" s="138"/>
      <c r="N65" s="138"/>
      <c r="O65" s="138"/>
      <c r="P65" s="138"/>
      <c r="Q65" s="138"/>
      <c r="R65" s="138"/>
      <c r="S65" s="138"/>
      <c r="T65" s="138"/>
      <c r="U65" s="138"/>
      <c r="V65" s="138"/>
      <c r="W65" s="138"/>
    </row>
    <row r="66" spans="1:24" ht="12" customHeight="1">
      <c r="A66" s="138"/>
      <c r="B66" s="138"/>
      <c r="C66" s="138"/>
      <c r="D66" s="138"/>
      <c r="E66" s="138"/>
      <c r="F66" s="138"/>
      <c r="G66" s="138"/>
      <c r="H66" s="138"/>
      <c r="I66" s="138"/>
      <c r="J66" s="138"/>
      <c r="K66" s="138"/>
      <c r="L66" s="138"/>
      <c r="M66" s="138"/>
      <c r="N66" s="138"/>
      <c r="O66" s="138"/>
      <c r="P66" s="138"/>
      <c r="Q66" s="138"/>
      <c r="R66" s="138"/>
      <c r="S66" s="138"/>
      <c r="T66" s="138"/>
      <c r="U66" s="138"/>
      <c r="V66" s="138"/>
      <c r="W66" s="138"/>
    </row>
    <row r="67" spans="1:24" ht="11.25" customHeight="1">
      <c r="A67" s="155"/>
      <c r="B67" s="138"/>
      <c r="C67" s="138"/>
      <c r="D67" s="138"/>
      <c r="E67" s="156"/>
      <c r="F67" s="156"/>
      <c r="G67" s="157"/>
      <c r="H67" s="157"/>
      <c r="I67" s="138"/>
      <c r="J67" s="138"/>
      <c r="K67" s="138"/>
      <c r="L67" s="138"/>
      <c r="M67" s="138"/>
      <c r="N67" s="138"/>
      <c r="O67" s="138"/>
      <c r="P67" s="138"/>
      <c r="Q67" s="138"/>
      <c r="R67" s="138"/>
      <c r="S67" s="138"/>
      <c r="T67" s="138"/>
      <c r="U67" s="138"/>
      <c r="V67" s="138"/>
      <c r="W67" s="138"/>
    </row>
    <row r="68" spans="1:24" ht="11.25" customHeight="1">
      <c r="A68" s="158"/>
      <c r="B68" s="138"/>
      <c r="C68" s="138"/>
      <c r="D68" s="138"/>
      <c r="E68" s="156"/>
      <c r="F68" s="156"/>
      <c r="G68" s="157"/>
      <c r="H68" s="157"/>
      <c r="I68" s="138"/>
      <c r="J68" s="138"/>
      <c r="K68" s="138"/>
      <c r="L68" s="138"/>
      <c r="M68" s="138"/>
      <c r="N68" s="138"/>
      <c r="O68" s="138"/>
      <c r="P68" s="138"/>
      <c r="Q68" s="138"/>
      <c r="R68" s="138"/>
      <c r="S68" s="138"/>
      <c r="T68" s="138"/>
      <c r="U68" s="138"/>
      <c r="V68" s="138"/>
      <c r="W68" s="138"/>
    </row>
    <row r="69" spans="1:24" customFormat="1" ht="11.25" customHeight="1">
      <c r="A69" s="102"/>
      <c r="B69" s="87"/>
      <c r="C69" s="105"/>
      <c r="D69" s="104"/>
    </row>
    <row r="70" spans="1:24" customFormat="1" ht="9.75" customHeight="1">
      <c r="A70" s="104"/>
      <c r="C70" s="87"/>
      <c r="D70" s="87"/>
      <c r="E70" s="87"/>
      <c r="F70" s="104"/>
      <c r="L70" s="105"/>
      <c r="M70" s="104"/>
      <c r="P70" s="106"/>
      <c r="Q70" s="104"/>
      <c r="R70" s="104"/>
      <c r="S70" s="104"/>
      <c r="T70" s="104"/>
      <c r="U70" s="104"/>
      <c r="V70" s="104"/>
      <c r="W70" s="104"/>
      <c r="X70" s="104"/>
    </row>
    <row r="71" spans="1:24" customFormat="1" ht="8.25" customHeight="1">
      <c r="A71" s="104"/>
      <c r="C71" s="87"/>
      <c r="D71" s="107"/>
      <c r="E71" s="107"/>
      <c r="M71" s="106"/>
      <c r="P71" s="104"/>
      <c r="Q71" s="104"/>
      <c r="R71" s="104"/>
      <c r="S71" s="104"/>
      <c r="T71" s="104"/>
      <c r="U71" s="104"/>
      <c r="V71" s="104"/>
      <c r="W71" s="104"/>
      <c r="X71" s="104"/>
    </row>
    <row r="72" spans="1:24">
      <c r="L72" s="159"/>
    </row>
  </sheetData>
  <sheetProtection algorithmName="SHA-512" hashValue="GXbLdNT21VXMx1dwQsMaPsV5QkP67sPiNsHpgFznlCHkgcS+eQKm9JvzJo2aicPBQUO0ZMLxmAFYEkMHNtRRgw==" saltValue="LRpLzff2Y0y5PHKeb2TPkg==" spinCount="100000" sheet="1" objects="1" scenarios="1"/>
  <protectedRanges>
    <protectedRange password="E509" sqref="N48 K48:L48" name="Plage5_1"/>
    <protectedRange password="E509" sqref="I57:I59 A57:B59 L57:L59" name="Plage4_1"/>
    <protectedRange password="E509" sqref="T50:T53 F50:F53 I50:I53 L50:L53 Q50:Q53" name="Plage3_1"/>
    <protectedRange password="E509" sqref="O50:O53 O16:O45 Q16:Q45 S16:S45" name="Plage2_1"/>
    <protectedRange password="E509" sqref="A50:A53 D50:D53 F16:F45 H16:H45 D16:D45 A16:A45" name="Plage1_6"/>
    <protectedRange password="E509" sqref="K9:L9" name="Plage1_1_1"/>
    <protectedRange password="E509" sqref="K7:K8 T7:U8 T6 S4:V5 N7:N8 K4:K5 N4:O5 O6:O8" name="Plage1_2_1"/>
    <protectedRange password="E509" sqref="K6" name="Plage1_3_1"/>
    <protectedRange password="E509" sqref="V10" name="Plage1_4_1"/>
    <protectedRange password="E509" sqref="H10 J10:P10" name="Plage1_5_1"/>
  </protectedRanges>
  <mergeCells count="389">
    <mergeCell ref="A60:H60"/>
    <mergeCell ref="I60:K60"/>
    <mergeCell ref="L60:O60"/>
    <mergeCell ref="A58:H58"/>
    <mergeCell ref="I58:K58"/>
    <mergeCell ref="L58:O58"/>
    <mergeCell ref="A59:H59"/>
    <mergeCell ref="I59:K59"/>
    <mergeCell ref="L59:O59"/>
    <mergeCell ref="A54:B54"/>
    <mergeCell ref="I54:K54"/>
    <mergeCell ref="L54:M54"/>
    <mergeCell ref="T54:V54"/>
    <mergeCell ref="A57:H57"/>
    <mergeCell ref="I57:K57"/>
    <mergeCell ref="L57:O57"/>
    <mergeCell ref="Q52:S52"/>
    <mergeCell ref="T52:V52"/>
    <mergeCell ref="A53:C53"/>
    <mergeCell ref="D53:E53"/>
    <mergeCell ref="F53:H53"/>
    <mergeCell ref="I53:K53"/>
    <mergeCell ref="L53:N53"/>
    <mergeCell ref="O53:P53"/>
    <mergeCell ref="Q53:S53"/>
    <mergeCell ref="T53:V53"/>
    <mergeCell ref="A52:C52"/>
    <mergeCell ref="D52:E52"/>
    <mergeCell ref="F52:H52"/>
    <mergeCell ref="I52:K52"/>
    <mergeCell ref="L52:N52"/>
    <mergeCell ref="O52:P52"/>
    <mergeCell ref="A50:C50"/>
    <mergeCell ref="D50:E50"/>
    <mergeCell ref="F50:H50"/>
    <mergeCell ref="I50:K50"/>
    <mergeCell ref="L50:N50"/>
    <mergeCell ref="O50:P50"/>
    <mergeCell ref="Q50:S50"/>
    <mergeCell ref="T50:V50"/>
    <mergeCell ref="A51:C51"/>
    <mergeCell ref="D51:E51"/>
    <mergeCell ref="F51:H51"/>
    <mergeCell ref="I51:K51"/>
    <mergeCell ref="L51:N51"/>
    <mergeCell ref="O51:P51"/>
    <mergeCell ref="Q51:S51"/>
    <mergeCell ref="T51:V51"/>
    <mergeCell ref="L48:M48"/>
    <mergeCell ref="A49:C49"/>
    <mergeCell ref="D49:E49"/>
    <mergeCell ref="F49:H49"/>
    <mergeCell ref="I49:K49"/>
    <mergeCell ref="L49:N49"/>
    <mergeCell ref="O45:P45"/>
    <mergeCell ref="Q45:R45"/>
    <mergeCell ref="S45:T45"/>
    <mergeCell ref="A45:C45"/>
    <mergeCell ref="D45:E45"/>
    <mergeCell ref="O49:P49"/>
    <mergeCell ref="Q49:S49"/>
    <mergeCell ref="T49:V49"/>
    <mergeCell ref="U43:V43"/>
    <mergeCell ref="A44:C44"/>
    <mergeCell ref="D44:E44"/>
    <mergeCell ref="F44:G44"/>
    <mergeCell ref="H44:I44"/>
    <mergeCell ref="J44:K44"/>
    <mergeCell ref="L44:N44"/>
    <mergeCell ref="U45:V45"/>
    <mergeCell ref="F46:G46"/>
    <mergeCell ref="J46:K46"/>
    <mergeCell ref="Q46:R46"/>
    <mergeCell ref="U46:V46"/>
    <mergeCell ref="O44:P44"/>
    <mergeCell ref="Q44:R44"/>
    <mergeCell ref="S44:T44"/>
    <mergeCell ref="U44:V44"/>
    <mergeCell ref="F45:G45"/>
    <mergeCell ref="H45:I45"/>
    <mergeCell ref="J45:K45"/>
    <mergeCell ref="L45:N45"/>
    <mergeCell ref="A43:C43"/>
    <mergeCell ref="D43:E43"/>
    <mergeCell ref="F43:G43"/>
    <mergeCell ref="H43:I43"/>
    <mergeCell ref="J43:K43"/>
    <mergeCell ref="L43:N43"/>
    <mergeCell ref="O43:P43"/>
    <mergeCell ref="Q43:R43"/>
    <mergeCell ref="S43:T43"/>
    <mergeCell ref="U41:V41"/>
    <mergeCell ref="A42:C42"/>
    <mergeCell ref="D42:E42"/>
    <mergeCell ref="F42:G42"/>
    <mergeCell ref="H42:I42"/>
    <mergeCell ref="J42:K42"/>
    <mergeCell ref="L42:N42"/>
    <mergeCell ref="O42:P42"/>
    <mergeCell ref="Q42:R42"/>
    <mergeCell ref="S42:T42"/>
    <mergeCell ref="U42:V42"/>
    <mergeCell ref="A41:C41"/>
    <mergeCell ref="D41:E41"/>
    <mergeCell ref="F41:G41"/>
    <mergeCell ref="H41:I41"/>
    <mergeCell ref="J41:K41"/>
    <mergeCell ref="L41:N41"/>
    <mergeCell ref="O41:P41"/>
    <mergeCell ref="Q41:R41"/>
    <mergeCell ref="S41:T41"/>
    <mergeCell ref="U39:V39"/>
    <mergeCell ref="A40:C40"/>
    <mergeCell ref="D40:E40"/>
    <mergeCell ref="F40:G40"/>
    <mergeCell ref="H40:I40"/>
    <mergeCell ref="J40:K40"/>
    <mergeCell ref="L40:N40"/>
    <mergeCell ref="O40:P40"/>
    <mergeCell ref="Q40:R40"/>
    <mergeCell ref="S40:T40"/>
    <mergeCell ref="U40:V40"/>
    <mergeCell ref="A39:C39"/>
    <mergeCell ref="D39:E39"/>
    <mergeCell ref="F39:G39"/>
    <mergeCell ref="H39:I39"/>
    <mergeCell ref="J39:K39"/>
    <mergeCell ref="L39:N39"/>
    <mergeCell ref="O39:P39"/>
    <mergeCell ref="Q39:R39"/>
    <mergeCell ref="S39:T39"/>
    <mergeCell ref="U37:V37"/>
    <mergeCell ref="A38:C38"/>
    <mergeCell ref="D38:E38"/>
    <mergeCell ref="F38:G38"/>
    <mergeCell ref="H38:I38"/>
    <mergeCell ref="J38:K38"/>
    <mergeCell ref="L38:N38"/>
    <mergeCell ref="O38:P38"/>
    <mergeCell ref="Q38:R38"/>
    <mergeCell ref="S38:T38"/>
    <mergeCell ref="U38:V38"/>
    <mergeCell ref="A37:C37"/>
    <mergeCell ref="D37:E37"/>
    <mergeCell ref="F37:G37"/>
    <mergeCell ref="H37:I37"/>
    <mergeCell ref="J37:K37"/>
    <mergeCell ref="L37:N37"/>
    <mergeCell ref="O37:P37"/>
    <mergeCell ref="Q37:R37"/>
    <mergeCell ref="S37:T37"/>
    <mergeCell ref="U35:V35"/>
    <mergeCell ref="A36:C36"/>
    <mergeCell ref="D36:E36"/>
    <mergeCell ref="F36:G36"/>
    <mergeCell ref="H36:I36"/>
    <mergeCell ref="J36:K36"/>
    <mergeCell ref="L36:N36"/>
    <mergeCell ref="O36:P36"/>
    <mergeCell ref="Q36:R36"/>
    <mergeCell ref="S36:T36"/>
    <mergeCell ref="U36:V36"/>
    <mergeCell ref="A35:C35"/>
    <mergeCell ref="D35:E35"/>
    <mergeCell ref="F35:G35"/>
    <mergeCell ref="H35:I35"/>
    <mergeCell ref="J35:K35"/>
    <mergeCell ref="L35:N35"/>
    <mergeCell ref="O35:P35"/>
    <mergeCell ref="Q35:R35"/>
    <mergeCell ref="S35:T35"/>
    <mergeCell ref="U33:V33"/>
    <mergeCell ref="A34:C34"/>
    <mergeCell ref="D34:E34"/>
    <mergeCell ref="F34:G34"/>
    <mergeCell ref="H34:I34"/>
    <mergeCell ref="J34:K34"/>
    <mergeCell ref="L34:N34"/>
    <mergeCell ref="O34:P34"/>
    <mergeCell ref="Q34:R34"/>
    <mergeCell ref="S34:T34"/>
    <mergeCell ref="U34:V34"/>
    <mergeCell ref="A33:C33"/>
    <mergeCell ref="D33:E33"/>
    <mergeCell ref="F33:G33"/>
    <mergeCell ref="H33:I33"/>
    <mergeCell ref="J33:K33"/>
    <mergeCell ref="L33:N33"/>
    <mergeCell ref="O33:P33"/>
    <mergeCell ref="Q33:R33"/>
    <mergeCell ref="S33:T33"/>
    <mergeCell ref="U31:V31"/>
    <mergeCell ref="A32:C32"/>
    <mergeCell ref="D32:E32"/>
    <mergeCell ref="F32:G32"/>
    <mergeCell ref="H32:I32"/>
    <mergeCell ref="J32:K32"/>
    <mergeCell ref="L32:N32"/>
    <mergeCell ref="O32:P32"/>
    <mergeCell ref="Q32:R32"/>
    <mergeCell ref="S32:T32"/>
    <mergeCell ref="U32:V32"/>
    <mergeCell ref="A31:C31"/>
    <mergeCell ref="D31:E31"/>
    <mergeCell ref="F31:G31"/>
    <mergeCell ref="H31:I31"/>
    <mergeCell ref="J31:K31"/>
    <mergeCell ref="L31:N31"/>
    <mergeCell ref="O31:P31"/>
    <mergeCell ref="Q31:R31"/>
    <mergeCell ref="S31:T31"/>
    <mergeCell ref="U29:V29"/>
    <mergeCell ref="A30:C30"/>
    <mergeCell ref="D30:E30"/>
    <mergeCell ref="F30:G30"/>
    <mergeCell ref="H30:I30"/>
    <mergeCell ref="J30:K30"/>
    <mergeCell ref="L30:N30"/>
    <mergeCell ref="O30:P30"/>
    <mergeCell ref="Q30:R30"/>
    <mergeCell ref="S30:T30"/>
    <mergeCell ref="U30:V30"/>
    <mergeCell ref="A29:C29"/>
    <mergeCell ref="D29:E29"/>
    <mergeCell ref="F29:G29"/>
    <mergeCell ref="H29:I29"/>
    <mergeCell ref="J29:K29"/>
    <mergeCell ref="L29:N29"/>
    <mergeCell ref="O29:P29"/>
    <mergeCell ref="Q29:R29"/>
    <mergeCell ref="S29:T29"/>
    <mergeCell ref="U27:V27"/>
    <mergeCell ref="A28:C28"/>
    <mergeCell ref="D28:E28"/>
    <mergeCell ref="F28:G28"/>
    <mergeCell ref="H28:I28"/>
    <mergeCell ref="J28:K28"/>
    <mergeCell ref="L28:N28"/>
    <mergeCell ref="O28:P28"/>
    <mergeCell ref="Q28:R28"/>
    <mergeCell ref="S28:T28"/>
    <mergeCell ref="U28:V28"/>
    <mergeCell ref="A27:C27"/>
    <mergeCell ref="D27:E27"/>
    <mergeCell ref="F27:G27"/>
    <mergeCell ref="H27:I27"/>
    <mergeCell ref="J27:K27"/>
    <mergeCell ref="L27:N27"/>
    <mergeCell ref="O27:P27"/>
    <mergeCell ref="Q27:R27"/>
    <mergeCell ref="S27:T27"/>
    <mergeCell ref="U25:V25"/>
    <mergeCell ref="A26:C26"/>
    <mergeCell ref="D26:E26"/>
    <mergeCell ref="F26:G26"/>
    <mergeCell ref="H26:I26"/>
    <mergeCell ref="J26:K26"/>
    <mergeCell ref="L26:N26"/>
    <mergeCell ref="O26:P26"/>
    <mergeCell ref="Q26:R26"/>
    <mergeCell ref="S26:T26"/>
    <mergeCell ref="U26:V26"/>
    <mergeCell ref="A25:C25"/>
    <mergeCell ref="D25:E25"/>
    <mergeCell ref="F25:G25"/>
    <mergeCell ref="H25:I25"/>
    <mergeCell ref="J25:K25"/>
    <mergeCell ref="L25:N25"/>
    <mergeCell ref="O25:P25"/>
    <mergeCell ref="Q25:R25"/>
    <mergeCell ref="S25:T25"/>
    <mergeCell ref="U23:V23"/>
    <mergeCell ref="A24:C24"/>
    <mergeCell ref="D24:E24"/>
    <mergeCell ref="F24:G24"/>
    <mergeCell ref="H24:I24"/>
    <mergeCell ref="J24:K24"/>
    <mergeCell ref="L24:N24"/>
    <mergeCell ref="O24:P24"/>
    <mergeCell ref="Q24:R24"/>
    <mergeCell ref="S24:T24"/>
    <mergeCell ref="U24:V24"/>
    <mergeCell ref="A23:C23"/>
    <mergeCell ref="D23:E23"/>
    <mergeCell ref="F23:G23"/>
    <mergeCell ref="H23:I23"/>
    <mergeCell ref="J23:K23"/>
    <mergeCell ref="L23:N23"/>
    <mergeCell ref="O23:P23"/>
    <mergeCell ref="Q23:R23"/>
    <mergeCell ref="S23:T23"/>
    <mergeCell ref="U21:V21"/>
    <mergeCell ref="A22:C22"/>
    <mergeCell ref="D22:E22"/>
    <mergeCell ref="F22:G22"/>
    <mergeCell ref="H22:I22"/>
    <mergeCell ref="J22:K22"/>
    <mergeCell ref="L22:N22"/>
    <mergeCell ref="O22:P22"/>
    <mergeCell ref="Q22:R22"/>
    <mergeCell ref="S22:T22"/>
    <mergeCell ref="U22:V22"/>
    <mergeCell ref="A21:C21"/>
    <mergeCell ref="D21:E21"/>
    <mergeCell ref="F21:G21"/>
    <mergeCell ref="H21:I21"/>
    <mergeCell ref="J21:K21"/>
    <mergeCell ref="L21:N21"/>
    <mergeCell ref="O21:P21"/>
    <mergeCell ref="Q21:R21"/>
    <mergeCell ref="S21:T21"/>
    <mergeCell ref="U19:V19"/>
    <mergeCell ref="A20:C20"/>
    <mergeCell ref="D20:E20"/>
    <mergeCell ref="F20:G20"/>
    <mergeCell ref="H20:I20"/>
    <mergeCell ref="J20:K20"/>
    <mergeCell ref="L20:N20"/>
    <mergeCell ref="O20:P20"/>
    <mergeCell ref="Q20:R20"/>
    <mergeCell ref="S20:T20"/>
    <mergeCell ref="U20:V20"/>
    <mergeCell ref="A19:C19"/>
    <mergeCell ref="D19:E19"/>
    <mergeCell ref="F19:G19"/>
    <mergeCell ref="H19:I19"/>
    <mergeCell ref="J19:K19"/>
    <mergeCell ref="L19:N19"/>
    <mergeCell ref="O19:P19"/>
    <mergeCell ref="Q19:R19"/>
    <mergeCell ref="S19:T19"/>
    <mergeCell ref="U17:V17"/>
    <mergeCell ref="A18:C18"/>
    <mergeCell ref="D18:E18"/>
    <mergeCell ref="F18:G18"/>
    <mergeCell ref="H18:I18"/>
    <mergeCell ref="J18:K18"/>
    <mergeCell ref="L18:N18"/>
    <mergeCell ref="O18:P18"/>
    <mergeCell ref="Q18:R18"/>
    <mergeCell ref="S18:T18"/>
    <mergeCell ref="U18:V18"/>
    <mergeCell ref="A17:C17"/>
    <mergeCell ref="D17:E17"/>
    <mergeCell ref="F17:G17"/>
    <mergeCell ref="H17:I17"/>
    <mergeCell ref="J17:K17"/>
    <mergeCell ref="L17:N17"/>
    <mergeCell ref="O17:P17"/>
    <mergeCell ref="Q17:R17"/>
    <mergeCell ref="S17:T17"/>
    <mergeCell ref="O15:P15"/>
    <mergeCell ref="Q15:R15"/>
    <mergeCell ref="S15:T15"/>
    <mergeCell ref="U15:V15"/>
    <mergeCell ref="A16:C16"/>
    <mergeCell ref="D16:E16"/>
    <mergeCell ref="F16:G16"/>
    <mergeCell ref="H16:I16"/>
    <mergeCell ref="J16:K16"/>
    <mergeCell ref="L16:N16"/>
    <mergeCell ref="A15:C15"/>
    <mergeCell ref="D15:E15"/>
    <mergeCell ref="F15:G15"/>
    <mergeCell ref="H15:I15"/>
    <mergeCell ref="J15:K15"/>
    <mergeCell ref="L15:N15"/>
    <mergeCell ref="O16:P16"/>
    <mergeCell ref="Q16:R16"/>
    <mergeCell ref="S16:T16"/>
    <mergeCell ref="U16:V16"/>
    <mergeCell ref="H11:P11"/>
    <mergeCell ref="A13:K13"/>
    <mergeCell ref="L13:V13"/>
    <mergeCell ref="K6:N6"/>
    <mergeCell ref="O6:Q6"/>
    <mergeCell ref="R6:S6"/>
    <mergeCell ref="T6:V6"/>
    <mergeCell ref="K7:N7"/>
    <mergeCell ref="O7:V7"/>
    <mergeCell ref="P2:S2"/>
    <mergeCell ref="U2:V2"/>
    <mergeCell ref="K4:N4"/>
    <mergeCell ref="O4:V4"/>
    <mergeCell ref="K5:N5"/>
    <mergeCell ref="O5:V5"/>
    <mergeCell ref="K8:N8"/>
    <mergeCell ref="O8:V8"/>
    <mergeCell ref="H10:P10"/>
  </mergeCells>
  <printOptions horizontalCentered="1" verticalCentered="1"/>
  <pageMargins left="0" right="0" top="0" bottom="0" header="0" footer="0"/>
  <pageSetup paperSize="9" scale="80" orientation="portrait" r:id="rId1"/>
  <ignoredErrors>
    <ignoredError sqref="A16:V17 A19:V46 A18:P18 R18:V18" unlockedFormula="1"/>
  </ignoredError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42F64C-6FDD-4A64-AEAB-619DD1B4D3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12</vt:i4>
      </vt:variant>
    </vt:vector>
  </HeadingPairs>
  <TitlesOfParts>
    <vt:vector size="13" baseType="lpstr">
      <vt:lpstr>Menu</vt:lpstr>
      <vt:lpstr>TabFinalBallast</vt:lpstr>
      <vt:lpstr>TabInitialBallast</vt:lpstr>
      <vt:lpstr>' Ull Brut'!Zone_d_impression</vt:lpstr>
      <vt:lpstr>'Bunker DO'!Zone_d_impression</vt:lpstr>
      <vt:lpstr>'Bunker FO'!Zone_d_impression</vt:lpstr>
      <vt:lpstr>Deductibles!Zone_d_impression</vt:lpstr>
      <vt:lpstr>Details!Zone_d_impression</vt:lpstr>
      <vt:lpstr>DS_REPORT!Zone_d_impression</vt:lpstr>
      <vt:lpstr>'FINAL AMO'!Zone_d_impression</vt:lpstr>
      <vt:lpstr>'INI AMMONIAC'!Zone_d_impression</vt:lpstr>
      <vt:lpstr>Menu!Zone_d_impression</vt:lpstr>
      <vt:lpstr>'Ull Sulph Ac'!Zone_d_impression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Hicham Garroum</dc:creator>
  <cp:lastModifiedBy>Hicham Garoum</cp:lastModifiedBy>
  <cp:lastPrinted>2023-08-29T23:51:12Z</cp:lastPrinted>
  <dcterms:created xsi:type="dcterms:W3CDTF">2015-06-05T18:17:20Z</dcterms:created>
  <dcterms:modified xsi:type="dcterms:W3CDTF">2023-09-21T21:18:06Z</dcterms:modified>
</cp:coreProperties>
</file>